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/>
  </bookViews>
  <sheets>
    <sheet name="Round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L33" i="1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Y1002"/>
  <c r="Y982" l="1"/>
  <c r="D4" l="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D3" l="1"/>
  <c r="B3"/>
  <c r="H149"/>
  <c r="H145"/>
  <c r="H141"/>
  <c r="H137"/>
  <c r="H133"/>
  <c r="H129"/>
  <c r="H125"/>
  <c r="H121"/>
  <c r="H117"/>
  <c r="H113"/>
  <c r="H109"/>
  <c r="H105"/>
  <c r="H101"/>
  <c r="H97"/>
  <c r="H93"/>
  <c r="H89"/>
  <c r="H85"/>
  <c r="H81"/>
  <c r="H77"/>
  <c r="H73"/>
  <c r="H69"/>
  <c r="H65"/>
  <c r="H61"/>
  <c r="H57"/>
  <c r="H53"/>
  <c r="H49"/>
  <c r="H45"/>
  <c r="H41"/>
  <c r="H37"/>
  <c r="H33"/>
  <c r="I128"/>
  <c r="I100"/>
  <c r="I52"/>
  <c r="I149"/>
  <c r="I145"/>
  <c r="I141"/>
  <c r="I137"/>
  <c r="I133"/>
  <c r="I129"/>
  <c r="I125"/>
  <c r="I121"/>
  <c r="I117"/>
  <c r="I113"/>
  <c r="I109"/>
  <c r="I105"/>
  <c r="I101"/>
  <c r="I97"/>
  <c r="I93"/>
  <c r="I89"/>
  <c r="I85"/>
  <c r="I81"/>
  <c r="I77"/>
  <c r="I73"/>
  <c r="I69"/>
  <c r="I65"/>
  <c r="I61"/>
  <c r="I57"/>
  <c r="I53"/>
  <c r="I49"/>
  <c r="I45"/>
  <c r="I41"/>
  <c r="I37"/>
  <c r="I33"/>
  <c r="I148"/>
  <c r="I124"/>
  <c r="I104"/>
  <c r="I80"/>
  <c r="I56"/>
  <c r="I36"/>
  <c r="H150"/>
  <c r="H146"/>
  <c r="H142"/>
  <c r="H138"/>
  <c r="H134"/>
  <c r="H130"/>
  <c r="H126"/>
  <c r="H122"/>
  <c r="H118"/>
  <c r="H114"/>
  <c r="H110"/>
  <c r="H106"/>
  <c r="H102"/>
  <c r="H98"/>
  <c r="H94"/>
  <c r="H90"/>
  <c r="H86"/>
  <c r="H82"/>
  <c r="H78"/>
  <c r="H74"/>
  <c r="H70"/>
  <c r="H66"/>
  <c r="H62"/>
  <c r="H58"/>
  <c r="H54"/>
  <c r="H50"/>
  <c r="H46"/>
  <c r="H42"/>
  <c r="H38"/>
  <c r="H34"/>
  <c r="I144"/>
  <c r="I120"/>
  <c r="I92"/>
  <c r="I60"/>
  <c r="I1001"/>
  <c r="I994"/>
  <c r="I993"/>
  <c r="I986"/>
  <c r="I985"/>
  <c r="I977"/>
  <c r="I969"/>
  <c r="I961"/>
  <c r="I953"/>
  <c r="I945"/>
  <c r="I937"/>
  <c r="I929"/>
  <c r="I921"/>
  <c r="I913"/>
  <c r="I905"/>
  <c r="I897"/>
  <c r="I889"/>
  <c r="I881"/>
  <c r="I873"/>
  <c r="I865"/>
  <c r="I857"/>
  <c r="I849"/>
  <c r="I841"/>
  <c r="I833"/>
  <c r="I825"/>
  <c r="I817"/>
  <c r="I809"/>
  <c r="I801"/>
  <c r="I793"/>
  <c r="I785"/>
  <c r="I777"/>
  <c r="I769"/>
  <c r="I761"/>
  <c r="I753"/>
  <c r="I745"/>
  <c r="I737"/>
  <c r="I729"/>
  <c r="I721"/>
  <c r="I713"/>
  <c r="I705"/>
  <c r="I697"/>
  <c r="I689"/>
  <c r="I681"/>
  <c r="I673"/>
  <c r="I665"/>
  <c r="I657"/>
  <c r="I649"/>
  <c r="I641"/>
  <c r="I633"/>
  <c r="I625"/>
  <c r="I617"/>
  <c r="I609"/>
  <c r="I601"/>
  <c r="I593"/>
  <c r="I585"/>
  <c r="I577"/>
  <c r="I569"/>
  <c r="I561"/>
  <c r="I553"/>
  <c r="I545"/>
  <c r="I537"/>
  <c r="I529"/>
  <c r="I521"/>
  <c r="I513"/>
  <c r="I505"/>
  <c r="I497"/>
  <c r="I489"/>
  <c r="I481"/>
  <c r="I473"/>
  <c r="I465"/>
  <c r="I457"/>
  <c r="I449"/>
  <c r="I441"/>
  <c r="I433"/>
  <c r="I425"/>
  <c r="I417"/>
  <c r="I409"/>
  <c r="I401"/>
  <c r="I393"/>
  <c r="I385"/>
  <c r="I377"/>
  <c r="I369"/>
  <c r="I361"/>
  <c r="I353"/>
  <c r="I345"/>
  <c r="I337"/>
  <c r="I329"/>
  <c r="I321"/>
  <c r="I313"/>
  <c r="I305"/>
  <c r="I297"/>
  <c r="I289"/>
  <c r="I281"/>
  <c r="I273"/>
  <c r="I265"/>
  <c r="I257"/>
  <c r="I249"/>
  <c r="I241"/>
  <c r="I233"/>
  <c r="I225"/>
  <c r="I217"/>
  <c r="I209"/>
  <c r="I201"/>
  <c r="I193"/>
  <c r="I185"/>
  <c r="I177"/>
  <c r="I169"/>
  <c r="I168"/>
  <c r="I161"/>
  <c r="I160"/>
  <c r="I153"/>
  <c r="I152"/>
  <c r="I996"/>
  <c r="I995"/>
  <c r="I988"/>
  <c r="I987"/>
  <c r="I980"/>
  <c r="I979"/>
  <c r="I978"/>
  <c r="I972"/>
  <c r="I971"/>
  <c r="I970"/>
  <c r="I964"/>
  <c r="I963"/>
  <c r="I962"/>
  <c r="I956"/>
  <c r="I955"/>
  <c r="I954"/>
  <c r="I948"/>
  <c r="I947"/>
  <c r="I946"/>
  <c r="I940"/>
  <c r="I939"/>
  <c r="I938"/>
  <c r="I932"/>
  <c r="I931"/>
  <c r="I930"/>
  <c r="I924"/>
  <c r="I923"/>
  <c r="I922"/>
  <c r="I916"/>
  <c r="I915"/>
  <c r="I914"/>
  <c r="I908"/>
  <c r="I907"/>
  <c r="I906"/>
  <c r="I900"/>
  <c r="I899"/>
  <c r="I898"/>
  <c r="I892"/>
  <c r="I891"/>
  <c r="I890"/>
  <c r="I884"/>
  <c r="I883"/>
  <c r="I882"/>
  <c r="I876"/>
  <c r="I875"/>
  <c r="I874"/>
  <c r="I868"/>
  <c r="I867"/>
  <c r="I866"/>
  <c r="I860"/>
  <c r="I859"/>
  <c r="I858"/>
  <c r="I852"/>
  <c r="I851"/>
  <c r="I850"/>
  <c r="I844"/>
  <c r="I843"/>
  <c r="I842"/>
  <c r="I836"/>
  <c r="I835"/>
  <c r="I834"/>
  <c r="I828"/>
  <c r="I827"/>
  <c r="I826"/>
  <c r="I820"/>
  <c r="I819"/>
  <c r="I818"/>
  <c r="I812"/>
  <c r="I811"/>
  <c r="I810"/>
  <c r="I804"/>
  <c r="I803"/>
  <c r="I802"/>
  <c r="I796"/>
  <c r="I795"/>
  <c r="I794"/>
  <c r="I788"/>
  <c r="I787"/>
  <c r="I786"/>
  <c r="I780"/>
  <c r="I779"/>
  <c r="I778"/>
  <c r="I772"/>
  <c r="I771"/>
  <c r="I770"/>
  <c r="I764"/>
  <c r="I763"/>
  <c r="I762"/>
  <c r="I755"/>
  <c r="I754"/>
  <c r="I747"/>
  <c r="I746"/>
  <c r="I739"/>
  <c r="I738"/>
  <c r="I731"/>
  <c r="I730"/>
  <c r="I723"/>
  <c r="I722"/>
  <c r="I715"/>
  <c r="I714"/>
  <c r="I707"/>
  <c r="I706"/>
  <c r="I699"/>
  <c r="I698"/>
  <c r="I691"/>
  <c r="I690"/>
  <c r="I683"/>
  <c r="I682"/>
  <c r="I675"/>
  <c r="I674"/>
  <c r="I667"/>
  <c r="I666"/>
  <c r="I659"/>
  <c r="I658"/>
  <c r="I651"/>
  <c r="I650"/>
  <c r="I643"/>
  <c r="I642"/>
  <c r="I635"/>
  <c r="I634"/>
  <c r="I627"/>
  <c r="I626"/>
  <c r="I619"/>
  <c r="I618"/>
  <c r="I611"/>
  <c r="I610"/>
  <c r="I603"/>
  <c r="I602"/>
  <c r="I595"/>
  <c r="I594"/>
  <c r="I587"/>
  <c r="I586"/>
  <c r="I579"/>
  <c r="I578"/>
  <c r="I571"/>
  <c r="I570"/>
  <c r="I563"/>
  <c r="I562"/>
  <c r="I555"/>
  <c r="I554"/>
  <c r="I547"/>
  <c r="I546"/>
  <c r="I539"/>
  <c r="I538"/>
  <c r="I531"/>
  <c r="I530"/>
  <c r="I523"/>
  <c r="I522"/>
  <c r="I515"/>
  <c r="I514"/>
  <c r="I507"/>
  <c r="I506"/>
  <c r="I499"/>
  <c r="I498"/>
  <c r="I491"/>
  <c r="I490"/>
  <c r="I483"/>
  <c r="I482"/>
  <c r="I475"/>
  <c r="I474"/>
  <c r="I467"/>
  <c r="I466"/>
  <c r="I459"/>
  <c r="I458"/>
  <c r="I451"/>
  <c r="I450"/>
  <c r="I443"/>
  <c r="I442"/>
  <c r="I435"/>
  <c r="I434"/>
  <c r="I427"/>
  <c r="I426"/>
  <c r="I419"/>
  <c r="I418"/>
  <c r="I411"/>
  <c r="I410"/>
  <c r="I403"/>
  <c r="I402"/>
  <c r="I395"/>
  <c r="I394"/>
  <c r="I387"/>
  <c r="I386"/>
  <c r="I379"/>
  <c r="I378"/>
  <c r="I371"/>
  <c r="I370"/>
  <c r="I363"/>
  <c r="I362"/>
  <c r="I355"/>
  <c r="I354"/>
  <c r="I347"/>
  <c r="I346"/>
  <c r="I339"/>
  <c r="I338"/>
  <c r="I331"/>
  <c r="I330"/>
  <c r="I323"/>
  <c r="I322"/>
  <c r="I315"/>
  <c r="I314"/>
  <c r="I307"/>
  <c r="I306"/>
  <c r="I299"/>
  <c r="I298"/>
  <c r="I291"/>
  <c r="I290"/>
  <c r="I283"/>
  <c r="I282"/>
  <c r="I275"/>
  <c r="I274"/>
  <c r="I267"/>
  <c r="I266"/>
  <c r="I259"/>
  <c r="I258"/>
  <c r="I251"/>
  <c r="I250"/>
  <c r="I243"/>
  <c r="I242"/>
  <c r="I235"/>
  <c r="I234"/>
  <c r="I227"/>
  <c r="I226"/>
  <c r="I219"/>
  <c r="I218"/>
  <c r="I211"/>
  <c r="I210"/>
  <c r="I203"/>
  <c r="I202"/>
  <c r="I195"/>
  <c r="I194"/>
  <c r="I187"/>
  <c r="I186"/>
  <c r="I179"/>
  <c r="I178"/>
  <c r="I171"/>
  <c r="I170"/>
  <c r="I163"/>
  <c r="I162"/>
  <c r="I155"/>
  <c r="I154"/>
  <c r="I998"/>
  <c r="I997"/>
  <c r="I990"/>
  <c r="I989"/>
  <c r="I982"/>
  <c r="I981"/>
  <c r="I974"/>
  <c r="I973"/>
  <c r="I966"/>
  <c r="I965"/>
  <c r="I958"/>
  <c r="I957"/>
  <c r="I950"/>
  <c r="I949"/>
  <c r="I942"/>
  <c r="I941"/>
  <c r="I934"/>
  <c r="I933"/>
  <c r="I926"/>
  <c r="I925"/>
  <c r="I918"/>
  <c r="I917"/>
  <c r="I910"/>
  <c r="I909"/>
  <c r="I902"/>
  <c r="I901"/>
  <c r="I894"/>
  <c r="I893"/>
  <c r="I886"/>
  <c r="I885"/>
  <c r="I878"/>
  <c r="I877"/>
  <c r="I870"/>
  <c r="I869"/>
  <c r="I862"/>
  <c r="I861"/>
  <c r="I854"/>
  <c r="I853"/>
  <c r="I846"/>
  <c r="I845"/>
  <c r="I838"/>
  <c r="I837"/>
  <c r="I830"/>
  <c r="I829"/>
  <c r="I822"/>
  <c r="I821"/>
  <c r="I814"/>
  <c r="I813"/>
  <c r="I806"/>
  <c r="I805"/>
  <c r="I798"/>
  <c r="I797"/>
  <c r="I790"/>
  <c r="I789"/>
  <c r="I782"/>
  <c r="I781"/>
  <c r="I774"/>
  <c r="I773"/>
  <c r="I766"/>
  <c r="I765"/>
  <c r="I758"/>
  <c r="I757"/>
  <c r="I756"/>
  <c r="I750"/>
  <c r="I749"/>
  <c r="I748"/>
  <c r="I742"/>
  <c r="I741"/>
  <c r="I740"/>
  <c r="I734"/>
  <c r="I733"/>
  <c r="I732"/>
  <c r="I726"/>
  <c r="I725"/>
  <c r="I724"/>
  <c r="I718"/>
  <c r="I717"/>
  <c r="I716"/>
  <c r="I710"/>
  <c r="I709"/>
  <c r="I708"/>
  <c r="I702"/>
  <c r="I701"/>
  <c r="I700"/>
  <c r="I694"/>
  <c r="I693"/>
  <c r="I692"/>
  <c r="I686"/>
  <c r="I685"/>
  <c r="I684"/>
  <c r="I678"/>
  <c r="I677"/>
  <c r="I676"/>
  <c r="I670"/>
  <c r="I669"/>
  <c r="I668"/>
  <c r="I662"/>
  <c r="I661"/>
  <c r="I660"/>
  <c r="I654"/>
  <c r="I653"/>
  <c r="I652"/>
  <c r="I646"/>
  <c r="I645"/>
  <c r="I644"/>
  <c r="I638"/>
  <c r="I637"/>
  <c r="I636"/>
  <c r="I630"/>
  <c r="I629"/>
  <c r="I628"/>
  <c r="I622"/>
  <c r="I621"/>
  <c r="I620"/>
  <c r="I614"/>
  <c r="I613"/>
  <c r="I612"/>
  <c r="I606"/>
  <c r="I605"/>
  <c r="I604"/>
  <c r="I598"/>
  <c r="I597"/>
  <c r="I596"/>
  <c r="I590"/>
  <c r="I589"/>
  <c r="I588"/>
  <c r="I582"/>
  <c r="I581"/>
  <c r="I580"/>
  <c r="I574"/>
  <c r="I573"/>
  <c r="I572"/>
  <c r="I566"/>
  <c r="I565"/>
  <c r="I564"/>
  <c r="I558"/>
  <c r="I557"/>
  <c r="I556"/>
  <c r="I550"/>
  <c r="I549"/>
  <c r="I548"/>
  <c r="I542"/>
  <c r="I541"/>
  <c r="I540"/>
  <c r="I534"/>
  <c r="I533"/>
  <c r="I532"/>
  <c r="I526"/>
  <c r="I525"/>
  <c r="I524"/>
  <c r="I518"/>
  <c r="I517"/>
  <c r="I516"/>
  <c r="I510"/>
  <c r="I509"/>
  <c r="I508"/>
  <c r="I502"/>
  <c r="I501"/>
  <c r="I500"/>
  <c r="I494"/>
  <c r="I493"/>
  <c r="I492"/>
  <c r="I486"/>
  <c r="I485"/>
  <c r="I484"/>
  <c r="I478"/>
  <c r="I477"/>
  <c r="I476"/>
  <c r="I470"/>
  <c r="I469"/>
  <c r="I468"/>
  <c r="I462"/>
  <c r="I461"/>
  <c r="I460"/>
  <c r="I454"/>
  <c r="I453"/>
  <c r="I452"/>
  <c r="I446"/>
  <c r="I445"/>
  <c r="I444"/>
  <c r="I438"/>
  <c r="I437"/>
  <c r="I436"/>
  <c r="I430"/>
  <c r="I429"/>
  <c r="I428"/>
  <c r="I422"/>
  <c r="I421"/>
  <c r="I420"/>
  <c r="I414"/>
  <c r="I413"/>
  <c r="I412"/>
  <c r="I406"/>
  <c r="I405"/>
  <c r="I404"/>
  <c r="I398"/>
  <c r="I397"/>
  <c r="I396"/>
  <c r="I390"/>
  <c r="I389"/>
  <c r="I388"/>
  <c r="I382"/>
  <c r="I381"/>
  <c r="I380"/>
  <c r="I374"/>
  <c r="I373"/>
  <c r="I372"/>
  <c r="I366"/>
  <c r="I365"/>
  <c r="I364"/>
  <c r="I358"/>
  <c r="I357"/>
  <c r="I356"/>
  <c r="I350"/>
  <c r="I349"/>
  <c r="I348"/>
  <c r="I342"/>
  <c r="I341"/>
  <c r="I340"/>
  <c r="I334"/>
  <c r="I333"/>
  <c r="I332"/>
  <c r="I326"/>
  <c r="I325"/>
  <c r="I324"/>
  <c r="I318"/>
  <c r="I317"/>
  <c r="I316"/>
  <c r="I310"/>
  <c r="I309"/>
  <c r="I308"/>
  <c r="I302"/>
  <c r="I301"/>
  <c r="I300"/>
  <c r="I294"/>
  <c r="I293"/>
  <c r="I292"/>
  <c r="I286"/>
  <c r="I285"/>
  <c r="I284"/>
  <c r="I278"/>
  <c r="I277"/>
  <c r="I276"/>
  <c r="I270"/>
  <c r="I269"/>
  <c r="I268"/>
  <c r="I262"/>
  <c r="I261"/>
  <c r="I260"/>
  <c r="I254"/>
  <c r="I253"/>
  <c r="I252"/>
  <c r="I246"/>
  <c r="I245"/>
  <c r="I244"/>
  <c r="I238"/>
  <c r="I237"/>
  <c r="I236"/>
  <c r="I230"/>
  <c r="I229"/>
  <c r="I228"/>
  <c r="I222"/>
  <c r="I221"/>
  <c r="I220"/>
  <c r="I214"/>
  <c r="I213"/>
  <c r="I212"/>
  <c r="I206"/>
  <c r="I205"/>
  <c r="I204"/>
  <c r="I198"/>
  <c r="I197"/>
  <c r="I196"/>
  <c r="I190"/>
  <c r="I189"/>
  <c r="I188"/>
  <c r="I182"/>
  <c r="I181"/>
  <c r="I180"/>
  <c r="I174"/>
  <c r="I173"/>
  <c r="I172"/>
  <c r="I166"/>
  <c r="I165"/>
  <c r="I164"/>
  <c r="I158"/>
  <c r="I157"/>
  <c r="I156"/>
  <c r="H979"/>
  <c r="H931"/>
  <c r="H883"/>
  <c r="H859"/>
  <c r="H819"/>
  <c r="H803"/>
  <c r="H771"/>
  <c r="H723"/>
  <c r="H707"/>
  <c r="H691"/>
  <c r="H675"/>
  <c r="H659"/>
  <c r="H651"/>
  <c r="H635"/>
  <c r="H627"/>
  <c r="H619"/>
  <c r="H611"/>
  <c r="H603"/>
  <c r="H595"/>
  <c r="H587"/>
  <c r="H579"/>
  <c r="H571"/>
  <c r="H563"/>
  <c r="H555"/>
  <c r="H547"/>
  <c r="H539"/>
  <c r="H531"/>
  <c r="H523"/>
  <c r="H515"/>
  <c r="H507"/>
  <c r="H499"/>
  <c r="H443"/>
  <c r="H435"/>
  <c r="H427"/>
  <c r="H419"/>
  <c r="H411"/>
  <c r="H403"/>
  <c r="H395"/>
  <c r="H387"/>
  <c r="H379"/>
  <c r="H371"/>
  <c r="H363"/>
  <c r="H355"/>
  <c r="H347"/>
  <c r="H339"/>
  <c r="H331"/>
  <c r="H323"/>
  <c r="H315"/>
  <c r="H307"/>
  <c r="H299"/>
  <c r="H291"/>
  <c r="H283"/>
  <c r="H275"/>
  <c r="H267"/>
  <c r="H259"/>
  <c r="H251"/>
  <c r="H243"/>
  <c r="H235"/>
  <c r="H227"/>
  <c r="H219"/>
  <c r="H211"/>
  <c r="H203"/>
  <c r="H195"/>
  <c r="H187"/>
  <c r="H179"/>
  <c r="H171"/>
  <c r="H163"/>
  <c r="H155"/>
  <c r="H996"/>
  <c r="H988"/>
  <c r="H980"/>
  <c r="H972"/>
  <c r="H964"/>
  <c r="H956"/>
  <c r="H948"/>
  <c r="H940"/>
  <c r="H932"/>
  <c r="H924"/>
  <c r="H916"/>
  <c r="H908"/>
  <c r="H900"/>
  <c r="H892"/>
  <c r="H884"/>
  <c r="H876"/>
  <c r="H868"/>
  <c r="H860"/>
  <c r="H852"/>
  <c r="H844"/>
  <c r="H836"/>
  <c r="H828"/>
  <c r="H820"/>
  <c r="H812"/>
  <c r="H804"/>
  <c r="H796"/>
  <c r="H788"/>
  <c r="H780"/>
  <c r="H772"/>
  <c r="H764"/>
  <c r="H756"/>
  <c r="H748"/>
  <c r="H740"/>
  <c r="H732"/>
  <c r="H724"/>
  <c r="H716"/>
  <c r="H708"/>
  <c r="H700"/>
  <c r="H692"/>
  <c r="H684"/>
  <c r="H676"/>
  <c r="H668"/>
  <c r="H660"/>
  <c r="H652"/>
  <c r="H644"/>
  <c r="H636"/>
  <c r="H628"/>
  <c r="H620"/>
  <c r="H612"/>
  <c r="H604"/>
  <c r="H596"/>
  <c r="H588"/>
  <c r="H580"/>
  <c r="H572"/>
  <c r="H564"/>
  <c r="H556"/>
  <c r="H548"/>
  <c r="H540"/>
  <c r="H532"/>
  <c r="H524"/>
  <c r="H516"/>
  <c r="H508"/>
  <c r="H500"/>
  <c r="H492"/>
  <c r="H484"/>
  <c r="H476"/>
  <c r="H468"/>
  <c r="H460"/>
  <c r="H452"/>
  <c r="H444"/>
  <c r="H436"/>
  <c r="H428"/>
  <c r="H420"/>
  <c r="H412"/>
  <c r="H404"/>
  <c r="H396"/>
  <c r="H388"/>
  <c r="H380"/>
  <c r="H372"/>
  <c r="H364"/>
  <c r="H356"/>
  <c r="H348"/>
  <c r="H340"/>
  <c r="H332"/>
  <c r="H324"/>
  <c r="H316"/>
  <c r="H308"/>
  <c r="H300"/>
  <c r="H292"/>
  <c r="H284"/>
  <c r="H276"/>
  <c r="H268"/>
  <c r="H260"/>
  <c r="H252"/>
  <c r="H244"/>
  <c r="H236"/>
  <c r="H228"/>
  <c r="H220"/>
  <c r="H212"/>
  <c r="H204"/>
  <c r="H196"/>
  <c r="H188"/>
  <c r="H180"/>
  <c r="H172"/>
  <c r="H164"/>
  <c r="H156"/>
  <c r="H987"/>
  <c r="H939"/>
  <c r="H867"/>
  <c r="H779"/>
  <c r="H451"/>
  <c r="H997"/>
  <c r="H989"/>
  <c r="H981"/>
  <c r="H973"/>
  <c r="H965"/>
  <c r="H957"/>
  <c r="H949"/>
  <c r="H941"/>
  <c r="H933"/>
  <c r="H925"/>
  <c r="H917"/>
  <c r="H909"/>
  <c r="H901"/>
  <c r="H893"/>
  <c r="H885"/>
  <c r="H877"/>
  <c r="H869"/>
  <c r="H861"/>
  <c r="H853"/>
  <c r="H845"/>
  <c r="H837"/>
  <c r="H829"/>
  <c r="H821"/>
  <c r="H813"/>
  <c r="H805"/>
  <c r="H797"/>
  <c r="H789"/>
  <c r="H781"/>
  <c r="H773"/>
  <c r="H765"/>
  <c r="H757"/>
  <c r="H749"/>
  <c r="H741"/>
  <c r="H733"/>
  <c r="H725"/>
  <c r="H717"/>
  <c r="H709"/>
  <c r="H701"/>
  <c r="H693"/>
  <c r="H685"/>
  <c r="H677"/>
  <c r="H669"/>
  <c r="H661"/>
  <c r="H653"/>
  <c r="H645"/>
  <c r="H637"/>
  <c r="H629"/>
  <c r="H621"/>
  <c r="H613"/>
  <c r="H605"/>
  <c r="H597"/>
  <c r="H589"/>
  <c r="H581"/>
  <c r="H573"/>
  <c r="H565"/>
  <c r="H557"/>
  <c r="H549"/>
  <c r="H541"/>
  <c r="H533"/>
  <c r="H525"/>
  <c r="H517"/>
  <c r="H509"/>
  <c r="H501"/>
  <c r="H493"/>
  <c r="H485"/>
  <c r="H477"/>
  <c r="H469"/>
  <c r="H461"/>
  <c r="H453"/>
  <c r="H445"/>
  <c r="H437"/>
  <c r="H429"/>
  <c r="H421"/>
  <c r="H413"/>
  <c r="H405"/>
  <c r="H397"/>
  <c r="H389"/>
  <c r="H381"/>
  <c r="H373"/>
  <c r="H365"/>
  <c r="H357"/>
  <c r="H349"/>
  <c r="H341"/>
  <c r="H333"/>
  <c r="H325"/>
  <c r="H317"/>
  <c r="H309"/>
  <c r="H301"/>
  <c r="H293"/>
  <c r="H285"/>
  <c r="H277"/>
  <c r="H269"/>
  <c r="H261"/>
  <c r="H253"/>
  <c r="H245"/>
  <c r="H237"/>
  <c r="H229"/>
  <c r="H221"/>
  <c r="H213"/>
  <c r="H205"/>
  <c r="H197"/>
  <c r="H189"/>
  <c r="H181"/>
  <c r="H173"/>
  <c r="H165"/>
  <c r="H157"/>
  <c r="H971"/>
  <c r="H923"/>
  <c r="H875"/>
  <c r="H851"/>
  <c r="H811"/>
  <c r="H795"/>
  <c r="H763"/>
  <c r="H731"/>
  <c r="H715"/>
  <c r="H699"/>
  <c r="H683"/>
  <c r="H667"/>
  <c r="H643"/>
  <c r="H467"/>
  <c r="H998"/>
  <c r="H990"/>
  <c r="H982"/>
  <c r="H974"/>
  <c r="H966"/>
  <c r="H958"/>
  <c r="H950"/>
  <c r="H942"/>
  <c r="H934"/>
  <c r="H926"/>
  <c r="H918"/>
  <c r="H910"/>
  <c r="H902"/>
  <c r="H894"/>
  <c r="H886"/>
  <c r="H878"/>
  <c r="H870"/>
  <c r="H862"/>
  <c r="H854"/>
  <c r="H846"/>
  <c r="H838"/>
  <c r="H830"/>
  <c r="H822"/>
  <c r="H814"/>
  <c r="H806"/>
  <c r="H798"/>
  <c r="H790"/>
  <c r="H782"/>
  <c r="H774"/>
  <c r="H766"/>
  <c r="H758"/>
  <c r="H750"/>
  <c r="H742"/>
  <c r="H734"/>
  <c r="H726"/>
  <c r="H718"/>
  <c r="H710"/>
  <c r="H702"/>
  <c r="H694"/>
  <c r="H686"/>
  <c r="H678"/>
  <c r="H670"/>
  <c r="H662"/>
  <c r="H654"/>
  <c r="H646"/>
  <c r="H638"/>
  <c r="H630"/>
  <c r="H622"/>
  <c r="H614"/>
  <c r="H606"/>
  <c r="H598"/>
  <c r="H590"/>
  <c r="H582"/>
  <c r="H574"/>
  <c r="H566"/>
  <c r="H558"/>
  <c r="H550"/>
  <c r="H542"/>
  <c r="H534"/>
  <c r="H526"/>
  <c r="H518"/>
  <c r="H510"/>
  <c r="H502"/>
  <c r="H494"/>
  <c r="H486"/>
  <c r="H478"/>
  <c r="H470"/>
  <c r="H462"/>
  <c r="H454"/>
  <c r="H446"/>
  <c r="H438"/>
  <c r="H430"/>
  <c r="H422"/>
  <c r="H414"/>
  <c r="H406"/>
  <c r="H398"/>
  <c r="H390"/>
  <c r="H382"/>
  <c r="H374"/>
  <c r="H366"/>
  <c r="H358"/>
  <c r="H350"/>
  <c r="H342"/>
  <c r="H334"/>
  <c r="H326"/>
  <c r="H318"/>
  <c r="H310"/>
  <c r="H302"/>
  <c r="H294"/>
  <c r="H286"/>
  <c r="H278"/>
  <c r="H270"/>
  <c r="H262"/>
  <c r="H254"/>
  <c r="H246"/>
  <c r="H238"/>
  <c r="H230"/>
  <c r="H222"/>
  <c r="H214"/>
  <c r="H206"/>
  <c r="H198"/>
  <c r="H190"/>
  <c r="H182"/>
  <c r="H174"/>
  <c r="H166"/>
  <c r="H158"/>
  <c r="H915"/>
  <c r="H787"/>
  <c r="H459"/>
  <c r="I999"/>
  <c r="H999"/>
  <c r="I991"/>
  <c r="H991"/>
  <c r="I983"/>
  <c r="H983"/>
  <c r="I975"/>
  <c r="H975"/>
  <c r="I967"/>
  <c r="H967"/>
  <c r="I959"/>
  <c r="H959"/>
  <c r="I951"/>
  <c r="H951"/>
  <c r="I943"/>
  <c r="H943"/>
  <c r="I935"/>
  <c r="H935"/>
  <c r="I927"/>
  <c r="H927"/>
  <c r="I919"/>
  <c r="H919"/>
  <c r="I911"/>
  <c r="H911"/>
  <c r="I903"/>
  <c r="H903"/>
  <c r="I895"/>
  <c r="H895"/>
  <c r="I887"/>
  <c r="H887"/>
  <c r="I879"/>
  <c r="H879"/>
  <c r="I871"/>
  <c r="H871"/>
  <c r="I863"/>
  <c r="H863"/>
  <c r="I855"/>
  <c r="H855"/>
  <c r="I847"/>
  <c r="H847"/>
  <c r="I839"/>
  <c r="H839"/>
  <c r="I831"/>
  <c r="H831"/>
  <c r="I823"/>
  <c r="H823"/>
  <c r="I815"/>
  <c r="H815"/>
  <c r="I807"/>
  <c r="H807"/>
  <c r="I799"/>
  <c r="H799"/>
  <c r="I791"/>
  <c r="H791"/>
  <c r="I783"/>
  <c r="H783"/>
  <c r="I775"/>
  <c r="H775"/>
  <c r="I767"/>
  <c r="H767"/>
  <c r="I759"/>
  <c r="H759"/>
  <c r="I751"/>
  <c r="H751"/>
  <c r="I743"/>
  <c r="H743"/>
  <c r="I735"/>
  <c r="H735"/>
  <c r="I727"/>
  <c r="H727"/>
  <c r="I719"/>
  <c r="H719"/>
  <c r="I711"/>
  <c r="H711"/>
  <c r="I703"/>
  <c r="H703"/>
  <c r="I695"/>
  <c r="H695"/>
  <c r="I687"/>
  <c r="H687"/>
  <c r="I679"/>
  <c r="H679"/>
  <c r="I671"/>
  <c r="H671"/>
  <c r="I663"/>
  <c r="H663"/>
  <c r="I655"/>
  <c r="H655"/>
  <c r="I647"/>
  <c r="H647"/>
  <c r="I639"/>
  <c r="H639"/>
  <c r="I631"/>
  <c r="H631"/>
  <c r="I623"/>
  <c r="H623"/>
  <c r="I615"/>
  <c r="H615"/>
  <c r="I607"/>
  <c r="H607"/>
  <c r="I599"/>
  <c r="H599"/>
  <c r="I591"/>
  <c r="H591"/>
  <c r="I583"/>
  <c r="H583"/>
  <c r="I575"/>
  <c r="H575"/>
  <c r="I567"/>
  <c r="H567"/>
  <c r="I559"/>
  <c r="H559"/>
  <c r="I551"/>
  <c r="H551"/>
  <c r="I543"/>
  <c r="H543"/>
  <c r="I535"/>
  <c r="H535"/>
  <c r="I527"/>
  <c r="H527"/>
  <c r="I519"/>
  <c r="H519"/>
  <c r="I511"/>
  <c r="H511"/>
  <c r="I503"/>
  <c r="H503"/>
  <c r="I495"/>
  <c r="H495"/>
  <c r="I487"/>
  <c r="H487"/>
  <c r="I479"/>
  <c r="H479"/>
  <c r="I471"/>
  <c r="H471"/>
  <c r="I463"/>
  <c r="H463"/>
  <c r="I455"/>
  <c r="H455"/>
  <c r="I447"/>
  <c r="H447"/>
  <c r="I439"/>
  <c r="H439"/>
  <c r="I431"/>
  <c r="H431"/>
  <c r="I423"/>
  <c r="H423"/>
  <c r="I415"/>
  <c r="H415"/>
  <c r="I407"/>
  <c r="H407"/>
  <c r="I399"/>
  <c r="H399"/>
  <c r="I391"/>
  <c r="H391"/>
  <c r="I383"/>
  <c r="H383"/>
  <c r="I375"/>
  <c r="H375"/>
  <c r="I367"/>
  <c r="H367"/>
  <c r="I359"/>
  <c r="H359"/>
  <c r="I351"/>
  <c r="H351"/>
  <c r="I343"/>
  <c r="H343"/>
  <c r="I335"/>
  <c r="H335"/>
  <c r="I327"/>
  <c r="H327"/>
  <c r="I319"/>
  <c r="H319"/>
  <c r="I311"/>
  <c r="H311"/>
  <c r="I303"/>
  <c r="H303"/>
  <c r="I295"/>
  <c r="H295"/>
  <c r="I287"/>
  <c r="H287"/>
  <c r="I279"/>
  <c r="H279"/>
  <c r="I271"/>
  <c r="H271"/>
  <c r="I263"/>
  <c r="H263"/>
  <c r="I255"/>
  <c r="H255"/>
  <c r="I247"/>
  <c r="H247"/>
  <c r="I239"/>
  <c r="H239"/>
  <c r="I231"/>
  <c r="H231"/>
  <c r="I223"/>
  <c r="H223"/>
  <c r="I215"/>
  <c r="H215"/>
  <c r="I207"/>
  <c r="H207"/>
  <c r="I199"/>
  <c r="H199"/>
  <c r="I191"/>
  <c r="H191"/>
  <c r="I183"/>
  <c r="H183"/>
  <c r="I175"/>
  <c r="H175"/>
  <c r="I167"/>
  <c r="H167"/>
  <c r="I159"/>
  <c r="H159"/>
  <c r="I151"/>
  <c r="H151"/>
  <c r="H995"/>
  <c r="H947"/>
  <c r="H907"/>
  <c r="H843"/>
  <c r="H755"/>
  <c r="H483"/>
  <c r="H168"/>
  <c r="H160"/>
  <c r="H152"/>
  <c r="I1000"/>
  <c r="H1000"/>
  <c r="I992"/>
  <c r="H992"/>
  <c r="I984"/>
  <c r="H984"/>
  <c r="I976"/>
  <c r="H976"/>
  <c r="I968"/>
  <c r="H968"/>
  <c r="I960"/>
  <c r="H960"/>
  <c r="I952"/>
  <c r="H952"/>
  <c r="I944"/>
  <c r="H944"/>
  <c r="I936"/>
  <c r="H936"/>
  <c r="I928"/>
  <c r="H928"/>
  <c r="I920"/>
  <c r="H920"/>
  <c r="I912"/>
  <c r="H912"/>
  <c r="I904"/>
  <c r="H904"/>
  <c r="I896"/>
  <c r="H896"/>
  <c r="I888"/>
  <c r="H888"/>
  <c r="I880"/>
  <c r="H880"/>
  <c r="I872"/>
  <c r="H872"/>
  <c r="I864"/>
  <c r="H864"/>
  <c r="I856"/>
  <c r="H856"/>
  <c r="I848"/>
  <c r="H848"/>
  <c r="I840"/>
  <c r="H840"/>
  <c r="I832"/>
  <c r="H832"/>
  <c r="I824"/>
  <c r="H824"/>
  <c r="I816"/>
  <c r="H816"/>
  <c r="I808"/>
  <c r="H808"/>
  <c r="I800"/>
  <c r="H800"/>
  <c r="I792"/>
  <c r="H792"/>
  <c r="I784"/>
  <c r="H784"/>
  <c r="I776"/>
  <c r="H776"/>
  <c r="I768"/>
  <c r="H768"/>
  <c r="I760"/>
  <c r="H760"/>
  <c r="I752"/>
  <c r="H752"/>
  <c r="I744"/>
  <c r="H744"/>
  <c r="I736"/>
  <c r="H736"/>
  <c r="I728"/>
  <c r="H728"/>
  <c r="I720"/>
  <c r="H720"/>
  <c r="I712"/>
  <c r="H712"/>
  <c r="I704"/>
  <c r="H704"/>
  <c r="I696"/>
  <c r="H696"/>
  <c r="I688"/>
  <c r="H688"/>
  <c r="I680"/>
  <c r="H680"/>
  <c r="I672"/>
  <c r="H672"/>
  <c r="I664"/>
  <c r="H664"/>
  <c r="I656"/>
  <c r="H656"/>
  <c r="I648"/>
  <c r="H648"/>
  <c r="I640"/>
  <c r="H640"/>
  <c r="I632"/>
  <c r="H632"/>
  <c r="I624"/>
  <c r="H624"/>
  <c r="I616"/>
  <c r="H616"/>
  <c r="I608"/>
  <c r="H608"/>
  <c r="I600"/>
  <c r="H600"/>
  <c r="I592"/>
  <c r="H592"/>
  <c r="I584"/>
  <c r="H584"/>
  <c r="I576"/>
  <c r="H576"/>
  <c r="I568"/>
  <c r="H568"/>
  <c r="I560"/>
  <c r="H560"/>
  <c r="I552"/>
  <c r="H552"/>
  <c r="I544"/>
  <c r="H544"/>
  <c r="I536"/>
  <c r="H536"/>
  <c r="I528"/>
  <c r="H528"/>
  <c r="I520"/>
  <c r="H520"/>
  <c r="I512"/>
  <c r="H512"/>
  <c r="I504"/>
  <c r="H504"/>
  <c r="I496"/>
  <c r="H496"/>
  <c r="I488"/>
  <c r="H488"/>
  <c r="I480"/>
  <c r="H480"/>
  <c r="I472"/>
  <c r="H472"/>
  <c r="I464"/>
  <c r="H464"/>
  <c r="I456"/>
  <c r="H456"/>
  <c r="I448"/>
  <c r="H448"/>
  <c r="I440"/>
  <c r="H440"/>
  <c r="I432"/>
  <c r="H432"/>
  <c r="I424"/>
  <c r="H424"/>
  <c r="I416"/>
  <c r="H416"/>
  <c r="I408"/>
  <c r="H408"/>
  <c r="I400"/>
  <c r="H400"/>
  <c r="I392"/>
  <c r="H392"/>
  <c r="I384"/>
  <c r="H384"/>
  <c r="I376"/>
  <c r="H376"/>
  <c r="I368"/>
  <c r="H368"/>
  <c r="I360"/>
  <c r="H360"/>
  <c r="I352"/>
  <c r="H352"/>
  <c r="I344"/>
  <c r="H344"/>
  <c r="I336"/>
  <c r="H336"/>
  <c r="I328"/>
  <c r="H328"/>
  <c r="I320"/>
  <c r="H320"/>
  <c r="I312"/>
  <c r="H312"/>
  <c r="I304"/>
  <c r="H304"/>
  <c r="I296"/>
  <c r="H296"/>
  <c r="I288"/>
  <c r="H288"/>
  <c r="I280"/>
  <c r="H280"/>
  <c r="I272"/>
  <c r="H272"/>
  <c r="I264"/>
  <c r="H264"/>
  <c r="I256"/>
  <c r="H256"/>
  <c r="I248"/>
  <c r="H248"/>
  <c r="I240"/>
  <c r="H240"/>
  <c r="I232"/>
  <c r="H232"/>
  <c r="I224"/>
  <c r="H224"/>
  <c r="I216"/>
  <c r="H216"/>
  <c r="I208"/>
  <c r="H208"/>
  <c r="I200"/>
  <c r="H200"/>
  <c r="I192"/>
  <c r="H192"/>
  <c r="I184"/>
  <c r="H184"/>
  <c r="I176"/>
  <c r="H176"/>
  <c r="H955"/>
  <c r="H899"/>
  <c r="H835"/>
  <c r="H747"/>
  <c r="H475"/>
  <c r="H1001"/>
  <c r="H993"/>
  <c r="H985"/>
  <c r="H977"/>
  <c r="H969"/>
  <c r="H961"/>
  <c r="H953"/>
  <c r="H945"/>
  <c r="H937"/>
  <c r="H929"/>
  <c r="H921"/>
  <c r="H913"/>
  <c r="H905"/>
  <c r="H897"/>
  <c r="H889"/>
  <c r="H881"/>
  <c r="H873"/>
  <c r="H865"/>
  <c r="H857"/>
  <c r="H849"/>
  <c r="H841"/>
  <c r="H833"/>
  <c r="H825"/>
  <c r="H817"/>
  <c r="H809"/>
  <c r="H801"/>
  <c r="H793"/>
  <c r="H785"/>
  <c r="H777"/>
  <c r="H769"/>
  <c r="H761"/>
  <c r="H753"/>
  <c r="H745"/>
  <c r="H737"/>
  <c r="H729"/>
  <c r="H721"/>
  <c r="H713"/>
  <c r="H705"/>
  <c r="H697"/>
  <c r="H689"/>
  <c r="H681"/>
  <c r="H673"/>
  <c r="H665"/>
  <c r="H657"/>
  <c r="H649"/>
  <c r="H641"/>
  <c r="H633"/>
  <c r="H625"/>
  <c r="H617"/>
  <c r="H609"/>
  <c r="H601"/>
  <c r="H593"/>
  <c r="H585"/>
  <c r="H577"/>
  <c r="H569"/>
  <c r="H561"/>
  <c r="H553"/>
  <c r="H545"/>
  <c r="H537"/>
  <c r="H529"/>
  <c r="H521"/>
  <c r="H513"/>
  <c r="H505"/>
  <c r="H497"/>
  <c r="H489"/>
  <c r="H481"/>
  <c r="H473"/>
  <c r="H465"/>
  <c r="H457"/>
  <c r="H449"/>
  <c r="H441"/>
  <c r="H433"/>
  <c r="H425"/>
  <c r="H417"/>
  <c r="H409"/>
  <c r="H401"/>
  <c r="H393"/>
  <c r="H385"/>
  <c r="H377"/>
  <c r="H369"/>
  <c r="H361"/>
  <c r="H353"/>
  <c r="H345"/>
  <c r="H337"/>
  <c r="H329"/>
  <c r="H321"/>
  <c r="H313"/>
  <c r="H305"/>
  <c r="H297"/>
  <c r="H289"/>
  <c r="H281"/>
  <c r="H273"/>
  <c r="H265"/>
  <c r="H257"/>
  <c r="H249"/>
  <c r="H241"/>
  <c r="H233"/>
  <c r="H225"/>
  <c r="H217"/>
  <c r="H209"/>
  <c r="H201"/>
  <c r="H193"/>
  <c r="H185"/>
  <c r="H177"/>
  <c r="H169"/>
  <c r="H161"/>
  <c r="H153"/>
  <c r="H963"/>
  <c r="H891"/>
  <c r="H827"/>
  <c r="H739"/>
  <c r="H491"/>
  <c r="H994"/>
  <c r="H986"/>
  <c r="H978"/>
  <c r="H970"/>
  <c r="H962"/>
  <c r="H954"/>
  <c r="H946"/>
  <c r="H938"/>
  <c r="H930"/>
  <c r="H922"/>
  <c r="H914"/>
  <c r="H906"/>
  <c r="H898"/>
  <c r="H890"/>
  <c r="H882"/>
  <c r="H874"/>
  <c r="H866"/>
  <c r="H858"/>
  <c r="H850"/>
  <c r="H842"/>
  <c r="H834"/>
  <c r="H826"/>
  <c r="H818"/>
  <c r="H810"/>
  <c r="H802"/>
  <c r="H794"/>
  <c r="H786"/>
  <c r="H778"/>
  <c r="H770"/>
  <c r="H762"/>
  <c r="H754"/>
  <c r="H746"/>
  <c r="H738"/>
  <c r="H730"/>
  <c r="H722"/>
  <c r="H714"/>
  <c r="H706"/>
  <c r="H698"/>
  <c r="H690"/>
  <c r="H682"/>
  <c r="H674"/>
  <c r="H666"/>
  <c r="H658"/>
  <c r="H650"/>
  <c r="H642"/>
  <c r="H634"/>
  <c r="H626"/>
  <c r="H618"/>
  <c r="H610"/>
  <c r="H602"/>
  <c r="H594"/>
  <c r="H586"/>
  <c r="H578"/>
  <c r="H570"/>
  <c r="H562"/>
  <c r="H554"/>
  <c r="H546"/>
  <c r="H538"/>
  <c r="H530"/>
  <c r="H522"/>
  <c r="H514"/>
  <c r="H506"/>
  <c r="H498"/>
  <c r="H490"/>
  <c r="H482"/>
  <c r="H474"/>
  <c r="H466"/>
  <c r="H458"/>
  <c r="H450"/>
  <c r="H442"/>
  <c r="H434"/>
  <c r="H426"/>
  <c r="H418"/>
  <c r="H410"/>
  <c r="H402"/>
  <c r="H394"/>
  <c r="H386"/>
  <c r="H378"/>
  <c r="H370"/>
  <c r="H362"/>
  <c r="H354"/>
  <c r="H346"/>
  <c r="H338"/>
  <c r="H330"/>
  <c r="H322"/>
  <c r="H314"/>
  <c r="H306"/>
  <c r="H298"/>
  <c r="H290"/>
  <c r="H282"/>
  <c r="H274"/>
  <c r="H266"/>
  <c r="H258"/>
  <c r="H250"/>
  <c r="H242"/>
  <c r="H234"/>
  <c r="H226"/>
  <c r="H218"/>
  <c r="H210"/>
  <c r="H202"/>
  <c r="H194"/>
  <c r="H186"/>
  <c r="H178"/>
  <c r="H170"/>
  <c r="H162"/>
  <c r="H154"/>
  <c r="I150"/>
  <c r="I146"/>
  <c r="I142"/>
  <c r="I138"/>
  <c r="I134"/>
  <c r="I130"/>
  <c r="I126"/>
  <c r="I122"/>
  <c r="I118"/>
  <c r="I114"/>
  <c r="I110"/>
  <c r="I106"/>
  <c r="I102"/>
  <c r="I98"/>
  <c r="I94"/>
  <c r="I90"/>
  <c r="I86"/>
  <c r="I82"/>
  <c r="I78"/>
  <c r="I74"/>
  <c r="I70"/>
  <c r="I66"/>
  <c r="I62"/>
  <c r="I58"/>
  <c r="I54"/>
  <c r="I50"/>
  <c r="I46"/>
  <c r="I42"/>
  <c r="I38"/>
  <c r="I34"/>
  <c r="I68"/>
  <c r="I32"/>
  <c r="H147"/>
  <c r="H143"/>
  <c r="H139"/>
  <c r="H135"/>
  <c r="H131"/>
  <c r="H127"/>
  <c r="H123"/>
  <c r="H119"/>
  <c r="H115"/>
  <c r="H111"/>
  <c r="H107"/>
  <c r="H103"/>
  <c r="H99"/>
  <c r="H95"/>
  <c r="H91"/>
  <c r="H87"/>
  <c r="H83"/>
  <c r="H79"/>
  <c r="H75"/>
  <c r="H71"/>
  <c r="H67"/>
  <c r="H63"/>
  <c r="H59"/>
  <c r="H55"/>
  <c r="H51"/>
  <c r="H47"/>
  <c r="H43"/>
  <c r="H39"/>
  <c r="H35"/>
  <c r="I132"/>
  <c r="I108"/>
  <c r="I88"/>
  <c r="I72"/>
  <c r="I44"/>
  <c r="H32"/>
  <c r="I147"/>
  <c r="I143"/>
  <c r="I139"/>
  <c r="I135"/>
  <c r="I131"/>
  <c r="I127"/>
  <c r="I123"/>
  <c r="I119"/>
  <c r="I115"/>
  <c r="I111"/>
  <c r="I107"/>
  <c r="I103"/>
  <c r="I99"/>
  <c r="I95"/>
  <c r="I91"/>
  <c r="I87"/>
  <c r="I83"/>
  <c r="I79"/>
  <c r="I75"/>
  <c r="I71"/>
  <c r="I67"/>
  <c r="I63"/>
  <c r="I59"/>
  <c r="I55"/>
  <c r="I51"/>
  <c r="I47"/>
  <c r="I43"/>
  <c r="I39"/>
  <c r="I35"/>
  <c r="I140"/>
  <c r="I116"/>
  <c r="I96"/>
  <c r="I76"/>
  <c r="I48"/>
  <c r="H148"/>
  <c r="H144"/>
  <c r="H140"/>
  <c r="H136"/>
  <c r="H132"/>
  <c r="H128"/>
  <c r="H124"/>
  <c r="H120"/>
  <c r="H116"/>
  <c r="H112"/>
  <c r="H108"/>
  <c r="H104"/>
  <c r="H100"/>
  <c r="H96"/>
  <c r="H92"/>
  <c r="H88"/>
  <c r="H84"/>
  <c r="H80"/>
  <c r="H76"/>
  <c r="H72"/>
  <c r="H68"/>
  <c r="H64"/>
  <c r="H60"/>
  <c r="H56"/>
  <c r="H52"/>
  <c r="H48"/>
  <c r="H44"/>
  <c r="H40"/>
  <c r="H36"/>
  <c r="I136"/>
  <c r="I112"/>
  <c r="I84"/>
  <c r="I64"/>
  <c r="I40"/>
  <c r="K151" l="1"/>
  <c r="J158"/>
  <c r="J166"/>
  <c r="J174"/>
  <c r="J182"/>
  <c r="J190"/>
  <c r="J198"/>
  <c r="J206"/>
  <c r="J214"/>
  <c r="J222"/>
  <c r="J230"/>
  <c r="J238"/>
  <c r="J246"/>
  <c r="J254"/>
  <c r="J262"/>
  <c r="J270"/>
  <c r="J278"/>
  <c r="J286"/>
  <c r="J294"/>
  <c r="J302"/>
  <c r="J310"/>
  <c r="J318"/>
  <c r="J326"/>
  <c r="J334"/>
  <c r="J342"/>
  <c r="J350"/>
  <c r="J358"/>
  <c r="J366"/>
  <c r="J374"/>
  <c r="J382"/>
  <c r="J390"/>
  <c r="J398"/>
  <c r="J406"/>
  <c r="J414"/>
  <c r="J422"/>
  <c r="J430"/>
  <c r="J438"/>
  <c r="J446"/>
  <c r="J454"/>
  <c r="J462"/>
  <c r="J470"/>
  <c r="J478"/>
  <c r="J486"/>
  <c r="J494"/>
  <c r="J502"/>
  <c r="J510"/>
  <c r="J518"/>
  <c r="J526"/>
  <c r="J534"/>
  <c r="J542"/>
  <c r="J550"/>
  <c r="J558"/>
  <c r="J566"/>
  <c r="J574"/>
  <c r="J582"/>
  <c r="J590"/>
  <c r="J598"/>
  <c r="J606"/>
  <c r="J614"/>
  <c r="J622"/>
  <c r="J630"/>
  <c r="J638"/>
  <c r="J646"/>
  <c r="J654"/>
  <c r="J662"/>
  <c r="J670"/>
  <c r="J678"/>
  <c r="J686"/>
  <c r="J694"/>
  <c r="J702"/>
  <c r="J710"/>
  <c r="J718"/>
  <c r="J726"/>
  <c r="J734"/>
  <c r="J742"/>
  <c r="J750"/>
  <c r="J758"/>
  <c r="J766"/>
  <c r="J774"/>
  <c r="J782"/>
  <c r="J790"/>
  <c r="J798"/>
  <c r="J806"/>
  <c r="J814"/>
  <c r="J822"/>
  <c r="J830"/>
  <c r="J838"/>
  <c r="J846"/>
  <c r="J854"/>
  <c r="J862"/>
  <c r="J870"/>
  <c r="J878"/>
  <c r="J886"/>
  <c r="J894"/>
  <c r="J902"/>
  <c r="J910"/>
  <c r="J918"/>
  <c r="J926"/>
  <c r="J934"/>
  <c r="J942"/>
  <c r="J950"/>
  <c r="J958"/>
  <c r="J966"/>
  <c r="J974"/>
  <c r="J982"/>
  <c r="J990"/>
  <c r="J998"/>
  <c r="J203"/>
  <c r="J547"/>
  <c r="J795"/>
  <c r="J963"/>
  <c r="J157"/>
  <c r="J165"/>
  <c r="J173"/>
  <c r="J181"/>
  <c r="J189"/>
  <c r="J197"/>
  <c r="J205"/>
  <c r="J213"/>
  <c r="J221"/>
  <c r="J229"/>
  <c r="J237"/>
  <c r="J245"/>
  <c r="J253"/>
  <c r="J261"/>
  <c r="J269"/>
  <c r="J277"/>
  <c r="J285"/>
  <c r="J293"/>
  <c r="J301"/>
  <c r="J309"/>
  <c r="J317"/>
  <c r="J325"/>
  <c r="J333"/>
  <c r="J341"/>
  <c r="J349"/>
  <c r="J357"/>
  <c r="J365"/>
  <c r="J373"/>
  <c r="J381"/>
  <c r="J389"/>
  <c r="J397"/>
  <c r="J405"/>
  <c r="J413"/>
  <c r="J421"/>
  <c r="J429"/>
  <c r="J437"/>
  <c r="J445"/>
  <c r="J453"/>
  <c r="J461"/>
  <c r="J469"/>
  <c r="J477"/>
  <c r="J485"/>
  <c r="J493"/>
  <c r="J501"/>
  <c r="J509"/>
  <c r="J517"/>
  <c r="J525"/>
  <c r="J533"/>
  <c r="J541"/>
  <c r="J549"/>
  <c r="J557"/>
  <c r="J565"/>
  <c r="J573"/>
  <c r="J581"/>
  <c r="J589"/>
  <c r="J597"/>
  <c r="J605"/>
  <c r="J613"/>
  <c r="J621"/>
  <c r="J629"/>
  <c r="J637"/>
  <c r="J645"/>
  <c r="J653"/>
  <c r="J661"/>
  <c r="J669"/>
  <c r="J677"/>
  <c r="J685"/>
  <c r="J693"/>
  <c r="J701"/>
  <c r="J709"/>
  <c r="J717"/>
  <c r="J725"/>
  <c r="J733"/>
  <c r="J741"/>
  <c r="J749"/>
  <c r="J757"/>
  <c r="J765"/>
  <c r="J773"/>
  <c r="J781"/>
  <c r="J789"/>
  <c r="J797"/>
  <c r="J805"/>
  <c r="J813"/>
  <c r="J821"/>
  <c r="J829"/>
  <c r="J837"/>
  <c r="J845"/>
  <c r="J853"/>
  <c r="J861"/>
  <c r="J869"/>
  <c r="J877"/>
  <c r="J885"/>
  <c r="J893"/>
  <c r="J901"/>
  <c r="J909"/>
  <c r="J917"/>
  <c r="J925"/>
  <c r="J933"/>
  <c r="J941"/>
  <c r="J949"/>
  <c r="J957"/>
  <c r="J965"/>
  <c r="J973"/>
  <c r="J981"/>
  <c r="J989"/>
  <c r="J997"/>
  <c r="J171"/>
  <c r="J235"/>
  <c r="J275"/>
  <c r="J323"/>
  <c r="J371"/>
  <c r="J419"/>
  <c r="J467"/>
  <c r="J515"/>
  <c r="J571"/>
  <c r="J619"/>
  <c r="J667"/>
  <c r="J715"/>
  <c r="J763"/>
  <c r="J819"/>
  <c r="J867"/>
  <c r="J915"/>
  <c r="J971"/>
  <c r="J156"/>
  <c r="J164"/>
  <c r="J172"/>
  <c r="J180"/>
  <c r="J188"/>
  <c r="J196"/>
  <c r="J204"/>
  <c r="J212"/>
  <c r="J220"/>
  <c r="J228"/>
  <c r="J236"/>
  <c r="J244"/>
  <c r="J252"/>
  <c r="J260"/>
  <c r="J268"/>
  <c r="J276"/>
  <c r="J284"/>
  <c r="J292"/>
  <c r="J300"/>
  <c r="J308"/>
  <c r="J316"/>
  <c r="J324"/>
  <c r="J332"/>
  <c r="J340"/>
  <c r="J348"/>
  <c r="J356"/>
  <c r="J364"/>
  <c r="J372"/>
  <c r="J380"/>
  <c r="J388"/>
  <c r="J396"/>
  <c r="J404"/>
  <c r="J412"/>
  <c r="J420"/>
  <c r="J428"/>
  <c r="J436"/>
  <c r="J444"/>
  <c r="J452"/>
  <c r="J460"/>
  <c r="J468"/>
  <c r="J476"/>
  <c r="J484"/>
  <c r="J492"/>
  <c r="J500"/>
  <c r="J508"/>
  <c r="J516"/>
  <c r="J524"/>
  <c r="J532"/>
  <c r="J540"/>
  <c r="J548"/>
  <c r="J556"/>
  <c r="J564"/>
  <c r="J572"/>
  <c r="J580"/>
  <c r="J588"/>
  <c r="J596"/>
  <c r="J604"/>
  <c r="J612"/>
  <c r="J620"/>
  <c r="J628"/>
  <c r="J636"/>
  <c r="J644"/>
  <c r="J652"/>
  <c r="J660"/>
  <c r="J668"/>
  <c r="J676"/>
  <c r="J684"/>
  <c r="J692"/>
  <c r="J700"/>
  <c r="J708"/>
  <c r="J716"/>
  <c r="J724"/>
  <c r="J732"/>
  <c r="J740"/>
  <c r="J748"/>
  <c r="J756"/>
  <c r="J764"/>
  <c r="J772"/>
  <c r="J780"/>
  <c r="J788"/>
  <c r="J796"/>
  <c r="J804"/>
  <c r="J812"/>
  <c r="J820"/>
  <c r="J828"/>
  <c r="J836"/>
  <c r="J844"/>
  <c r="J852"/>
  <c r="J860"/>
  <c r="J868"/>
  <c r="J876"/>
  <c r="J884"/>
  <c r="J892"/>
  <c r="J900"/>
  <c r="J908"/>
  <c r="J916"/>
  <c r="J924"/>
  <c r="J932"/>
  <c r="J940"/>
  <c r="J948"/>
  <c r="J956"/>
  <c r="J964"/>
  <c r="J972"/>
  <c r="J980"/>
  <c r="J988"/>
  <c r="J996"/>
  <c r="J179"/>
  <c r="J227"/>
  <c r="J283"/>
  <c r="J331"/>
  <c r="J379"/>
  <c r="J427"/>
  <c r="J475"/>
  <c r="J523"/>
  <c r="J579"/>
  <c r="J627"/>
  <c r="J675"/>
  <c r="J723"/>
  <c r="J771"/>
  <c r="J827"/>
  <c r="J875"/>
  <c r="J923"/>
  <c r="J979"/>
  <c r="J154"/>
  <c r="J162"/>
  <c r="J170"/>
  <c r="J178"/>
  <c r="J186"/>
  <c r="J194"/>
  <c r="J202"/>
  <c r="J210"/>
  <c r="J218"/>
  <c r="J226"/>
  <c r="J234"/>
  <c r="J242"/>
  <c r="J250"/>
  <c r="J258"/>
  <c r="J266"/>
  <c r="J274"/>
  <c r="J282"/>
  <c r="J290"/>
  <c r="J298"/>
  <c r="J306"/>
  <c r="J314"/>
  <c r="J322"/>
  <c r="J330"/>
  <c r="J338"/>
  <c r="J346"/>
  <c r="J354"/>
  <c r="J362"/>
  <c r="J370"/>
  <c r="J378"/>
  <c r="J386"/>
  <c r="J394"/>
  <c r="J402"/>
  <c r="J410"/>
  <c r="J418"/>
  <c r="J426"/>
  <c r="J434"/>
  <c r="J442"/>
  <c r="J450"/>
  <c r="J458"/>
  <c r="J466"/>
  <c r="J474"/>
  <c r="J482"/>
  <c r="J490"/>
  <c r="J498"/>
  <c r="J506"/>
  <c r="J514"/>
  <c r="J522"/>
  <c r="J530"/>
  <c r="J538"/>
  <c r="J546"/>
  <c r="J554"/>
  <c r="J562"/>
  <c r="J570"/>
  <c r="J578"/>
  <c r="J586"/>
  <c r="J594"/>
  <c r="J602"/>
  <c r="J610"/>
  <c r="J618"/>
  <c r="J626"/>
  <c r="J634"/>
  <c r="J642"/>
  <c r="J650"/>
  <c r="J658"/>
  <c r="J666"/>
  <c r="J674"/>
  <c r="J682"/>
  <c r="J690"/>
  <c r="J698"/>
  <c r="J706"/>
  <c r="J714"/>
  <c r="J722"/>
  <c r="J730"/>
  <c r="J738"/>
  <c r="J746"/>
  <c r="J754"/>
  <c r="J762"/>
  <c r="J770"/>
  <c r="J778"/>
  <c r="J786"/>
  <c r="J794"/>
  <c r="J802"/>
  <c r="J810"/>
  <c r="J818"/>
  <c r="J826"/>
  <c r="J834"/>
  <c r="J842"/>
  <c r="J850"/>
  <c r="J858"/>
  <c r="J866"/>
  <c r="J874"/>
  <c r="J882"/>
  <c r="J890"/>
  <c r="J898"/>
  <c r="J906"/>
  <c r="J914"/>
  <c r="J922"/>
  <c r="J930"/>
  <c r="J938"/>
  <c r="J946"/>
  <c r="J954"/>
  <c r="J962"/>
  <c r="J970"/>
  <c r="J978"/>
  <c r="J986"/>
  <c r="J994"/>
  <c r="J155"/>
  <c r="J219"/>
  <c r="J267"/>
  <c r="J307"/>
  <c r="J355"/>
  <c r="J403"/>
  <c r="J451"/>
  <c r="J507"/>
  <c r="J563"/>
  <c r="J603"/>
  <c r="J651"/>
  <c r="J707"/>
  <c r="J747"/>
  <c r="J803"/>
  <c r="J851"/>
  <c r="J907"/>
  <c r="J947"/>
  <c r="J153"/>
  <c r="J161"/>
  <c r="J169"/>
  <c r="J177"/>
  <c r="J185"/>
  <c r="J193"/>
  <c r="J201"/>
  <c r="J209"/>
  <c r="J217"/>
  <c r="J225"/>
  <c r="J233"/>
  <c r="J241"/>
  <c r="J249"/>
  <c r="J257"/>
  <c r="J265"/>
  <c r="J273"/>
  <c r="J281"/>
  <c r="J289"/>
  <c r="J297"/>
  <c r="J305"/>
  <c r="J313"/>
  <c r="J321"/>
  <c r="J329"/>
  <c r="J337"/>
  <c r="J345"/>
  <c r="J353"/>
  <c r="J361"/>
  <c r="J369"/>
  <c r="J377"/>
  <c r="J385"/>
  <c r="J393"/>
  <c r="J401"/>
  <c r="J409"/>
  <c r="J417"/>
  <c r="J425"/>
  <c r="J433"/>
  <c r="J441"/>
  <c r="J449"/>
  <c r="J457"/>
  <c r="J465"/>
  <c r="J473"/>
  <c r="J481"/>
  <c r="J489"/>
  <c r="J497"/>
  <c r="J505"/>
  <c r="J513"/>
  <c r="J521"/>
  <c r="J529"/>
  <c r="J537"/>
  <c r="J545"/>
  <c r="J553"/>
  <c r="J561"/>
  <c r="J569"/>
  <c r="J577"/>
  <c r="J585"/>
  <c r="J593"/>
  <c r="J601"/>
  <c r="J609"/>
  <c r="J617"/>
  <c r="J625"/>
  <c r="J633"/>
  <c r="J641"/>
  <c r="J649"/>
  <c r="J657"/>
  <c r="J665"/>
  <c r="J673"/>
  <c r="J681"/>
  <c r="J689"/>
  <c r="J697"/>
  <c r="J705"/>
  <c r="J713"/>
  <c r="J721"/>
  <c r="J729"/>
  <c r="J737"/>
  <c r="J745"/>
  <c r="J753"/>
  <c r="J761"/>
  <c r="J769"/>
  <c r="J777"/>
  <c r="J785"/>
  <c r="J793"/>
  <c r="J801"/>
  <c r="J809"/>
  <c r="J817"/>
  <c r="J825"/>
  <c r="J833"/>
  <c r="J841"/>
  <c r="J849"/>
  <c r="J857"/>
  <c r="J865"/>
  <c r="J873"/>
  <c r="J881"/>
  <c r="J889"/>
  <c r="J897"/>
  <c r="J905"/>
  <c r="J913"/>
  <c r="J921"/>
  <c r="J929"/>
  <c r="J937"/>
  <c r="J945"/>
  <c r="J953"/>
  <c r="J961"/>
  <c r="J969"/>
  <c r="J977"/>
  <c r="J985"/>
  <c r="J993"/>
  <c r="J1001"/>
  <c r="J163"/>
  <c r="J211"/>
  <c r="J259"/>
  <c r="J315"/>
  <c r="J363"/>
  <c r="J411"/>
  <c r="J459"/>
  <c r="J499"/>
  <c r="J555"/>
  <c r="J611"/>
  <c r="J659"/>
  <c r="J699"/>
  <c r="J755"/>
  <c r="J811"/>
  <c r="J859"/>
  <c r="J899"/>
  <c r="J955"/>
  <c r="J152"/>
  <c r="J160"/>
  <c r="J168"/>
  <c r="J176"/>
  <c r="J184"/>
  <c r="J192"/>
  <c r="J200"/>
  <c r="J208"/>
  <c r="J216"/>
  <c r="J224"/>
  <c r="J232"/>
  <c r="J240"/>
  <c r="J248"/>
  <c r="J256"/>
  <c r="J264"/>
  <c r="J272"/>
  <c r="J280"/>
  <c r="J288"/>
  <c r="J296"/>
  <c r="J304"/>
  <c r="J312"/>
  <c r="J320"/>
  <c r="J328"/>
  <c r="J336"/>
  <c r="J344"/>
  <c r="J352"/>
  <c r="J360"/>
  <c r="J368"/>
  <c r="J376"/>
  <c r="J384"/>
  <c r="J392"/>
  <c r="J400"/>
  <c r="J408"/>
  <c r="J416"/>
  <c r="J424"/>
  <c r="J432"/>
  <c r="J440"/>
  <c r="J448"/>
  <c r="J456"/>
  <c r="J464"/>
  <c r="J472"/>
  <c r="J480"/>
  <c r="J488"/>
  <c r="J496"/>
  <c r="J504"/>
  <c r="J512"/>
  <c r="J520"/>
  <c r="J528"/>
  <c r="J536"/>
  <c r="J544"/>
  <c r="J552"/>
  <c r="J560"/>
  <c r="J568"/>
  <c r="J576"/>
  <c r="J584"/>
  <c r="J592"/>
  <c r="J600"/>
  <c r="J608"/>
  <c r="J616"/>
  <c r="J624"/>
  <c r="J632"/>
  <c r="J640"/>
  <c r="J648"/>
  <c r="J656"/>
  <c r="J664"/>
  <c r="J672"/>
  <c r="J680"/>
  <c r="J688"/>
  <c r="J696"/>
  <c r="J704"/>
  <c r="J712"/>
  <c r="J720"/>
  <c r="J728"/>
  <c r="J736"/>
  <c r="J744"/>
  <c r="J752"/>
  <c r="J760"/>
  <c r="J768"/>
  <c r="J776"/>
  <c r="J784"/>
  <c r="J792"/>
  <c r="J800"/>
  <c r="J808"/>
  <c r="J816"/>
  <c r="J824"/>
  <c r="J832"/>
  <c r="J840"/>
  <c r="J848"/>
  <c r="J856"/>
  <c r="J864"/>
  <c r="J872"/>
  <c r="J880"/>
  <c r="J888"/>
  <c r="J896"/>
  <c r="J904"/>
  <c r="J912"/>
  <c r="J920"/>
  <c r="J928"/>
  <c r="J936"/>
  <c r="J944"/>
  <c r="J952"/>
  <c r="J960"/>
  <c r="J968"/>
  <c r="J976"/>
  <c r="J984"/>
  <c r="J992"/>
  <c r="J1000"/>
  <c r="J187"/>
  <c r="J251"/>
  <c r="J291"/>
  <c r="J339"/>
  <c r="J387"/>
  <c r="J443"/>
  <c r="J483"/>
  <c r="J531"/>
  <c r="J595"/>
  <c r="J635"/>
  <c r="J683"/>
  <c r="J739"/>
  <c r="J787"/>
  <c r="J843"/>
  <c r="J891"/>
  <c r="J931"/>
  <c r="J987"/>
  <c r="J151"/>
  <c r="J159"/>
  <c r="J167"/>
  <c r="J175"/>
  <c r="J183"/>
  <c r="J191"/>
  <c r="J199"/>
  <c r="J207"/>
  <c r="J215"/>
  <c r="J223"/>
  <c r="J231"/>
  <c r="J239"/>
  <c r="J247"/>
  <c r="J255"/>
  <c r="J263"/>
  <c r="J271"/>
  <c r="J279"/>
  <c r="J287"/>
  <c r="J295"/>
  <c r="J303"/>
  <c r="J311"/>
  <c r="J319"/>
  <c r="J327"/>
  <c r="J335"/>
  <c r="J343"/>
  <c r="J351"/>
  <c r="J359"/>
  <c r="J367"/>
  <c r="J375"/>
  <c r="J383"/>
  <c r="J391"/>
  <c r="J399"/>
  <c r="J407"/>
  <c r="J415"/>
  <c r="J423"/>
  <c r="J431"/>
  <c r="J439"/>
  <c r="J447"/>
  <c r="J455"/>
  <c r="J463"/>
  <c r="J471"/>
  <c r="J479"/>
  <c r="J487"/>
  <c r="J495"/>
  <c r="J503"/>
  <c r="J511"/>
  <c r="J519"/>
  <c r="J527"/>
  <c r="J535"/>
  <c r="J543"/>
  <c r="J551"/>
  <c r="J559"/>
  <c r="J567"/>
  <c r="J575"/>
  <c r="J583"/>
  <c r="J591"/>
  <c r="J599"/>
  <c r="J607"/>
  <c r="J615"/>
  <c r="J623"/>
  <c r="J631"/>
  <c r="J639"/>
  <c r="J647"/>
  <c r="J655"/>
  <c r="J663"/>
  <c r="J671"/>
  <c r="J679"/>
  <c r="J687"/>
  <c r="J695"/>
  <c r="J703"/>
  <c r="J711"/>
  <c r="J719"/>
  <c r="J727"/>
  <c r="J735"/>
  <c r="J743"/>
  <c r="J751"/>
  <c r="J759"/>
  <c r="J767"/>
  <c r="J775"/>
  <c r="J783"/>
  <c r="J791"/>
  <c r="J799"/>
  <c r="J807"/>
  <c r="J815"/>
  <c r="J823"/>
  <c r="J831"/>
  <c r="J839"/>
  <c r="J847"/>
  <c r="J855"/>
  <c r="J863"/>
  <c r="J871"/>
  <c r="J879"/>
  <c r="J887"/>
  <c r="J895"/>
  <c r="J903"/>
  <c r="J911"/>
  <c r="J919"/>
  <c r="J927"/>
  <c r="J935"/>
  <c r="J943"/>
  <c r="J951"/>
  <c r="J959"/>
  <c r="J967"/>
  <c r="J975"/>
  <c r="J983"/>
  <c r="J991"/>
  <c r="J999"/>
  <c r="J195"/>
  <c r="J243"/>
  <c r="J299"/>
  <c r="J347"/>
  <c r="J395"/>
  <c r="J435"/>
  <c r="J491"/>
  <c r="J539"/>
  <c r="J587"/>
  <c r="J643"/>
  <c r="J691"/>
  <c r="J731"/>
  <c r="J779"/>
  <c r="J835"/>
  <c r="J883"/>
  <c r="J939"/>
  <c r="J995"/>
  <c r="K537"/>
  <c r="K545"/>
  <c r="K553"/>
  <c r="K561"/>
  <c r="K569"/>
  <c r="K577"/>
  <c r="K585"/>
  <c r="K593"/>
  <c r="K601"/>
  <c r="K609"/>
  <c r="K617"/>
  <c r="K625"/>
  <c r="K633"/>
  <c r="K641"/>
  <c r="K649"/>
  <c r="K657"/>
  <c r="K665"/>
  <c r="K673"/>
  <c r="K681"/>
  <c r="K689"/>
  <c r="K697"/>
  <c r="K705"/>
  <c r="K713"/>
  <c r="K721"/>
  <c r="K729"/>
  <c r="K737"/>
  <c r="K745"/>
  <c r="K753"/>
  <c r="K761"/>
  <c r="K769"/>
  <c r="K777"/>
  <c r="K785"/>
  <c r="K793"/>
  <c r="K801"/>
  <c r="K809"/>
  <c r="K817"/>
  <c r="K825"/>
  <c r="K833"/>
  <c r="K841"/>
  <c r="K849"/>
  <c r="K857"/>
  <c r="K865"/>
  <c r="K873"/>
  <c r="K881"/>
  <c r="K889"/>
  <c r="K897"/>
  <c r="K905"/>
  <c r="K913"/>
  <c r="K921"/>
  <c r="K929"/>
  <c r="K937"/>
  <c r="K945"/>
  <c r="K953"/>
  <c r="K961"/>
  <c r="K969"/>
  <c r="K977"/>
  <c r="K985"/>
  <c r="K993"/>
  <c r="K1001"/>
  <c r="K538"/>
  <c r="K586"/>
  <c r="K642"/>
  <c r="K682"/>
  <c r="K738"/>
  <c r="K794"/>
  <c r="K850"/>
  <c r="K906"/>
  <c r="K962"/>
  <c r="K536"/>
  <c r="K544"/>
  <c r="K552"/>
  <c r="K560"/>
  <c r="K568"/>
  <c r="K576"/>
  <c r="K584"/>
  <c r="K592"/>
  <c r="K600"/>
  <c r="K608"/>
  <c r="K616"/>
  <c r="K624"/>
  <c r="K632"/>
  <c r="K640"/>
  <c r="K648"/>
  <c r="K656"/>
  <c r="K664"/>
  <c r="K672"/>
  <c r="K680"/>
  <c r="K688"/>
  <c r="K696"/>
  <c r="K704"/>
  <c r="K712"/>
  <c r="K720"/>
  <c r="K728"/>
  <c r="K736"/>
  <c r="K744"/>
  <c r="K752"/>
  <c r="K760"/>
  <c r="K768"/>
  <c r="K776"/>
  <c r="K784"/>
  <c r="K792"/>
  <c r="K800"/>
  <c r="K808"/>
  <c r="K816"/>
  <c r="K824"/>
  <c r="K832"/>
  <c r="K840"/>
  <c r="K848"/>
  <c r="K856"/>
  <c r="K864"/>
  <c r="K872"/>
  <c r="K880"/>
  <c r="K888"/>
  <c r="K896"/>
  <c r="K904"/>
  <c r="K912"/>
  <c r="K920"/>
  <c r="K928"/>
  <c r="K936"/>
  <c r="K944"/>
  <c r="K952"/>
  <c r="K960"/>
  <c r="K968"/>
  <c r="K976"/>
  <c r="K984"/>
  <c r="K992"/>
  <c r="K1000"/>
  <c r="K578"/>
  <c r="K634"/>
  <c r="K674"/>
  <c r="K730"/>
  <c r="K786"/>
  <c r="K842"/>
  <c r="K898"/>
  <c r="K954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594"/>
  <c r="K650"/>
  <c r="K706"/>
  <c r="K762"/>
  <c r="K826"/>
  <c r="K866"/>
  <c r="K914"/>
  <c r="K970"/>
  <c r="K542"/>
  <c r="K550"/>
  <c r="K558"/>
  <c r="K566"/>
  <c r="K574"/>
  <c r="K582"/>
  <c r="K590"/>
  <c r="K598"/>
  <c r="K606"/>
  <c r="K614"/>
  <c r="K622"/>
  <c r="K630"/>
  <c r="K638"/>
  <c r="K646"/>
  <c r="K654"/>
  <c r="K662"/>
  <c r="K670"/>
  <c r="K678"/>
  <c r="K686"/>
  <c r="K694"/>
  <c r="K702"/>
  <c r="K710"/>
  <c r="K718"/>
  <c r="K726"/>
  <c r="K734"/>
  <c r="K742"/>
  <c r="K750"/>
  <c r="K758"/>
  <c r="K766"/>
  <c r="K774"/>
  <c r="K782"/>
  <c r="K790"/>
  <c r="K798"/>
  <c r="K806"/>
  <c r="K814"/>
  <c r="K822"/>
  <c r="K830"/>
  <c r="K838"/>
  <c r="K846"/>
  <c r="K854"/>
  <c r="K862"/>
  <c r="K870"/>
  <c r="K878"/>
  <c r="K886"/>
  <c r="K894"/>
  <c r="K902"/>
  <c r="K910"/>
  <c r="K918"/>
  <c r="K926"/>
  <c r="K934"/>
  <c r="K942"/>
  <c r="K950"/>
  <c r="K958"/>
  <c r="K966"/>
  <c r="K974"/>
  <c r="K982"/>
  <c r="K990"/>
  <c r="K998"/>
  <c r="K554"/>
  <c r="K618"/>
  <c r="K690"/>
  <c r="K746"/>
  <c r="K802"/>
  <c r="K858"/>
  <c r="K930"/>
  <c r="K986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562"/>
  <c r="K626"/>
  <c r="K698"/>
  <c r="K754"/>
  <c r="K810"/>
  <c r="K874"/>
  <c r="K938"/>
  <c r="K994"/>
  <c r="K540"/>
  <c r="K548"/>
  <c r="K556"/>
  <c r="K564"/>
  <c r="K572"/>
  <c r="K580"/>
  <c r="K588"/>
  <c r="K596"/>
  <c r="K604"/>
  <c r="K612"/>
  <c r="K620"/>
  <c r="K628"/>
  <c r="K636"/>
  <c r="K644"/>
  <c r="K652"/>
  <c r="K660"/>
  <c r="K668"/>
  <c r="K676"/>
  <c r="K684"/>
  <c r="K692"/>
  <c r="K700"/>
  <c r="K708"/>
  <c r="K716"/>
  <c r="K724"/>
  <c r="K732"/>
  <c r="K740"/>
  <c r="K748"/>
  <c r="K756"/>
  <c r="K764"/>
  <c r="K772"/>
  <c r="K780"/>
  <c r="K788"/>
  <c r="K796"/>
  <c r="K804"/>
  <c r="K812"/>
  <c r="K820"/>
  <c r="K828"/>
  <c r="K836"/>
  <c r="K844"/>
  <c r="K852"/>
  <c r="K860"/>
  <c r="K868"/>
  <c r="K876"/>
  <c r="K884"/>
  <c r="K892"/>
  <c r="K900"/>
  <c r="K908"/>
  <c r="K916"/>
  <c r="K924"/>
  <c r="K932"/>
  <c r="K940"/>
  <c r="K948"/>
  <c r="K956"/>
  <c r="K964"/>
  <c r="K972"/>
  <c r="K980"/>
  <c r="K988"/>
  <c r="K996"/>
  <c r="K570"/>
  <c r="K610"/>
  <c r="K666"/>
  <c r="K722"/>
  <c r="K778"/>
  <c r="K834"/>
  <c r="K890"/>
  <c r="K946"/>
  <c r="K539"/>
  <c r="K547"/>
  <c r="K555"/>
  <c r="K563"/>
  <c r="K571"/>
  <c r="K579"/>
  <c r="K587"/>
  <c r="K595"/>
  <c r="K603"/>
  <c r="K611"/>
  <c r="K619"/>
  <c r="K627"/>
  <c r="K635"/>
  <c r="K643"/>
  <c r="K651"/>
  <c r="K659"/>
  <c r="K667"/>
  <c r="K675"/>
  <c r="K683"/>
  <c r="K691"/>
  <c r="K699"/>
  <c r="K707"/>
  <c r="K715"/>
  <c r="K723"/>
  <c r="K731"/>
  <c r="K739"/>
  <c r="K747"/>
  <c r="K755"/>
  <c r="K763"/>
  <c r="K771"/>
  <c r="K779"/>
  <c r="K787"/>
  <c r="K795"/>
  <c r="K803"/>
  <c r="K811"/>
  <c r="K819"/>
  <c r="K827"/>
  <c r="K835"/>
  <c r="K843"/>
  <c r="K851"/>
  <c r="K859"/>
  <c r="K867"/>
  <c r="K875"/>
  <c r="K883"/>
  <c r="K891"/>
  <c r="K899"/>
  <c r="K907"/>
  <c r="K915"/>
  <c r="K923"/>
  <c r="K931"/>
  <c r="K939"/>
  <c r="K947"/>
  <c r="K955"/>
  <c r="K963"/>
  <c r="K971"/>
  <c r="K979"/>
  <c r="K987"/>
  <c r="K995"/>
  <c r="K546"/>
  <c r="K602"/>
  <c r="K658"/>
  <c r="K714"/>
  <c r="K770"/>
  <c r="K818"/>
  <c r="K882"/>
  <c r="K922"/>
  <c r="K978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M40"/>
  <c r="M48"/>
  <c r="M56"/>
  <c r="M64"/>
  <c r="M72"/>
  <c r="M80"/>
  <c r="M88"/>
  <c r="M96"/>
  <c r="M104"/>
  <c r="M112"/>
  <c r="M120"/>
  <c r="M128"/>
  <c r="M136"/>
  <c r="M144"/>
  <c r="M152"/>
  <c r="M160"/>
  <c r="M168"/>
  <c r="M176"/>
  <c r="M184"/>
  <c r="M192"/>
  <c r="M200"/>
  <c r="M208"/>
  <c r="M216"/>
  <c r="M224"/>
  <c r="M232"/>
  <c r="M240"/>
  <c r="M248"/>
  <c r="M256"/>
  <c r="M264"/>
  <c r="M272"/>
  <c r="M280"/>
  <c r="M288"/>
  <c r="M296"/>
  <c r="M304"/>
  <c r="M312"/>
  <c r="M320"/>
  <c r="M328"/>
  <c r="M336"/>
  <c r="M344"/>
  <c r="M352"/>
  <c r="M360"/>
  <c r="M368"/>
  <c r="M376"/>
  <c r="M384"/>
  <c r="M392"/>
  <c r="M400"/>
  <c r="M408"/>
  <c r="M416"/>
  <c r="M424"/>
  <c r="M432"/>
  <c r="M440"/>
  <c r="M448"/>
  <c r="M456"/>
  <c r="M464"/>
  <c r="M472"/>
  <c r="M480"/>
  <c r="M488"/>
  <c r="M496"/>
  <c r="M504"/>
  <c r="M512"/>
  <c r="M520"/>
  <c r="M528"/>
  <c r="M536"/>
  <c r="M544"/>
  <c r="M552"/>
  <c r="M560"/>
  <c r="M568"/>
  <c r="M576"/>
  <c r="M584"/>
  <c r="M592"/>
  <c r="M600"/>
  <c r="M608"/>
  <c r="M616"/>
  <c r="M624"/>
  <c r="M632"/>
  <c r="M640"/>
  <c r="M648"/>
  <c r="M656"/>
  <c r="M664"/>
  <c r="M672"/>
  <c r="M680"/>
  <c r="M688"/>
  <c r="M696"/>
  <c r="M704"/>
  <c r="M712"/>
  <c r="M720"/>
  <c r="M728"/>
  <c r="M736"/>
  <c r="M744"/>
  <c r="M752"/>
  <c r="M760"/>
  <c r="M768"/>
  <c r="M776"/>
  <c r="M784"/>
  <c r="M792"/>
  <c r="M800"/>
  <c r="M808"/>
  <c r="M816"/>
  <c r="M824"/>
  <c r="M832"/>
  <c r="M840"/>
  <c r="M848"/>
  <c r="M856"/>
  <c r="M864"/>
  <c r="M872"/>
  <c r="M880"/>
  <c r="M888"/>
  <c r="M896"/>
  <c r="M904"/>
  <c r="M912"/>
  <c r="M936"/>
  <c r="M960"/>
  <c r="M39"/>
  <c r="M47"/>
  <c r="M55"/>
  <c r="M63"/>
  <c r="M71"/>
  <c r="M79"/>
  <c r="M87"/>
  <c r="M95"/>
  <c r="M103"/>
  <c r="M111"/>
  <c r="M119"/>
  <c r="M127"/>
  <c r="M135"/>
  <c r="M143"/>
  <c r="M151"/>
  <c r="M159"/>
  <c r="M167"/>
  <c r="M175"/>
  <c r="M183"/>
  <c r="M191"/>
  <c r="M199"/>
  <c r="M207"/>
  <c r="M215"/>
  <c r="M223"/>
  <c r="M231"/>
  <c r="M239"/>
  <c r="M247"/>
  <c r="M255"/>
  <c r="M263"/>
  <c r="M271"/>
  <c r="M279"/>
  <c r="M287"/>
  <c r="M295"/>
  <c r="M303"/>
  <c r="M311"/>
  <c r="M319"/>
  <c r="M327"/>
  <c r="M335"/>
  <c r="M343"/>
  <c r="M351"/>
  <c r="M359"/>
  <c r="M367"/>
  <c r="M375"/>
  <c r="M383"/>
  <c r="M391"/>
  <c r="M399"/>
  <c r="M407"/>
  <c r="M415"/>
  <c r="M423"/>
  <c r="M431"/>
  <c r="M439"/>
  <c r="M447"/>
  <c r="M455"/>
  <c r="M463"/>
  <c r="M471"/>
  <c r="M479"/>
  <c r="M487"/>
  <c r="M495"/>
  <c r="M503"/>
  <c r="M511"/>
  <c r="M519"/>
  <c r="M527"/>
  <c r="M535"/>
  <c r="M543"/>
  <c r="M551"/>
  <c r="M559"/>
  <c r="M567"/>
  <c r="M575"/>
  <c r="M583"/>
  <c r="M591"/>
  <c r="M599"/>
  <c r="M607"/>
  <c r="M615"/>
  <c r="M623"/>
  <c r="M631"/>
  <c r="M639"/>
  <c r="M647"/>
  <c r="M655"/>
  <c r="M663"/>
  <c r="M671"/>
  <c r="M679"/>
  <c r="M687"/>
  <c r="M695"/>
  <c r="M703"/>
  <c r="M711"/>
  <c r="M719"/>
  <c r="M727"/>
  <c r="M735"/>
  <c r="M743"/>
  <c r="M751"/>
  <c r="M759"/>
  <c r="M767"/>
  <c r="M775"/>
  <c r="M783"/>
  <c r="M791"/>
  <c r="M799"/>
  <c r="M807"/>
  <c r="M815"/>
  <c r="M823"/>
  <c r="M831"/>
  <c r="M839"/>
  <c r="M847"/>
  <c r="M855"/>
  <c r="M863"/>
  <c r="M871"/>
  <c r="M879"/>
  <c r="M887"/>
  <c r="M895"/>
  <c r="M903"/>
  <c r="M911"/>
  <c r="M919"/>
  <c r="M927"/>
  <c r="M935"/>
  <c r="M943"/>
  <c r="M951"/>
  <c r="M959"/>
  <c r="M967"/>
  <c r="M975"/>
  <c r="M983"/>
  <c r="M991"/>
  <c r="M999"/>
  <c r="J38"/>
  <c r="J46"/>
  <c r="J54"/>
  <c r="J62"/>
  <c r="J70"/>
  <c r="J78"/>
  <c r="J86"/>
  <c r="J94"/>
  <c r="J102"/>
  <c r="J110"/>
  <c r="J118"/>
  <c r="J126"/>
  <c r="J134"/>
  <c r="J142"/>
  <c r="J150"/>
  <c r="M933"/>
  <c r="M957"/>
  <c r="M973"/>
  <c r="M997"/>
  <c r="M38"/>
  <c r="M46"/>
  <c r="M54"/>
  <c r="M62"/>
  <c r="M70"/>
  <c r="M78"/>
  <c r="M86"/>
  <c r="M94"/>
  <c r="M102"/>
  <c r="M110"/>
  <c r="M118"/>
  <c r="M126"/>
  <c r="M134"/>
  <c r="M142"/>
  <c r="M150"/>
  <c r="M158"/>
  <c r="M166"/>
  <c r="M174"/>
  <c r="M182"/>
  <c r="M190"/>
  <c r="M198"/>
  <c r="M206"/>
  <c r="M214"/>
  <c r="M222"/>
  <c r="M230"/>
  <c r="M238"/>
  <c r="M246"/>
  <c r="M254"/>
  <c r="M262"/>
  <c r="M270"/>
  <c r="M278"/>
  <c r="M286"/>
  <c r="M294"/>
  <c r="M302"/>
  <c r="M310"/>
  <c r="M318"/>
  <c r="M326"/>
  <c r="M334"/>
  <c r="M342"/>
  <c r="M350"/>
  <c r="M358"/>
  <c r="M366"/>
  <c r="M374"/>
  <c r="M382"/>
  <c r="M390"/>
  <c r="M398"/>
  <c r="M406"/>
  <c r="M414"/>
  <c r="M422"/>
  <c r="M430"/>
  <c r="M438"/>
  <c r="M446"/>
  <c r="M454"/>
  <c r="M462"/>
  <c r="M470"/>
  <c r="M478"/>
  <c r="M486"/>
  <c r="M494"/>
  <c r="M502"/>
  <c r="M510"/>
  <c r="M518"/>
  <c r="M526"/>
  <c r="M534"/>
  <c r="M542"/>
  <c r="M550"/>
  <c r="M558"/>
  <c r="M566"/>
  <c r="M574"/>
  <c r="M582"/>
  <c r="M590"/>
  <c r="M598"/>
  <c r="M606"/>
  <c r="M614"/>
  <c r="M622"/>
  <c r="M630"/>
  <c r="M638"/>
  <c r="M646"/>
  <c r="M654"/>
  <c r="M662"/>
  <c r="M670"/>
  <c r="M678"/>
  <c r="M686"/>
  <c r="M694"/>
  <c r="M702"/>
  <c r="M710"/>
  <c r="M718"/>
  <c r="M726"/>
  <c r="M734"/>
  <c r="M742"/>
  <c r="M750"/>
  <c r="M758"/>
  <c r="M766"/>
  <c r="M774"/>
  <c r="M782"/>
  <c r="M790"/>
  <c r="M798"/>
  <c r="M806"/>
  <c r="M814"/>
  <c r="M822"/>
  <c r="M830"/>
  <c r="M838"/>
  <c r="M846"/>
  <c r="M854"/>
  <c r="M862"/>
  <c r="M870"/>
  <c r="M878"/>
  <c r="M886"/>
  <c r="M894"/>
  <c r="M902"/>
  <c r="M910"/>
  <c r="M918"/>
  <c r="M926"/>
  <c r="M934"/>
  <c r="M942"/>
  <c r="M950"/>
  <c r="M958"/>
  <c r="M966"/>
  <c r="M974"/>
  <c r="M982"/>
  <c r="M990"/>
  <c r="M998"/>
  <c r="J37"/>
  <c r="J45"/>
  <c r="J53"/>
  <c r="J61"/>
  <c r="J69"/>
  <c r="J77"/>
  <c r="J85"/>
  <c r="J93"/>
  <c r="J101"/>
  <c r="J109"/>
  <c r="J117"/>
  <c r="J125"/>
  <c r="J133"/>
  <c r="J141"/>
  <c r="J149"/>
  <c r="M925"/>
  <c r="M949"/>
  <c r="M981"/>
  <c r="J36"/>
  <c r="J44"/>
  <c r="J52"/>
  <c r="J60"/>
  <c r="J68"/>
  <c r="J76"/>
  <c r="J84"/>
  <c r="J92"/>
  <c r="J100"/>
  <c r="J108"/>
  <c r="J116"/>
  <c r="M37"/>
  <c r="M45"/>
  <c r="M53"/>
  <c r="M61"/>
  <c r="M69"/>
  <c r="M77"/>
  <c r="M85"/>
  <c r="M93"/>
  <c r="M101"/>
  <c r="M109"/>
  <c r="M117"/>
  <c r="M125"/>
  <c r="M133"/>
  <c r="M141"/>
  <c r="M149"/>
  <c r="M157"/>
  <c r="M165"/>
  <c r="M173"/>
  <c r="M181"/>
  <c r="M189"/>
  <c r="M197"/>
  <c r="M205"/>
  <c r="M213"/>
  <c r="M221"/>
  <c r="M229"/>
  <c r="M237"/>
  <c r="M245"/>
  <c r="M253"/>
  <c r="M261"/>
  <c r="M269"/>
  <c r="M277"/>
  <c r="M285"/>
  <c r="M293"/>
  <c r="M301"/>
  <c r="M309"/>
  <c r="M317"/>
  <c r="M325"/>
  <c r="M333"/>
  <c r="M341"/>
  <c r="M349"/>
  <c r="M357"/>
  <c r="M365"/>
  <c r="M373"/>
  <c r="M381"/>
  <c r="M389"/>
  <c r="M397"/>
  <c r="M405"/>
  <c r="M413"/>
  <c r="M421"/>
  <c r="M429"/>
  <c r="M437"/>
  <c r="M445"/>
  <c r="M453"/>
  <c r="M461"/>
  <c r="M469"/>
  <c r="M477"/>
  <c r="M485"/>
  <c r="M493"/>
  <c r="M501"/>
  <c r="M509"/>
  <c r="M517"/>
  <c r="M525"/>
  <c r="M533"/>
  <c r="M541"/>
  <c r="M549"/>
  <c r="M557"/>
  <c r="M565"/>
  <c r="M573"/>
  <c r="M581"/>
  <c r="M589"/>
  <c r="M597"/>
  <c r="M605"/>
  <c r="M613"/>
  <c r="M621"/>
  <c r="M629"/>
  <c r="M637"/>
  <c r="M645"/>
  <c r="M653"/>
  <c r="M661"/>
  <c r="M669"/>
  <c r="M677"/>
  <c r="M685"/>
  <c r="M693"/>
  <c r="M701"/>
  <c r="M709"/>
  <c r="M717"/>
  <c r="M725"/>
  <c r="M733"/>
  <c r="M741"/>
  <c r="M749"/>
  <c r="M757"/>
  <c r="M765"/>
  <c r="M773"/>
  <c r="M781"/>
  <c r="M789"/>
  <c r="M797"/>
  <c r="M805"/>
  <c r="M813"/>
  <c r="M821"/>
  <c r="M829"/>
  <c r="M837"/>
  <c r="M845"/>
  <c r="M853"/>
  <c r="M861"/>
  <c r="M869"/>
  <c r="M877"/>
  <c r="M885"/>
  <c r="M893"/>
  <c r="M901"/>
  <c r="M909"/>
  <c r="M917"/>
  <c r="M941"/>
  <c r="M965"/>
  <c r="M989"/>
  <c r="M36"/>
  <c r="M44"/>
  <c r="M52"/>
  <c r="M60"/>
  <c r="M68"/>
  <c r="M76"/>
  <c r="M84"/>
  <c r="M92"/>
  <c r="M100"/>
  <c r="M108"/>
  <c r="M116"/>
  <c r="M124"/>
  <c r="M132"/>
  <c r="M140"/>
  <c r="M148"/>
  <c r="M156"/>
  <c r="M164"/>
  <c r="M172"/>
  <c r="M180"/>
  <c r="M188"/>
  <c r="M196"/>
  <c r="M204"/>
  <c r="M212"/>
  <c r="M220"/>
  <c r="M228"/>
  <c r="M236"/>
  <c r="M244"/>
  <c r="M252"/>
  <c r="M260"/>
  <c r="M268"/>
  <c r="M276"/>
  <c r="M284"/>
  <c r="M292"/>
  <c r="M300"/>
  <c r="M308"/>
  <c r="M316"/>
  <c r="M324"/>
  <c r="M332"/>
  <c r="M340"/>
  <c r="M348"/>
  <c r="M356"/>
  <c r="M364"/>
  <c r="M372"/>
  <c r="M380"/>
  <c r="M388"/>
  <c r="M396"/>
  <c r="M404"/>
  <c r="M412"/>
  <c r="M420"/>
  <c r="M428"/>
  <c r="M436"/>
  <c r="M444"/>
  <c r="M452"/>
  <c r="M460"/>
  <c r="M468"/>
  <c r="M476"/>
  <c r="M484"/>
  <c r="M492"/>
  <c r="M500"/>
  <c r="M508"/>
  <c r="M516"/>
  <c r="M524"/>
  <c r="M532"/>
  <c r="M540"/>
  <c r="M548"/>
  <c r="M556"/>
  <c r="M564"/>
  <c r="M572"/>
  <c r="M580"/>
  <c r="M588"/>
  <c r="M596"/>
  <c r="M604"/>
  <c r="M612"/>
  <c r="M620"/>
  <c r="M628"/>
  <c r="M636"/>
  <c r="M644"/>
  <c r="M652"/>
  <c r="M660"/>
  <c r="M668"/>
  <c r="M676"/>
  <c r="M684"/>
  <c r="M692"/>
  <c r="M700"/>
  <c r="M708"/>
  <c r="M716"/>
  <c r="M724"/>
  <c r="M732"/>
  <c r="M740"/>
  <c r="M748"/>
  <c r="M756"/>
  <c r="M764"/>
  <c r="M772"/>
  <c r="M780"/>
  <c r="M788"/>
  <c r="M796"/>
  <c r="M804"/>
  <c r="M812"/>
  <c r="M820"/>
  <c r="M828"/>
  <c r="M836"/>
  <c r="M844"/>
  <c r="M852"/>
  <c r="M860"/>
  <c r="M868"/>
  <c r="M876"/>
  <c r="M884"/>
  <c r="M892"/>
  <c r="M900"/>
  <c r="M908"/>
  <c r="M916"/>
  <c r="M924"/>
  <c r="M932"/>
  <c r="M940"/>
  <c r="M948"/>
  <c r="M956"/>
  <c r="M964"/>
  <c r="M972"/>
  <c r="M980"/>
  <c r="M988"/>
  <c r="M996"/>
  <c r="J35"/>
  <c r="J43"/>
  <c r="J51"/>
  <c r="J59"/>
  <c r="J67"/>
  <c r="J75"/>
  <c r="J83"/>
  <c r="J91"/>
  <c r="J99"/>
  <c r="J107"/>
  <c r="J115"/>
  <c r="J123"/>
  <c r="J131"/>
  <c r="J139"/>
  <c r="J147"/>
  <c r="M907"/>
  <c r="M923"/>
  <c r="M939"/>
  <c r="M955"/>
  <c r="M35"/>
  <c r="M43"/>
  <c r="M51"/>
  <c r="M59"/>
  <c r="M67"/>
  <c r="M75"/>
  <c r="M83"/>
  <c r="M91"/>
  <c r="M99"/>
  <c r="M107"/>
  <c r="M115"/>
  <c r="M123"/>
  <c r="M131"/>
  <c r="M139"/>
  <c r="M147"/>
  <c r="M155"/>
  <c r="M163"/>
  <c r="M171"/>
  <c r="M179"/>
  <c r="M187"/>
  <c r="M195"/>
  <c r="M203"/>
  <c r="M211"/>
  <c r="M219"/>
  <c r="M227"/>
  <c r="M235"/>
  <c r="M243"/>
  <c r="M251"/>
  <c r="M259"/>
  <c r="M267"/>
  <c r="M275"/>
  <c r="M283"/>
  <c r="M291"/>
  <c r="M299"/>
  <c r="M307"/>
  <c r="M315"/>
  <c r="M323"/>
  <c r="M331"/>
  <c r="M339"/>
  <c r="M347"/>
  <c r="M355"/>
  <c r="M363"/>
  <c r="M371"/>
  <c r="M379"/>
  <c r="M387"/>
  <c r="M395"/>
  <c r="M403"/>
  <c r="M411"/>
  <c r="M419"/>
  <c r="M427"/>
  <c r="M435"/>
  <c r="M443"/>
  <c r="M451"/>
  <c r="M459"/>
  <c r="M467"/>
  <c r="M475"/>
  <c r="M483"/>
  <c r="M491"/>
  <c r="M499"/>
  <c r="M507"/>
  <c r="M515"/>
  <c r="M523"/>
  <c r="M531"/>
  <c r="M539"/>
  <c r="M547"/>
  <c r="M555"/>
  <c r="M563"/>
  <c r="M571"/>
  <c r="M579"/>
  <c r="M587"/>
  <c r="M595"/>
  <c r="M603"/>
  <c r="M611"/>
  <c r="M619"/>
  <c r="M627"/>
  <c r="M635"/>
  <c r="M643"/>
  <c r="M651"/>
  <c r="M659"/>
  <c r="M667"/>
  <c r="M675"/>
  <c r="M683"/>
  <c r="M691"/>
  <c r="M699"/>
  <c r="M707"/>
  <c r="M715"/>
  <c r="M723"/>
  <c r="M731"/>
  <c r="M739"/>
  <c r="M747"/>
  <c r="M755"/>
  <c r="M763"/>
  <c r="M771"/>
  <c r="M779"/>
  <c r="M787"/>
  <c r="M795"/>
  <c r="M803"/>
  <c r="M811"/>
  <c r="M819"/>
  <c r="M827"/>
  <c r="M835"/>
  <c r="M843"/>
  <c r="M851"/>
  <c r="M859"/>
  <c r="M867"/>
  <c r="M875"/>
  <c r="M883"/>
  <c r="M891"/>
  <c r="M899"/>
  <c r="M915"/>
  <c r="M931"/>
  <c r="M947"/>
  <c r="M34"/>
  <c r="M42"/>
  <c r="M50"/>
  <c r="M58"/>
  <c r="M66"/>
  <c r="M74"/>
  <c r="M82"/>
  <c r="M90"/>
  <c r="M98"/>
  <c r="M106"/>
  <c r="M114"/>
  <c r="M122"/>
  <c r="M130"/>
  <c r="M138"/>
  <c r="M146"/>
  <c r="M154"/>
  <c r="M162"/>
  <c r="M170"/>
  <c r="M178"/>
  <c r="M186"/>
  <c r="M194"/>
  <c r="M202"/>
  <c r="M210"/>
  <c r="M218"/>
  <c r="M226"/>
  <c r="M234"/>
  <c r="M242"/>
  <c r="M250"/>
  <c r="M258"/>
  <c r="M266"/>
  <c r="M274"/>
  <c r="M282"/>
  <c r="M290"/>
  <c r="M298"/>
  <c r="M306"/>
  <c r="M314"/>
  <c r="M322"/>
  <c r="M330"/>
  <c r="M338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4"/>
  <c r="M522"/>
  <c r="M530"/>
  <c r="M538"/>
  <c r="M546"/>
  <c r="M554"/>
  <c r="M562"/>
  <c r="M570"/>
  <c r="M578"/>
  <c r="M586"/>
  <c r="M594"/>
  <c r="M602"/>
  <c r="M610"/>
  <c r="M618"/>
  <c r="M626"/>
  <c r="M634"/>
  <c r="M642"/>
  <c r="M650"/>
  <c r="M658"/>
  <c r="M666"/>
  <c r="M674"/>
  <c r="M682"/>
  <c r="M690"/>
  <c r="M698"/>
  <c r="M706"/>
  <c r="M714"/>
  <c r="M722"/>
  <c r="M730"/>
  <c r="M738"/>
  <c r="M746"/>
  <c r="M754"/>
  <c r="M762"/>
  <c r="M770"/>
  <c r="M778"/>
  <c r="M786"/>
  <c r="M794"/>
  <c r="M802"/>
  <c r="M810"/>
  <c r="M818"/>
  <c r="M826"/>
  <c r="M834"/>
  <c r="M842"/>
  <c r="M850"/>
  <c r="M858"/>
  <c r="M866"/>
  <c r="M874"/>
  <c r="M882"/>
  <c r="M890"/>
  <c r="M898"/>
  <c r="M906"/>
  <c r="M914"/>
  <c r="M922"/>
  <c r="M930"/>
  <c r="M938"/>
  <c r="M946"/>
  <c r="M954"/>
  <c r="M962"/>
  <c r="M970"/>
  <c r="M978"/>
  <c r="M986"/>
  <c r="M994"/>
  <c r="J33"/>
  <c r="J41"/>
  <c r="J49"/>
  <c r="J57"/>
  <c r="J65"/>
  <c r="J73"/>
  <c r="J81"/>
  <c r="J89"/>
  <c r="J97"/>
  <c r="J105"/>
  <c r="J113"/>
  <c r="J121"/>
  <c r="J129"/>
  <c r="J137"/>
  <c r="J145"/>
  <c r="M1001"/>
  <c r="M928"/>
  <c r="M952"/>
  <c r="M33"/>
  <c r="M41"/>
  <c r="M49"/>
  <c r="M57"/>
  <c r="M65"/>
  <c r="M73"/>
  <c r="M81"/>
  <c r="M89"/>
  <c r="M97"/>
  <c r="M105"/>
  <c r="M113"/>
  <c r="M121"/>
  <c r="M129"/>
  <c r="M137"/>
  <c r="M145"/>
  <c r="M153"/>
  <c r="M161"/>
  <c r="M169"/>
  <c r="M177"/>
  <c r="M185"/>
  <c r="M193"/>
  <c r="M201"/>
  <c r="M209"/>
  <c r="M217"/>
  <c r="M225"/>
  <c r="M233"/>
  <c r="M241"/>
  <c r="M249"/>
  <c r="M257"/>
  <c r="M265"/>
  <c r="M273"/>
  <c r="M281"/>
  <c r="M289"/>
  <c r="M297"/>
  <c r="M305"/>
  <c r="M313"/>
  <c r="M321"/>
  <c r="M329"/>
  <c r="M337"/>
  <c r="M345"/>
  <c r="M353"/>
  <c r="M361"/>
  <c r="M369"/>
  <c r="M377"/>
  <c r="M385"/>
  <c r="M393"/>
  <c r="M401"/>
  <c r="M409"/>
  <c r="M417"/>
  <c r="M425"/>
  <c r="M433"/>
  <c r="M441"/>
  <c r="M449"/>
  <c r="M457"/>
  <c r="M465"/>
  <c r="M473"/>
  <c r="M481"/>
  <c r="M489"/>
  <c r="M497"/>
  <c r="M505"/>
  <c r="M513"/>
  <c r="M521"/>
  <c r="M529"/>
  <c r="M537"/>
  <c r="M545"/>
  <c r="M553"/>
  <c r="M561"/>
  <c r="M569"/>
  <c r="M577"/>
  <c r="M585"/>
  <c r="M593"/>
  <c r="M601"/>
  <c r="M609"/>
  <c r="M617"/>
  <c r="M625"/>
  <c r="M633"/>
  <c r="M641"/>
  <c r="M649"/>
  <c r="M657"/>
  <c r="M665"/>
  <c r="M673"/>
  <c r="M681"/>
  <c r="M689"/>
  <c r="M697"/>
  <c r="M705"/>
  <c r="M713"/>
  <c r="M721"/>
  <c r="M729"/>
  <c r="M737"/>
  <c r="M745"/>
  <c r="M753"/>
  <c r="M761"/>
  <c r="M769"/>
  <c r="M777"/>
  <c r="M785"/>
  <c r="M793"/>
  <c r="M801"/>
  <c r="M809"/>
  <c r="M817"/>
  <c r="M825"/>
  <c r="M833"/>
  <c r="M841"/>
  <c r="M849"/>
  <c r="M857"/>
  <c r="M865"/>
  <c r="M873"/>
  <c r="M881"/>
  <c r="M889"/>
  <c r="M897"/>
  <c r="M905"/>
  <c r="M913"/>
  <c r="M921"/>
  <c r="M929"/>
  <c r="M937"/>
  <c r="M945"/>
  <c r="M953"/>
  <c r="M961"/>
  <c r="M969"/>
  <c r="M977"/>
  <c r="M985"/>
  <c r="M993"/>
  <c r="J40"/>
  <c r="J48"/>
  <c r="J56"/>
  <c r="J64"/>
  <c r="J72"/>
  <c r="J80"/>
  <c r="J88"/>
  <c r="J96"/>
  <c r="J104"/>
  <c r="J112"/>
  <c r="J120"/>
  <c r="J128"/>
  <c r="J136"/>
  <c r="J144"/>
  <c r="M920"/>
  <c r="M944"/>
  <c r="M968"/>
  <c r="M995"/>
  <c r="J58"/>
  <c r="J90"/>
  <c r="J122"/>
  <c r="J143"/>
  <c r="M992"/>
  <c r="J55"/>
  <c r="J87"/>
  <c r="J119"/>
  <c r="J140"/>
  <c r="M987"/>
  <c r="J50"/>
  <c r="J82"/>
  <c r="J114"/>
  <c r="J138"/>
  <c r="M984"/>
  <c r="J47"/>
  <c r="J79"/>
  <c r="J111"/>
  <c r="J135"/>
  <c r="J146"/>
  <c r="M979"/>
  <c r="J42"/>
  <c r="J74"/>
  <c r="J106"/>
  <c r="J132"/>
  <c r="J124"/>
  <c r="M976"/>
  <c r="J39"/>
  <c r="J71"/>
  <c r="J103"/>
  <c r="J130"/>
  <c r="J95"/>
  <c r="M971"/>
  <c r="J34"/>
  <c r="J66"/>
  <c r="J98"/>
  <c r="J127"/>
  <c r="J148"/>
  <c r="J63"/>
  <c r="M963"/>
  <c r="M1000"/>
  <c r="K32"/>
  <c r="J32"/>
  <c r="M32"/>
  <c r="E32" l="1"/>
  <c r="L32"/>
  <c r="O32" s="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151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978"/>
  <c r="E922"/>
  <c r="E882"/>
  <c r="E818"/>
  <c r="E770"/>
  <c r="E714"/>
  <c r="E658"/>
  <c r="E602"/>
  <c r="E546"/>
  <c r="E995"/>
  <c r="E987"/>
  <c r="E979"/>
  <c r="E971"/>
  <c r="E963"/>
  <c r="E955"/>
  <c r="E947"/>
  <c r="E939"/>
  <c r="E931"/>
  <c r="E923"/>
  <c r="E915"/>
  <c r="E907"/>
  <c r="E899"/>
  <c r="E891"/>
  <c r="E883"/>
  <c r="E875"/>
  <c r="E867"/>
  <c r="E859"/>
  <c r="E851"/>
  <c r="E843"/>
  <c r="E835"/>
  <c r="E827"/>
  <c r="E819"/>
  <c r="E811"/>
  <c r="E803"/>
  <c r="E795"/>
  <c r="E787"/>
  <c r="E779"/>
  <c r="E771"/>
  <c r="E763"/>
  <c r="E755"/>
  <c r="E747"/>
  <c r="E739"/>
  <c r="E731"/>
  <c r="E723"/>
  <c r="E715"/>
  <c r="E707"/>
  <c r="E699"/>
  <c r="E691"/>
  <c r="E683"/>
  <c r="E675"/>
  <c r="E667"/>
  <c r="E659"/>
  <c r="E651"/>
  <c r="E643"/>
  <c r="E635"/>
  <c r="E627"/>
  <c r="E619"/>
  <c r="E611"/>
  <c r="E603"/>
  <c r="E595"/>
  <c r="E587"/>
  <c r="E579"/>
  <c r="E571"/>
  <c r="E563"/>
  <c r="E555"/>
  <c r="E547"/>
  <c r="E539"/>
  <c r="E946"/>
  <c r="E890"/>
  <c r="E834"/>
  <c r="E778"/>
  <c r="E722"/>
  <c r="E666"/>
  <c r="E610"/>
  <c r="E570"/>
  <c r="E996"/>
  <c r="E988"/>
  <c r="E980"/>
  <c r="E972"/>
  <c r="E964"/>
  <c r="E956"/>
  <c r="E948"/>
  <c r="E940"/>
  <c r="E932"/>
  <c r="E924"/>
  <c r="E916"/>
  <c r="E908"/>
  <c r="E900"/>
  <c r="E892"/>
  <c r="E884"/>
  <c r="E876"/>
  <c r="E868"/>
  <c r="E860"/>
  <c r="E852"/>
  <c r="E844"/>
  <c r="E836"/>
  <c r="E828"/>
  <c r="E820"/>
  <c r="E812"/>
  <c r="E804"/>
  <c r="E796"/>
  <c r="E788"/>
  <c r="E780"/>
  <c r="E772"/>
  <c r="E764"/>
  <c r="E756"/>
  <c r="E748"/>
  <c r="E740"/>
  <c r="E732"/>
  <c r="E724"/>
  <c r="E716"/>
  <c r="E708"/>
  <c r="E700"/>
  <c r="E692"/>
  <c r="E684"/>
  <c r="E676"/>
  <c r="E668"/>
  <c r="E660"/>
  <c r="E652"/>
  <c r="E644"/>
  <c r="E636"/>
  <c r="E628"/>
  <c r="E620"/>
  <c r="E612"/>
  <c r="E604"/>
  <c r="E596"/>
  <c r="E588"/>
  <c r="E580"/>
  <c r="E572"/>
  <c r="E564"/>
  <c r="E556"/>
  <c r="E548"/>
  <c r="E540"/>
  <c r="E994"/>
  <c r="E938"/>
  <c r="E874"/>
  <c r="E810"/>
  <c r="E754"/>
  <c r="E698"/>
  <c r="E626"/>
  <c r="E562"/>
  <c r="E997"/>
  <c r="E989"/>
  <c r="E981"/>
  <c r="E973"/>
  <c r="E965"/>
  <c r="E957"/>
  <c r="E949"/>
  <c r="E941"/>
  <c r="E933"/>
  <c r="E925"/>
  <c r="E917"/>
  <c r="E909"/>
  <c r="E901"/>
  <c r="E893"/>
  <c r="E885"/>
  <c r="E877"/>
  <c r="E869"/>
  <c r="E861"/>
  <c r="E853"/>
  <c r="E845"/>
  <c r="E837"/>
  <c r="E829"/>
  <c r="E821"/>
  <c r="E813"/>
  <c r="E805"/>
  <c r="E797"/>
  <c r="E789"/>
  <c r="E781"/>
  <c r="E773"/>
  <c r="E765"/>
  <c r="E757"/>
  <c r="E749"/>
  <c r="E741"/>
  <c r="E733"/>
  <c r="E725"/>
  <c r="E717"/>
  <c r="E709"/>
  <c r="E701"/>
  <c r="E693"/>
  <c r="E685"/>
  <c r="E677"/>
  <c r="E669"/>
  <c r="E661"/>
  <c r="E653"/>
  <c r="E645"/>
  <c r="E637"/>
  <c r="E629"/>
  <c r="E621"/>
  <c r="E613"/>
  <c r="E605"/>
  <c r="E597"/>
  <c r="E589"/>
  <c r="E581"/>
  <c r="E573"/>
  <c r="E565"/>
  <c r="E557"/>
  <c r="E549"/>
  <c r="E541"/>
  <c r="E986"/>
  <c r="E930"/>
  <c r="E858"/>
  <c r="E802"/>
  <c r="E746"/>
  <c r="E690"/>
  <c r="E618"/>
  <c r="E554"/>
  <c r="E998"/>
  <c r="E990"/>
  <c r="E982"/>
  <c r="E974"/>
  <c r="E966"/>
  <c r="E958"/>
  <c r="E950"/>
  <c r="E942"/>
  <c r="E934"/>
  <c r="E926"/>
  <c r="E918"/>
  <c r="E910"/>
  <c r="E902"/>
  <c r="E894"/>
  <c r="E886"/>
  <c r="E878"/>
  <c r="E870"/>
  <c r="E862"/>
  <c r="E854"/>
  <c r="E846"/>
  <c r="E838"/>
  <c r="E830"/>
  <c r="E822"/>
  <c r="E814"/>
  <c r="E806"/>
  <c r="E798"/>
  <c r="E790"/>
  <c r="E782"/>
  <c r="E774"/>
  <c r="E766"/>
  <c r="E758"/>
  <c r="E750"/>
  <c r="E742"/>
  <c r="E734"/>
  <c r="E726"/>
  <c r="E718"/>
  <c r="E710"/>
  <c r="E702"/>
  <c r="E694"/>
  <c r="E686"/>
  <c r="E678"/>
  <c r="E670"/>
  <c r="E662"/>
  <c r="E654"/>
  <c r="E646"/>
  <c r="E638"/>
  <c r="E630"/>
  <c r="E622"/>
  <c r="E614"/>
  <c r="E606"/>
  <c r="E598"/>
  <c r="E590"/>
  <c r="E582"/>
  <c r="E574"/>
  <c r="E566"/>
  <c r="E558"/>
  <c r="E550"/>
  <c r="E542"/>
  <c r="E970"/>
  <c r="E914"/>
  <c r="E866"/>
  <c r="E826"/>
  <c r="E762"/>
  <c r="E706"/>
  <c r="E650"/>
  <c r="E594"/>
  <c r="E999"/>
  <c r="E991"/>
  <c r="E983"/>
  <c r="E975"/>
  <c r="E967"/>
  <c r="E959"/>
  <c r="E951"/>
  <c r="E943"/>
  <c r="E935"/>
  <c r="E927"/>
  <c r="E919"/>
  <c r="E911"/>
  <c r="E903"/>
  <c r="E895"/>
  <c r="E887"/>
  <c r="E879"/>
  <c r="E871"/>
  <c r="E863"/>
  <c r="E855"/>
  <c r="E847"/>
  <c r="E839"/>
  <c r="E831"/>
  <c r="E823"/>
  <c r="E815"/>
  <c r="E807"/>
  <c r="E799"/>
  <c r="E791"/>
  <c r="E783"/>
  <c r="E775"/>
  <c r="E767"/>
  <c r="E759"/>
  <c r="E751"/>
  <c r="E743"/>
  <c r="E735"/>
  <c r="E727"/>
  <c r="E719"/>
  <c r="E711"/>
  <c r="E703"/>
  <c r="E695"/>
  <c r="E687"/>
  <c r="E679"/>
  <c r="E671"/>
  <c r="E663"/>
  <c r="E655"/>
  <c r="E647"/>
  <c r="E639"/>
  <c r="E631"/>
  <c r="E623"/>
  <c r="E615"/>
  <c r="E607"/>
  <c r="E599"/>
  <c r="E591"/>
  <c r="E583"/>
  <c r="E575"/>
  <c r="E567"/>
  <c r="E559"/>
  <c r="E551"/>
  <c r="E543"/>
  <c r="E954"/>
  <c r="E898"/>
  <c r="E842"/>
  <c r="E786"/>
  <c r="E730"/>
  <c r="E674"/>
  <c r="E634"/>
  <c r="E578"/>
  <c r="E1000"/>
  <c r="E992"/>
  <c r="E984"/>
  <c r="E976"/>
  <c r="E968"/>
  <c r="E960"/>
  <c r="E952"/>
  <c r="E944"/>
  <c r="E936"/>
  <c r="E928"/>
  <c r="E920"/>
  <c r="E912"/>
  <c r="E904"/>
  <c r="E896"/>
  <c r="E888"/>
  <c r="E880"/>
  <c r="E872"/>
  <c r="E864"/>
  <c r="E856"/>
  <c r="E848"/>
  <c r="E840"/>
  <c r="E832"/>
  <c r="E824"/>
  <c r="E816"/>
  <c r="E808"/>
  <c r="E800"/>
  <c r="E792"/>
  <c r="E784"/>
  <c r="E776"/>
  <c r="E768"/>
  <c r="E760"/>
  <c r="E752"/>
  <c r="E744"/>
  <c r="E736"/>
  <c r="E728"/>
  <c r="E720"/>
  <c r="E712"/>
  <c r="E704"/>
  <c r="E696"/>
  <c r="E688"/>
  <c r="E680"/>
  <c r="E672"/>
  <c r="E664"/>
  <c r="E656"/>
  <c r="E648"/>
  <c r="E640"/>
  <c r="E632"/>
  <c r="E624"/>
  <c r="E616"/>
  <c r="E608"/>
  <c r="E600"/>
  <c r="E592"/>
  <c r="E584"/>
  <c r="E576"/>
  <c r="E568"/>
  <c r="E560"/>
  <c r="E552"/>
  <c r="E544"/>
  <c r="E536"/>
  <c r="E962"/>
  <c r="E906"/>
  <c r="E850"/>
  <c r="E794"/>
  <c r="E738"/>
  <c r="E682"/>
  <c r="E642"/>
  <c r="E586"/>
  <c r="E538"/>
  <c r="E1001"/>
  <c r="E993"/>
  <c r="E985"/>
  <c r="E977"/>
  <c r="E969"/>
  <c r="E961"/>
  <c r="E953"/>
  <c r="E945"/>
  <c r="E937"/>
  <c r="E929"/>
  <c r="E921"/>
  <c r="E913"/>
  <c r="E905"/>
  <c r="E897"/>
  <c r="E889"/>
  <c r="E881"/>
  <c r="E873"/>
  <c r="E865"/>
  <c r="E857"/>
  <c r="E849"/>
  <c r="E841"/>
  <c r="E833"/>
  <c r="E825"/>
  <c r="E817"/>
  <c r="E809"/>
  <c r="E801"/>
  <c r="E793"/>
  <c r="E785"/>
  <c r="E777"/>
  <c r="E769"/>
  <c r="E761"/>
  <c r="E753"/>
  <c r="E745"/>
  <c r="E737"/>
  <c r="E729"/>
  <c r="E721"/>
  <c r="E713"/>
  <c r="E705"/>
  <c r="E697"/>
  <c r="E689"/>
  <c r="E681"/>
  <c r="E673"/>
  <c r="E665"/>
  <c r="E657"/>
  <c r="E649"/>
  <c r="E641"/>
  <c r="E633"/>
  <c r="E625"/>
  <c r="E617"/>
  <c r="E609"/>
  <c r="E601"/>
  <c r="E593"/>
  <c r="E585"/>
  <c r="E577"/>
  <c r="E569"/>
  <c r="E561"/>
  <c r="E553"/>
  <c r="E545"/>
  <c r="E537"/>
  <c r="F151" l="1"/>
  <c r="F64"/>
  <c r="F128"/>
  <c r="F71"/>
  <c r="O71" s="1"/>
  <c r="F135"/>
  <c r="O135" s="1"/>
  <c r="F54"/>
  <c r="F118"/>
  <c r="F36"/>
  <c r="F100"/>
  <c r="F125"/>
  <c r="F91"/>
  <c r="F77"/>
  <c r="F82"/>
  <c r="F146"/>
  <c r="O146" s="1"/>
  <c r="F81"/>
  <c r="F145"/>
  <c r="F56"/>
  <c r="O56" s="1"/>
  <c r="F120"/>
  <c r="F63"/>
  <c r="F127"/>
  <c r="F46"/>
  <c r="F110"/>
  <c r="F141"/>
  <c r="F92"/>
  <c r="F69"/>
  <c r="F83"/>
  <c r="F147"/>
  <c r="O147" s="1"/>
  <c r="F74"/>
  <c r="F138"/>
  <c r="F73"/>
  <c r="F137"/>
  <c r="F48"/>
  <c r="F112"/>
  <c r="F55"/>
  <c r="O55" s="1"/>
  <c r="F119"/>
  <c r="F38"/>
  <c r="F102"/>
  <c r="F85"/>
  <c r="F84"/>
  <c r="F148"/>
  <c r="F75"/>
  <c r="F139"/>
  <c r="F66"/>
  <c r="F130"/>
  <c r="F65"/>
  <c r="O65" s="1"/>
  <c r="F129"/>
  <c r="F40"/>
  <c r="O40" s="1"/>
  <c r="F104"/>
  <c r="F47"/>
  <c r="F111"/>
  <c r="F149"/>
  <c r="F94"/>
  <c r="F45"/>
  <c r="F76"/>
  <c r="F140"/>
  <c r="F67"/>
  <c r="F131"/>
  <c r="F58"/>
  <c r="F122"/>
  <c r="F57"/>
  <c r="O57" s="1"/>
  <c r="F121"/>
  <c r="F96"/>
  <c r="F39"/>
  <c r="O39" s="1"/>
  <c r="F103"/>
  <c r="F93"/>
  <c r="F86"/>
  <c r="F150"/>
  <c r="F68"/>
  <c r="F132"/>
  <c r="F59"/>
  <c r="O59" s="1"/>
  <c r="F123"/>
  <c r="F50"/>
  <c r="F114"/>
  <c r="F49"/>
  <c r="F113"/>
  <c r="O113" s="1"/>
  <c r="F88"/>
  <c r="F117"/>
  <c r="F95"/>
  <c r="F37"/>
  <c r="F78"/>
  <c r="F142"/>
  <c r="F60"/>
  <c r="F124"/>
  <c r="F51"/>
  <c r="F115"/>
  <c r="F42"/>
  <c r="F106"/>
  <c r="O106" s="1"/>
  <c r="F41"/>
  <c r="F105"/>
  <c r="F80"/>
  <c r="F144"/>
  <c r="F87"/>
  <c r="F33"/>
  <c r="F70"/>
  <c r="O70" s="1"/>
  <c r="F134"/>
  <c r="F52"/>
  <c r="O52" s="1"/>
  <c r="F116"/>
  <c r="F43"/>
  <c r="F107"/>
  <c r="F34"/>
  <c r="F98"/>
  <c r="F101"/>
  <c r="F97"/>
  <c r="F109"/>
  <c r="F72"/>
  <c r="F136"/>
  <c r="O136" s="1"/>
  <c r="F79"/>
  <c r="F143"/>
  <c r="F62"/>
  <c r="F126"/>
  <c r="F44"/>
  <c r="F108"/>
  <c r="F35"/>
  <c r="F99"/>
  <c r="F133"/>
  <c r="O133" s="1"/>
  <c r="F90"/>
  <c r="F53"/>
  <c r="F89"/>
  <c r="O89" s="1"/>
  <c r="F61"/>
  <c r="G39"/>
  <c r="G43"/>
  <c r="G47"/>
  <c r="G51"/>
  <c r="G55"/>
  <c r="G63"/>
  <c r="G67"/>
  <c r="G75"/>
  <c r="G83"/>
  <c r="G87"/>
  <c r="G91"/>
  <c r="G103"/>
  <c r="G111"/>
  <c r="G115"/>
  <c r="G123"/>
  <c r="G131"/>
  <c r="G135"/>
  <c r="G139"/>
  <c r="G147"/>
  <c r="G119"/>
  <c r="P33"/>
  <c r="G46"/>
  <c r="G50"/>
  <c r="G58"/>
  <c r="G62"/>
  <c r="G66"/>
  <c r="G82"/>
  <c r="G86"/>
  <c r="G98"/>
  <c r="G102"/>
  <c r="G106"/>
  <c r="G114"/>
  <c r="G122"/>
  <c r="G138"/>
  <c r="G142"/>
  <c r="G150"/>
  <c r="G78"/>
  <c r="G118"/>
  <c r="G134"/>
  <c r="G33"/>
  <c r="G37"/>
  <c r="G41"/>
  <c r="G45"/>
  <c r="G49"/>
  <c r="G53"/>
  <c r="G65"/>
  <c r="G69"/>
  <c r="G81"/>
  <c r="G93"/>
  <c r="G97"/>
  <c r="G101"/>
  <c r="G105"/>
  <c r="G109"/>
  <c r="G113"/>
  <c r="G117"/>
  <c r="G121"/>
  <c r="G125"/>
  <c r="G137"/>
  <c r="G141"/>
  <c r="G145"/>
  <c r="G149"/>
  <c r="F196"/>
  <c r="F260"/>
  <c r="F324"/>
  <c r="F388"/>
  <c r="F452"/>
  <c r="F516"/>
  <c r="F580"/>
  <c r="F644"/>
  <c r="F708"/>
  <c r="F772"/>
  <c r="F836"/>
  <c r="F900"/>
  <c r="F171"/>
  <c r="F235"/>
  <c r="F299"/>
  <c r="F363"/>
  <c r="F427"/>
  <c r="F491"/>
  <c r="F555"/>
  <c r="F619"/>
  <c r="F683"/>
  <c r="F747"/>
  <c r="F811"/>
  <c r="F875"/>
  <c r="F939"/>
  <c r="F154"/>
  <c r="F218"/>
  <c r="F282"/>
  <c r="F346"/>
  <c r="F410"/>
  <c r="F474"/>
  <c r="F538"/>
  <c r="F602"/>
  <c r="F666"/>
  <c r="F730"/>
  <c r="F794"/>
  <c r="F858"/>
  <c r="F922"/>
  <c r="F153"/>
  <c r="F217"/>
  <c r="F281"/>
  <c r="F345"/>
  <c r="F409"/>
  <c r="F473"/>
  <c r="F537"/>
  <c r="F601"/>
  <c r="F665"/>
  <c r="F729"/>
  <c r="F793"/>
  <c r="F857"/>
  <c r="F921"/>
  <c r="F985"/>
  <c r="F192"/>
  <c r="F256"/>
  <c r="F320"/>
  <c r="F384"/>
  <c r="F448"/>
  <c r="O448" s="1"/>
  <c r="F512"/>
  <c r="O512" s="1"/>
  <c r="F576"/>
  <c r="F640"/>
  <c r="F704"/>
  <c r="F768"/>
  <c r="F832"/>
  <c r="F896"/>
  <c r="F960"/>
  <c r="F167"/>
  <c r="F231"/>
  <c r="F295"/>
  <c r="F359"/>
  <c r="F423"/>
  <c r="F487"/>
  <c r="F551"/>
  <c r="F615"/>
  <c r="F679"/>
  <c r="F743"/>
  <c r="F807"/>
  <c r="F871"/>
  <c r="F935"/>
  <c r="F999"/>
  <c r="F214"/>
  <c r="F278"/>
  <c r="F342"/>
  <c r="F406"/>
  <c r="F470"/>
  <c r="F534"/>
  <c r="F598"/>
  <c r="F662"/>
  <c r="F726"/>
  <c r="F790"/>
  <c r="F854"/>
  <c r="F918"/>
  <c r="F982"/>
  <c r="F197"/>
  <c r="F261"/>
  <c r="F325"/>
  <c r="F389"/>
  <c r="F453"/>
  <c r="F517"/>
  <c r="F581"/>
  <c r="F645"/>
  <c r="F709"/>
  <c r="F773"/>
  <c r="F837"/>
  <c r="F901"/>
  <c r="F965"/>
  <c r="F980"/>
  <c r="F988"/>
  <c r="F493"/>
  <c r="F749"/>
  <c r="F994"/>
  <c r="F188"/>
  <c r="F252"/>
  <c r="F316"/>
  <c r="F380"/>
  <c r="O380" s="1"/>
  <c r="F444"/>
  <c r="O444" s="1"/>
  <c r="F508"/>
  <c r="F572"/>
  <c r="F636"/>
  <c r="F700"/>
  <c r="F764"/>
  <c r="F828"/>
  <c r="F892"/>
  <c r="F163"/>
  <c r="F227"/>
  <c r="F291"/>
  <c r="F355"/>
  <c r="F419"/>
  <c r="F483"/>
  <c r="F547"/>
  <c r="F611"/>
  <c r="F675"/>
  <c r="F739"/>
  <c r="F803"/>
  <c r="F867"/>
  <c r="F931"/>
  <c r="F995"/>
  <c r="F210"/>
  <c r="F274"/>
  <c r="F338"/>
  <c r="F402"/>
  <c r="F466"/>
  <c r="F530"/>
  <c r="F594"/>
  <c r="F658"/>
  <c r="F722"/>
  <c r="F786"/>
  <c r="F850"/>
  <c r="F914"/>
  <c r="F978"/>
  <c r="F209"/>
  <c r="F273"/>
  <c r="F337"/>
  <c r="F401"/>
  <c r="F465"/>
  <c r="F529"/>
  <c r="F593"/>
  <c r="F657"/>
  <c r="F721"/>
  <c r="F785"/>
  <c r="F849"/>
  <c r="F913"/>
  <c r="F977"/>
  <c r="F184"/>
  <c r="O184" s="1"/>
  <c r="F248"/>
  <c r="F312"/>
  <c r="F376"/>
  <c r="F440"/>
  <c r="F504"/>
  <c r="F568"/>
  <c r="F632"/>
  <c r="F696"/>
  <c r="F760"/>
  <c r="F824"/>
  <c r="F888"/>
  <c r="F952"/>
  <c r="F159"/>
  <c r="F223"/>
  <c r="F287"/>
  <c r="F351"/>
  <c r="F415"/>
  <c r="F479"/>
  <c r="F543"/>
  <c r="F607"/>
  <c r="F671"/>
  <c r="F735"/>
  <c r="F799"/>
  <c r="F863"/>
  <c r="F927"/>
  <c r="F991"/>
  <c r="F206"/>
  <c r="F270"/>
  <c r="F334"/>
  <c r="F398"/>
  <c r="F462"/>
  <c r="F526"/>
  <c r="F590"/>
  <c r="F654"/>
  <c r="F718"/>
  <c r="F782"/>
  <c r="F846"/>
  <c r="F910"/>
  <c r="F974"/>
  <c r="F189"/>
  <c r="F253"/>
  <c r="F317"/>
  <c r="F381"/>
  <c r="F445"/>
  <c r="F509"/>
  <c r="F573"/>
  <c r="F637"/>
  <c r="F701"/>
  <c r="F765"/>
  <c r="F829"/>
  <c r="F893"/>
  <c r="F957"/>
  <c r="F986"/>
  <c r="F621"/>
  <c r="F813"/>
  <c r="F948"/>
  <c r="F180"/>
  <c r="F244"/>
  <c r="F308"/>
  <c r="F372"/>
  <c r="F436"/>
  <c r="F500"/>
  <c r="F564"/>
  <c r="F628"/>
  <c r="F692"/>
  <c r="F756"/>
  <c r="F820"/>
  <c r="F884"/>
  <c r="F155"/>
  <c r="F219"/>
  <c r="F283"/>
  <c r="F347"/>
  <c r="F411"/>
  <c r="F475"/>
  <c r="F539"/>
  <c r="F603"/>
  <c r="F667"/>
  <c r="F731"/>
  <c r="F795"/>
  <c r="F859"/>
  <c r="F923"/>
  <c r="F987"/>
  <c r="F202"/>
  <c r="F266"/>
  <c r="F330"/>
  <c r="F394"/>
  <c r="F458"/>
  <c r="F522"/>
  <c r="F586"/>
  <c r="F650"/>
  <c r="F714"/>
  <c r="F778"/>
  <c r="F842"/>
  <c r="F906"/>
  <c r="F970"/>
  <c r="F201"/>
  <c r="F265"/>
  <c r="F329"/>
  <c r="F393"/>
  <c r="F457"/>
  <c r="F521"/>
  <c r="F585"/>
  <c r="F649"/>
  <c r="F713"/>
  <c r="O713" s="1"/>
  <c r="F777"/>
  <c r="F841"/>
  <c r="F905"/>
  <c r="O905" s="1"/>
  <c r="F969"/>
  <c r="F176"/>
  <c r="F240"/>
  <c r="F304"/>
  <c r="F368"/>
  <c r="F432"/>
  <c r="F496"/>
  <c r="O496" s="1"/>
  <c r="F560"/>
  <c r="F624"/>
  <c r="F688"/>
  <c r="F752"/>
  <c r="F816"/>
  <c r="F880"/>
  <c r="F944"/>
  <c r="F215"/>
  <c r="F279"/>
  <c r="F343"/>
  <c r="F407"/>
  <c r="F471"/>
  <c r="F535"/>
  <c r="F599"/>
  <c r="F663"/>
  <c r="F727"/>
  <c r="F791"/>
  <c r="F855"/>
  <c r="F919"/>
  <c r="F983"/>
  <c r="O983" s="1"/>
  <c r="F198"/>
  <c r="F262"/>
  <c r="F326"/>
  <c r="F390"/>
  <c r="F454"/>
  <c r="F518"/>
  <c r="F582"/>
  <c r="F646"/>
  <c r="F710"/>
  <c r="O710" s="1"/>
  <c r="F774"/>
  <c r="F838"/>
  <c r="F902"/>
  <c r="F966"/>
  <c r="F181"/>
  <c r="F245"/>
  <c r="F309"/>
  <c r="F373"/>
  <c r="F437"/>
  <c r="F501"/>
  <c r="F565"/>
  <c r="F629"/>
  <c r="F693"/>
  <c r="F757"/>
  <c r="F821"/>
  <c r="F885"/>
  <c r="F949"/>
  <c r="F557"/>
  <c r="F877"/>
  <c r="F909"/>
  <c r="F172"/>
  <c r="F236"/>
  <c r="F300"/>
  <c r="F364"/>
  <c r="F428"/>
  <c r="F492"/>
  <c r="F556"/>
  <c r="F620"/>
  <c r="F684"/>
  <c r="F748"/>
  <c r="F812"/>
  <c r="F876"/>
  <c r="F940"/>
  <c r="F211"/>
  <c r="F275"/>
  <c r="F339"/>
  <c r="F403"/>
  <c r="F467"/>
  <c r="F531"/>
  <c r="F595"/>
  <c r="F659"/>
  <c r="F723"/>
  <c r="F787"/>
  <c r="F851"/>
  <c r="F915"/>
  <c r="F979"/>
  <c r="F194"/>
  <c r="F258"/>
  <c r="F322"/>
  <c r="F386"/>
  <c r="F450"/>
  <c r="F514"/>
  <c r="F578"/>
  <c r="F642"/>
  <c r="F706"/>
  <c r="F770"/>
  <c r="F834"/>
  <c r="F898"/>
  <c r="F962"/>
  <c r="F193"/>
  <c r="F257"/>
  <c r="F321"/>
  <c r="F385"/>
  <c r="F449"/>
  <c r="F513"/>
  <c r="F577"/>
  <c r="F641"/>
  <c r="F705"/>
  <c r="F769"/>
  <c r="F833"/>
  <c r="F897"/>
  <c r="F961"/>
  <c r="F168"/>
  <c r="F232"/>
  <c r="O232" s="1"/>
  <c r="F296"/>
  <c r="F360"/>
  <c r="O360" s="1"/>
  <c r="F424"/>
  <c r="F488"/>
  <c r="F552"/>
  <c r="F616"/>
  <c r="F680"/>
  <c r="F744"/>
  <c r="O744" s="1"/>
  <c r="F808"/>
  <c r="F872"/>
  <c r="F936"/>
  <c r="F1000"/>
  <c r="F207"/>
  <c r="F271"/>
  <c r="F335"/>
  <c r="F399"/>
  <c r="F463"/>
  <c r="F527"/>
  <c r="F591"/>
  <c r="F655"/>
  <c r="F719"/>
  <c r="F783"/>
  <c r="F847"/>
  <c r="F911"/>
  <c r="F975"/>
  <c r="F190"/>
  <c r="F254"/>
  <c r="F318"/>
  <c r="F382"/>
  <c r="F446"/>
  <c r="F510"/>
  <c r="F574"/>
  <c r="F638"/>
  <c r="F702"/>
  <c r="F766"/>
  <c r="F830"/>
  <c r="F894"/>
  <c r="F958"/>
  <c r="F173"/>
  <c r="F237"/>
  <c r="F301"/>
  <c r="F365"/>
  <c r="F429"/>
  <c r="F685"/>
  <c r="F941"/>
  <c r="F164"/>
  <c r="F228"/>
  <c r="F292"/>
  <c r="F356"/>
  <c r="O356" s="1"/>
  <c r="F420"/>
  <c r="F484"/>
  <c r="F548"/>
  <c r="F612"/>
  <c r="F676"/>
  <c r="F740"/>
  <c r="F804"/>
  <c r="F868"/>
  <c r="F932"/>
  <c r="F203"/>
  <c r="F267"/>
  <c r="F331"/>
  <c r="F395"/>
  <c r="F459"/>
  <c r="F523"/>
  <c r="F587"/>
  <c r="F651"/>
  <c r="F715"/>
  <c r="F779"/>
  <c r="F843"/>
  <c r="F907"/>
  <c r="F971"/>
  <c r="F186"/>
  <c r="F250"/>
  <c r="F314"/>
  <c r="F378"/>
  <c r="F442"/>
  <c r="F506"/>
  <c r="F570"/>
  <c r="F634"/>
  <c r="F698"/>
  <c r="F762"/>
  <c r="F826"/>
  <c r="F890"/>
  <c r="F954"/>
  <c r="F185"/>
  <c r="F249"/>
  <c r="F313"/>
  <c r="F377"/>
  <c r="F441"/>
  <c r="F505"/>
  <c r="F569"/>
  <c r="F633"/>
  <c r="F697"/>
  <c r="F761"/>
  <c r="F825"/>
  <c r="F889"/>
  <c r="F953"/>
  <c r="F160"/>
  <c r="O160" s="1"/>
  <c r="F224"/>
  <c r="F288"/>
  <c r="F352"/>
  <c r="F416"/>
  <c r="F480"/>
  <c r="F544"/>
  <c r="F608"/>
  <c r="F672"/>
  <c r="F736"/>
  <c r="F800"/>
  <c r="F864"/>
  <c r="F928"/>
  <c r="F992"/>
  <c r="F199"/>
  <c r="F263"/>
  <c r="F327"/>
  <c r="F391"/>
  <c r="F455"/>
  <c r="F519"/>
  <c r="F583"/>
  <c r="F647"/>
  <c r="F711"/>
  <c r="F775"/>
  <c r="F839"/>
  <c r="F903"/>
  <c r="F967"/>
  <c r="F182"/>
  <c r="F246"/>
  <c r="F310"/>
  <c r="F374"/>
  <c r="F438"/>
  <c r="F502"/>
  <c r="F566"/>
  <c r="F630"/>
  <c r="F694"/>
  <c r="F758"/>
  <c r="F822"/>
  <c r="F886"/>
  <c r="F950"/>
  <c r="F165"/>
  <c r="F229"/>
  <c r="F293"/>
  <c r="F357"/>
  <c r="F421"/>
  <c r="F485"/>
  <c r="F549"/>
  <c r="F613"/>
  <c r="F677"/>
  <c r="F741"/>
  <c r="F805"/>
  <c r="F869"/>
  <c r="F933"/>
  <c r="F997"/>
  <c r="F964"/>
  <c r="F653"/>
  <c r="F956"/>
  <c r="F156"/>
  <c r="F220"/>
  <c r="F284"/>
  <c r="F348"/>
  <c r="F412"/>
  <c r="O412" s="1"/>
  <c r="F476"/>
  <c r="F540"/>
  <c r="F604"/>
  <c r="F668"/>
  <c r="F732"/>
  <c r="F796"/>
  <c r="F860"/>
  <c r="F924"/>
  <c r="F195"/>
  <c r="F259"/>
  <c r="F323"/>
  <c r="F387"/>
  <c r="F451"/>
  <c r="F515"/>
  <c r="F579"/>
  <c r="F643"/>
  <c r="F707"/>
  <c r="F771"/>
  <c r="F835"/>
  <c r="F899"/>
  <c r="F963"/>
  <c r="F178"/>
  <c r="F242"/>
  <c r="F306"/>
  <c r="F370"/>
  <c r="F434"/>
  <c r="F498"/>
  <c r="F562"/>
  <c r="F626"/>
  <c r="F690"/>
  <c r="F754"/>
  <c r="F818"/>
  <c r="F882"/>
  <c r="F946"/>
  <c r="F177"/>
  <c r="F241"/>
  <c r="F305"/>
  <c r="F369"/>
  <c r="F433"/>
  <c r="F497"/>
  <c r="F561"/>
  <c r="F625"/>
  <c r="F689"/>
  <c r="F753"/>
  <c r="F817"/>
  <c r="F881"/>
  <c r="F945"/>
  <c r="F152"/>
  <c r="F216"/>
  <c r="F280"/>
  <c r="F344"/>
  <c r="F408"/>
  <c r="F472"/>
  <c r="F536"/>
  <c r="F600"/>
  <c r="F664"/>
  <c r="F728"/>
  <c r="F792"/>
  <c r="F856"/>
  <c r="F920"/>
  <c r="F984"/>
  <c r="F191"/>
  <c r="F255"/>
  <c r="F319"/>
  <c r="F383"/>
  <c r="F447"/>
  <c r="F511"/>
  <c r="F575"/>
  <c r="F639"/>
  <c r="F703"/>
  <c r="F767"/>
  <c r="F831"/>
  <c r="F895"/>
  <c r="F959"/>
  <c r="F174"/>
  <c r="F238"/>
  <c r="F302"/>
  <c r="F366"/>
  <c r="F430"/>
  <c r="F494"/>
  <c r="F558"/>
  <c r="F622"/>
  <c r="F686"/>
  <c r="F750"/>
  <c r="F814"/>
  <c r="F878"/>
  <c r="F942"/>
  <c r="F157"/>
  <c r="F221"/>
  <c r="F285"/>
  <c r="F349"/>
  <c r="F413"/>
  <c r="F477"/>
  <c r="F541"/>
  <c r="F605"/>
  <c r="F669"/>
  <c r="F733"/>
  <c r="F797"/>
  <c r="F861"/>
  <c r="F925"/>
  <c r="F989"/>
  <c r="F996"/>
  <c r="F397"/>
  <c r="F589"/>
  <c r="F845"/>
  <c r="F212"/>
  <c r="F276"/>
  <c r="F340"/>
  <c r="F404"/>
  <c r="F468"/>
  <c r="F532"/>
  <c r="F596"/>
  <c r="F660"/>
  <c r="F724"/>
  <c r="F788"/>
  <c r="F852"/>
  <c r="F916"/>
  <c r="F187"/>
  <c r="F251"/>
  <c r="F315"/>
  <c r="F379"/>
  <c r="F443"/>
  <c r="F507"/>
  <c r="F571"/>
  <c r="F635"/>
  <c r="F699"/>
  <c r="F763"/>
  <c r="F827"/>
  <c r="F891"/>
  <c r="F955"/>
  <c r="F170"/>
  <c r="F234"/>
  <c r="F298"/>
  <c r="F362"/>
  <c r="F426"/>
  <c r="F490"/>
  <c r="F554"/>
  <c r="F618"/>
  <c r="F682"/>
  <c r="F746"/>
  <c r="F810"/>
  <c r="F874"/>
  <c r="F938"/>
  <c r="F169"/>
  <c r="F233"/>
  <c r="F297"/>
  <c r="F361"/>
  <c r="F425"/>
  <c r="F489"/>
  <c r="F553"/>
  <c r="O553" s="1"/>
  <c r="F617"/>
  <c r="O617" s="1"/>
  <c r="F681"/>
  <c r="F745"/>
  <c r="F809"/>
  <c r="O809" s="1"/>
  <c r="F873"/>
  <c r="F937"/>
  <c r="F1001"/>
  <c r="F208"/>
  <c r="F272"/>
  <c r="F336"/>
  <c r="F400"/>
  <c r="F464"/>
  <c r="F528"/>
  <c r="F592"/>
  <c r="F656"/>
  <c r="F720"/>
  <c r="F784"/>
  <c r="F848"/>
  <c r="F912"/>
  <c r="F976"/>
  <c r="F183"/>
  <c r="F247"/>
  <c r="F311"/>
  <c r="F375"/>
  <c r="F439"/>
  <c r="F503"/>
  <c r="F567"/>
  <c r="F631"/>
  <c r="F695"/>
  <c r="F759"/>
  <c r="F823"/>
  <c r="F887"/>
  <c r="F951"/>
  <c r="F166"/>
  <c r="F230"/>
  <c r="F294"/>
  <c r="F358"/>
  <c r="F422"/>
  <c r="F486"/>
  <c r="F550"/>
  <c r="F614"/>
  <c r="F678"/>
  <c r="F742"/>
  <c r="F806"/>
  <c r="F870"/>
  <c r="F934"/>
  <c r="F998"/>
  <c r="F213"/>
  <c r="F277"/>
  <c r="F341"/>
  <c r="F405"/>
  <c r="F469"/>
  <c r="F533"/>
  <c r="F597"/>
  <c r="F661"/>
  <c r="F725"/>
  <c r="F789"/>
  <c r="F853"/>
  <c r="F917"/>
  <c r="F981"/>
  <c r="F972"/>
  <c r="F333"/>
  <c r="F525"/>
  <c r="F781"/>
  <c r="F204"/>
  <c r="F268"/>
  <c r="F332"/>
  <c r="F396"/>
  <c r="F460"/>
  <c r="F524"/>
  <c r="F588"/>
  <c r="F652"/>
  <c r="F716"/>
  <c r="F780"/>
  <c r="F844"/>
  <c r="F908"/>
  <c r="F179"/>
  <c r="F243"/>
  <c r="F307"/>
  <c r="F371"/>
  <c r="F435"/>
  <c r="F499"/>
  <c r="F563"/>
  <c r="F627"/>
  <c r="F691"/>
  <c r="F755"/>
  <c r="F819"/>
  <c r="F883"/>
  <c r="F947"/>
  <c r="F162"/>
  <c r="F226"/>
  <c r="F290"/>
  <c r="F354"/>
  <c r="F418"/>
  <c r="F482"/>
  <c r="F546"/>
  <c r="F610"/>
  <c r="F674"/>
  <c r="F738"/>
  <c r="F802"/>
  <c r="F866"/>
  <c r="F930"/>
  <c r="F161"/>
  <c r="F225"/>
  <c r="F289"/>
  <c r="F353"/>
  <c r="F417"/>
  <c r="F481"/>
  <c r="F545"/>
  <c r="F609"/>
  <c r="F673"/>
  <c r="F737"/>
  <c r="F801"/>
  <c r="F865"/>
  <c r="F929"/>
  <c r="F993"/>
  <c r="F200"/>
  <c r="F264"/>
  <c r="F328"/>
  <c r="F392"/>
  <c r="F456"/>
  <c r="F520"/>
  <c r="F584"/>
  <c r="O584" s="1"/>
  <c r="F648"/>
  <c r="F712"/>
  <c r="F776"/>
  <c r="F840"/>
  <c r="F904"/>
  <c r="F968"/>
  <c r="F175"/>
  <c r="F239"/>
  <c r="F303"/>
  <c r="F367"/>
  <c r="F431"/>
  <c r="F495"/>
  <c r="F559"/>
  <c r="F623"/>
  <c r="F687"/>
  <c r="F751"/>
  <c r="F815"/>
  <c r="F879"/>
  <c r="F943"/>
  <c r="F158"/>
  <c r="F222"/>
  <c r="F286"/>
  <c r="F350"/>
  <c r="F414"/>
  <c r="F478"/>
  <c r="F542"/>
  <c r="F606"/>
  <c r="F670"/>
  <c r="F734"/>
  <c r="F798"/>
  <c r="F862"/>
  <c r="F926"/>
  <c r="F990"/>
  <c r="F205"/>
  <c r="F269"/>
  <c r="F461"/>
  <c r="F717"/>
  <c r="F973"/>
  <c r="G585"/>
  <c r="G617"/>
  <c r="G649"/>
  <c r="G681"/>
  <c r="G713"/>
  <c r="G745"/>
  <c r="G777"/>
  <c r="G809"/>
  <c r="G841"/>
  <c r="G873"/>
  <c r="G905"/>
  <c r="G937"/>
  <c r="G1001"/>
  <c r="G682"/>
  <c r="G906"/>
  <c r="G552"/>
  <c r="G616"/>
  <c r="G680"/>
  <c r="G712"/>
  <c r="G744"/>
  <c r="G808"/>
  <c r="G872"/>
  <c r="G730"/>
  <c r="G567"/>
  <c r="G599"/>
  <c r="G631"/>
  <c r="G663"/>
  <c r="G695"/>
  <c r="G727"/>
  <c r="G791"/>
  <c r="G983"/>
  <c r="G650"/>
  <c r="G614"/>
  <c r="G646"/>
  <c r="G710"/>
  <c r="G742"/>
  <c r="G774"/>
  <c r="G838"/>
  <c r="G870"/>
  <c r="G902"/>
  <c r="G966"/>
  <c r="G565"/>
  <c r="G629"/>
  <c r="G789"/>
  <c r="G821"/>
  <c r="G853"/>
  <c r="G885"/>
  <c r="G949"/>
  <c r="G981"/>
  <c r="G548"/>
  <c r="G580"/>
  <c r="G612"/>
  <c r="G676"/>
  <c r="G708"/>
  <c r="G740"/>
  <c r="G772"/>
  <c r="G804"/>
  <c r="G836"/>
  <c r="G868"/>
  <c r="G900"/>
  <c r="G932"/>
  <c r="G964"/>
  <c r="G996"/>
  <c r="G722"/>
  <c r="G946"/>
  <c r="G563"/>
  <c r="G595"/>
  <c r="G659"/>
  <c r="G691"/>
  <c r="G723"/>
  <c r="G787"/>
  <c r="G851"/>
  <c r="G947"/>
  <c r="G602"/>
  <c r="G818"/>
  <c r="G160"/>
  <c r="G164"/>
  <c r="G168"/>
  <c r="G176"/>
  <c r="G180"/>
  <c r="G184"/>
  <c r="G192"/>
  <c r="G196"/>
  <c r="G200"/>
  <c r="G204"/>
  <c r="G212"/>
  <c r="G216"/>
  <c r="G224"/>
  <c r="G228"/>
  <c r="G232"/>
  <c r="G240"/>
  <c r="G244"/>
  <c r="G248"/>
  <c r="G256"/>
  <c r="G260"/>
  <c r="G268"/>
  <c r="G272"/>
  <c r="G276"/>
  <c r="G280"/>
  <c r="G284"/>
  <c r="G292"/>
  <c r="G296"/>
  <c r="G300"/>
  <c r="G304"/>
  <c r="G308"/>
  <c r="G312"/>
  <c r="G316"/>
  <c r="G320"/>
  <c r="G324"/>
  <c r="G332"/>
  <c r="G336"/>
  <c r="G344"/>
  <c r="G348"/>
  <c r="G352"/>
  <c r="G356"/>
  <c r="G360"/>
  <c r="G364"/>
  <c r="G368"/>
  <c r="G376"/>
  <c r="G380"/>
  <c r="G384"/>
  <c r="G388"/>
  <c r="G400"/>
  <c r="G412"/>
  <c r="G416"/>
  <c r="G420"/>
  <c r="G428"/>
  <c r="G432"/>
  <c r="G444"/>
  <c r="G448"/>
  <c r="G452"/>
  <c r="G460"/>
  <c r="G464"/>
  <c r="G476"/>
  <c r="G480"/>
  <c r="G492"/>
  <c r="G496"/>
  <c r="G500"/>
  <c r="G508"/>
  <c r="G512"/>
  <c r="G516"/>
  <c r="G528"/>
  <c r="G532"/>
  <c r="G36" l="1"/>
  <c r="G584"/>
  <c r="O981"/>
  <c r="O631"/>
  <c r="O464"/>
  <c r="O212"/>
  <c r="O280"/>
  <c r="O946"/>
  <c r="O868"/>
  <c r="O808"/>
  <c r="O296"/>
  <c r="O787"/>
  <c r="O565"/>
  <c r="O902"/>
  <c r="O727"/>
  <c r="O841"/>
  <c r="O650"/>
  <c r="O244"/>
  <c r="O312"/>
  <c r="O192"/>
  <c r="O452"/>
  <c r="O126"/>
  <c r="O101"/>
  <c r="O42"/>
  <c r="O95"/>
  <c r="O96"/>
  <c r="O76"/>
  <c r="O129"/>
  <c r="O85"/>
  <c r="O73"/>
  <c r="O110"/>
  <c r="O54"/>
  <c r="O712"/>
  <c r="O200"/>
  <c r="O691"/>
  <c r="O460"/>
  <c r="O870"/>
  <c r="O695"/>
  <c r="O528"/>
  <c r="O873"/>
  <c r="O682"/>
  <c r="O276"/>
  <c r="O344"/>
  <c r="O932"/>
  <c r="O420"/>
  <c r="O872"/>
  <c r="O851"/>
  <c r="O629"/>
  <c r="O966"/>
  <c r="O791"/>
  <c r="O308"/>
  <c r="O376"/>
  <c r="O256"/>
  <c r="O516"/>
  <c r="O61"/>
  <c r="O44"/>
  <c r="O97"/>
  <c r="O134"/>
  <c r="O37"/>
  <c r="O123"/>
  <c r="O140"/>
  <c r="O84"/>
  <c r="O137"/>
  <c r="O141"/>
  <c r="O81"/>
  <c r="O118"/>
  <c r="G42"/>
  <c r="G100"/>
  <c r="O937"/>
  <c r="O224"/>
  <c r="O320"/>
  <c r="O580"/>
  <c r="O108"/>
  <c r="O109"/>
  <c r="O41"/>
  <c r="O78"/>
  <c r="O50"/>
  <c r="O103"/>
  <c r="O67"/>
  <c r="O104"/>
  <c r="O148"/>
  <c r="O48"/>
  <c r="O92"/>
  <c r="O145"/>
  <c r="O36"/>
  <c r="G73"/>
  <c r="G146"/>
  <c r="G132"/>
  <c r="O1001"/>
  <c r="O548"/>
  <c r="O176"/>
  <c r="O384"/>
  <c r="O35"/>
  <c r="O72"/>
  <c r="O116"/>
  <c r="O105"/>
  <c r="O142"/>
  <c r="O114"/>
  <c r="O93"/>
  <c r="O131"/>
  <c r="O47"/>
  <c r="O75"/>
  <c r="O112"/>
  <c r="O69"/>
  <c r="O100"/>
  <c r="O904"/>
  <c r="O392"/>
  <c r="O725"/>
  <c r="O550"/>
  <c r="O887"/>
  <c r="O208"/>
  <c r="O874"/>
  <c r="O468"/>
  <c r="O996"/>
  <c r="O284"/>
  <c r="O352"/>
  <c r="O612"/>
  <c r="O552"/>
  <c r="O300"/>
  <c r="O821"/>
  <c r="O646"/>
  <c r="O240"/>
  <c r="O585"/>
  <c r="O906"/>
  <c r="O500"/>
  <c r="O722"/>
  <c r="O316"/>
  <c r="O602"/>
  <c r="O708"/>
  <c r="O196"/>
  <c r="O99"/>
  <c r="O43"/>
  <c r="O80"/>
  <c r="O60"/>
  <c r="O49"/>
  <c r="O86"/>
  <c r="O58"/>
  <c r="O111"/>
  <c r="O139"/>
  <c r="O83"/>
  <c r="O120"/>
  <c r="O125"/>
  <c r="O64"/>
  <c r="G85"/>
  <c r="G70"/>
  <c r="G54"/>
  <c r="O947"/>
  <c r="O204"/>
  <c r="O789"/>
  <c r="O614"/>
  <c r="O272"/>
  <c r="O532"/>
  <c r="O348"/>
  <c r="O416"/>
  <c r="O676"/>
  <c r="O164"/>
  <c r="O616"/>
  <c r="O595"/>
  <c r="O364"/>
  <c r="O885"/>
  <c r="O304"/>
  <c r="O649"/>
  <c r="O772"/>
  <c r="O260"/>
  <c r="O79"/>
  <c r="O107"/>
  <c r="O144"/>
  <c r="O124"/>
  <c r="O150"/>
  <c r="O122"/>
  <c r="O149"/>
  <c r="O66"/>
  <c r="O119"/>
  <c r="O63"/>
  <c r="O91"/>
  <c r="O128"/>
  <c r="G89"/>
  <c r="G110"/>
  <c r="O456"/>
  <c r="O268"/>
  <c r="O853"/>
  <c r="O336"/>
  <c r="O681"/>
  <c r="O818"/>
  <c r="O480"/>
  <c r="O740"/>
  <c r="O228"/>
  <c r="O680"/>
  <c r="O168"/>
  <c r="O659"/>
  <c r="O428"/>
  <c r="O949"/>
  <c r="O774"/>
  <c r="O599"/>
  <c r="O368"/>
  <c r="O730"/>
  <c r="O836"/>
  <c r="O324"/>
  <c r="O90"/>
  <c r="O143"/>
  <c r="O34"/>
  <c r="O87"/>
  <c r="O51"/>
  <c r="O88"/>
  <c r="O68"/>
  <c r="O94"/>
  <c r="O130"/>
  <c r="O38"/>
  <c r="O74"/>
  <c r="O127"/>
  <c r="O77"/>
  <c r="G95"/>
  <c r="O563"/>
  <c r="O332"/>
  <c r="O742"/>
  <c r="O567"/>
  <c r="O400"/>
  <c r="O745"/>
  <c r="O216"/>
  <c r="O476"/>
  <c r="O964"/>
  <c r="O804"/>
  <c r="O292"/>
  <c r="O723"/>
  <c r="O492"/>
  <c r="O838"/>
  <c r="O663"/>
  <c r="O432"/>
  <c r="O777"/>
  <c r="O180"/>
  <c r="O248"/>
  <c r="O508"/>
  <c r="O900"/>
  <c r="O388"/>
  <c r="O53"/>
  <c r="O62"/>
  <c r="O98"/>
  <c r="O33"/>
  <c r="Q33" s="1"/>
  <c r="T34" s="1"/>
  <c r="O115"/>
  <c r="O117"/>
  <c r="O132"/>
  <c r="O121"/>
  <c r="O45"/>
  <c r="O102"/>
  <c r="O138"/>
  <c r="O46"/>
  <c r="O82"/>
  <c r="G129"/>
  <c r="G61"/>
  <c r="G126"/>
  <c r="G59"/>
  <c r="G559"/>
  <c r="G225"/>
  <c r="G371"/>
  <c r="G213"/>
  <c r="G541"/>
  <c r="G536"/>
  <c r="G881"/>
  <c r="O881"/>
  <c r="G369"/>
  <c r="O369"/>
  <c r="G690"/>
  <c r="O690"/>
  <c r="G178"/>
  <c r="G515"/>
  <c r="G796"/>
  <c r="O796"/>
  <c r="G869"/>
  <c r="G357"/>
  <c r="G694"/>
  <c r="G182"/>
  <c r="G519"/>
  <c r="O519"/>
  <c r="G864"/>
  <c r="G697"/>
  <c r="G185"/>
  <c r="G506"/>
  <c r="G843"/>
  <c r="G331"/>
  <c r="O331"/>
  <c r="G941"/>
  <c r="G894"/>
  <c r="G382"/>
  <c r="O382"/>
  <c r="G719"/>
  <c r="G207"/>
  <c r="G897"/>
  <c r="G385"/>
  <c r="O385"/>
  <c r="G706"/>
  <c r="O706"/>
  <c r="G194"/>
  <c r="G531"/>
  <c r="G812"/>
  <c r="G309"/>
  <c r="G471"/>
  <c r="G752"/>
  <c r="G394"/>
  <c r="G731"/>
  <c r="G219"/>
  <c r="G621"/>
  <c r="G573"/>
  <c r="G910"/>
  <c r="G398"/>
  <c r="G735"/>
  <c r="G223"/>
  <c r="O223"/>
  <c r="G568"/>
  <c r="G913"/>
  <c r="G401"/>
  <c r="G210"/>
  <c r="G547"/>
  <c r="G828"/>
  <c r="G965"/>
  <c r="G453"/>
  <c r="G790"/>
  <c r="G278"/>
  <c r="G615"/>
  <c r="G960"/>
  <c r="G793"/>
  <c r="G281"/>
  <c r="G939"/>
  <c r="G427"/>
  <c r="O427"/>
  <c r="G68"/>
  <c r="G717"/>
  <c r="G546"/>
  <c r="G720"/>
  <c r="G878"/>
  <c r="G191"/>
  <c r="G623"/>
  <c r="G801"/>
  <c r="G289"/>
  <c r="G610"/>
  <c r="G435"/>
  <c r="G716"/>
  <c r="G277"/>
  <c r="G951"/>
  <c r="G439"/>
  <c r="G784"/>
  <c r="G938"/>
  <c r="G426"/>
  <c r="G763"/>
  <c r="G251"/>
  <c r="O251"/>
  <c r="G397"/>
  <c r="G605"/>
  <c r="G942"/>
  <c r="G430"/>
  <c r="G767"/>
  <c r="G255"/>
  <c r="O255"/>
  <c r="G600"/>
  <c r="G945"/>
  <c r="G433"/>
  <c r="G754"/>
  <c r="G242"/>
  <c r="G579"/>
  <c r="G860"/>
  <c r="G933"/>
  <c r="G421"/>
  <c r="G758"/>
  <c r="G246"/>
  <c r="G583"/>
  <c r="G928"/>
  <c r="O928"/>
  <c r="G761"/>
  <c r="G249"/>
  <c r="G570"/>
  <c r="O570"/>
  <c r="G907"/>
  <c r="G395"/>
  <c r="O395"/>
  <c r="G958"/>
  <c r="O958"/>
  <c r="G446"/>
  <c r="G783"/>
  <c r="G271"/>
  <c r="O271"/>
  <c r="G961"/>
  <c r="G449"/>
  <c r="O449"/>
  <c r="G770"/>
  <c r="G258"/>
  <c r="G876"/>
  <c r="G373"/>
  <c r="O373"/>
  <c r="G198"/>
  <c r="G535"/>
  <c r="G816"/>
  <c r="G970"/>
  <c r="G458"/>
  <c r="G795"/>
  <c r="G283"/>
  <c r="G564"/>
  <c r="O564"/>
  <c r="G813"/>
  <c r="G637"/>
  <c r="G974"/>
  <c r="G462"/>
  <c r="G799"/>
  <c r="G287"/>
  <c r="G632"/>
  <c r="G977"/>
  <c r="G465"/>
  <c r="G786"/>
  <c r="G274"/>
  <c r="G611"/>
  <c r="G892"/>
  <c r="G980"/>
  <c r="G517"/>
  <c r="O517"/>
  <c r="G854"/>
  <c r="G342"/>
  <c r="G679"/>
  <c r="O679"/>
  <c r="G167"/>
  <c r="G857"/>
  <c r="G345"/>
  <c r="G666"/>
  <c r="O666"/>
  <c r="G154"/>
  <c r="G491"/>
  <c r="O491"/>
  <c r="G468"/>
  <c r="G874"/>
  <c r="G133"/>
  <c r="G127"/>
  <c r="G136"/>
  <c r="G104"/>
  <c r="G72"/>
  <c r="G40"/>
  <c r="G883"/>
  <c r="G973"/>
  <c r="G968"/>
  <c r="O968"/>
  <c r="G862"/>
  <c r="G350"/>
  <c r="G687"/>
  <c r="G175"/>
  <c r="G520"/>
  <c r="O520"/>
  <c r="G865"/>
  <c r="G353"/>
  <c r="G674"/>
  <c r="G162"/>
  <c r="G499"/>
  <c r="G780"/>
  <c r="G341"/>
  <c r="G678"/>
  <c r="G166"/>
  <c r="G503"/>
  <c r="G848"/>
  <c r="G169"/>
  <c r="G490"/>
  <c r="G827"/>
  <c r="G315"/>
  <c r="G596"/>
  <c r="G589"/>
  <c r="O589"/>
  <c r="G669"/>
  <c r="G157"/>
  <c r="G494"/>
  <c r="G831"/>
  <c r="G319"/>
  <c r="O319"/>
  <c r="G664"/>
  <c r="G152"/>
  <c r="G497"/>
  <c r="O497"/>
  <c r="G306"/>
  <c r="G643"/>
  <c r="G924"/>
  <c r="G997"/>
  <c r="G485"/>
  <c r="G822"/>
  <c r="G310"/>
  <c r="G647"/>
  <c r="G992"/>
  <c r="G825"/>
  <c r="G313"/>
  <c r="G634"/>
  <c r="O634"/>
  <c r="G971"/>
  <c r="G459"/>
  <c r="G173"/>
  <c r="O173"/>
  <c r="G510"/>
  <c r="G847"/>
  <c r="G335"/>
  <c r="G513"/>
  <c r="G834"/>
  <c r="G322"/>
  <c r="G940"/>
  <c r="G437"/>
  <c r="G262"/>
  <c r="O262"/>
  <c r="G880"/>
  <c r="G201"/>
  <c r="O201"/>
  <c r="G522"/>
  <c r="G859"/>
  <c r="G347"/>
  <c r="G628"/>
  <c r="G948"/>
  <c r="G701"/>
  <c r="G189"/>
  <c r="G526"/>
  <c r="G863"/>
  <c r="G351"/>
  <c r="G696"/>
  <c r="G529"/>
  <c r="G850"/>
  <c r="G338"/>
  <c r="G675"/>
  <c r="G163"/>
  <c r="G988"/>
  <c r="G581"/>
  <c r="G918"/>
  <c r="G406"/>
  <c r="G743"/>
  <c r="G231"/>
  <c r="G576"/>
  <c r="G921"/>
  <c r="G409"/>
  <c r="G218"/>
  <c r="G555"/>
  <c r="O555"/>
  <c r="G725"/>
  <c r="G904"/>
  <c r="G553"/>
  <c r="G34"/>
  <c r="G140"/>
  <c r="G108"/>
  <c r="G76"/>
  <c r="G44"/>
  <c r="G737"/>
  <c r="G366"/>
  <c r="G286"/>
  <c r="G414"/>
  <c r="G751"/>
  <c r="G239"/>
  <c r="G929"/>
  <c r="G417"/>
  <c r="G738"/>
  <c r="G226"/>
  <c r="G844"/>
  <c r="G917"/>
  <c r="O917"/>
  <c r="G405"/>
  <c r="O405"/>
  <c r="G230"/>
  <c r="O230"/>
  <c r="G912"/>
  <c r="G233"/>
  <c r="O233"/>
  <c r="G554"/>
  <c r="O554"/>
  <c r="G891"/>
  <c r="O891"/>
  <c r="G379"/>
  <c r="O379"/>
  <c r="G660"/>
  <c r="G845"/>
  <c r="G733"/>
  <c r="G221"/>
  <c r="G558"/>
  <c r="G895"/>
  <c r="G383"/>
  <c r="G728"/>
  <c r="G561"/>
  <c r="G882"/>
  <c r="G370"/>
  <c r="O370"/>
  <c r="G707"/>
  <c r="G195"/>
  <c r="G549"/>
  <c r="G886"/>
  <c r="G374"/>
  <c r="O374"/>
  <c r="G711"/>
  <c r="G199"/>
  <c r="G544"/>
  <c r="O544"/>
  <c r="G889"/>
  <c r="G377"/>
  <c r="G698"/>
  <c r="G186"/>
  <c r="G523"/>
  <c r="G237"/>
  <c r="G574"/>
  <c r="G911"/>
  <c r="G399"/>
  <c r="G577"/>
  <c r="O577"/>
  <c r="G898"/>
  <c r="G386"/>
  <c r="G211"/>
  <c r="G557"/>
  <c r="G501"/>
  <c r="G326"/>
  <c r="G944"/>
  <c r="G265"/>
  <c r="G586"/>
  <c r="G923"/>
  <c r="G411"/>
  <c r="G692"/>
  <c r="G765"/>
  <c r="G253"/>
  <c r="G590"/>
  <c r="G927"/>
  <c r="O927"/>
  <c r="G415"/>
  <c r="G760"/>
  <c r="O760"/>
  <c r="G593"/>
  <c r="G914"/>
  <c r="G402"/>
  <c r="G739"/>
  <c r="G227"/>
  <c r="G493"/>
  <c r="G645"/>
  <c r="G982"/>
  <c r="G470"/>
  <c r="G807"/>
  <c r="G295"/>
  <c r="O295"/>
  <c r="G640"/>
  <c r="G985"/>
  <c r="G473"/>
  <c r="G794"/>
  <c r="G282"/>
  <c r="G619"/>
  <c r="G887"/>
  <c r="G77"/>
  <c r="G74"/>
  <c r="G38"/>
  <c r="G99"/>
  <c r="G144"/>
  <c r="G112"/>
  <c r="G80"/>
  <c r="G48"/>
  <c r="G734"/>
  <c r="G781"/>
  <c r="G375"/>
  <c r="G362"/>
  <c r="G187"/>
  <c r="G798"/>
  <c r="G815"/>
  <c r="G303"/>
  <c r="G648"/>
  <c r="G802"/>
  <c r="G290"/>
  <c r="G908"/>
  <c r="G396"/>
  <c r="O396"/>
  <c r="G469"/>
  <c r="G806"/>
  <c r="G294"/>
  <c r="O294"/>
  <c r="G976"/>
  <c r="G297"/>
  <c r="G618"/>
  <c r="O618"/>
  <c r="G955"/>
  <c r="G443"/>
  <c r="G724"/>
  <c r="G797"/>
  <c r="O797"/>
  <c r="G285"/>
  <c r="G622"/>
  <c r="G959"/>
  <c r="G447"/>
  <c r="G792"/>
  <c r="G625"/>
  <c r="G434"/>
  <c r="G771"/>
  <c r="G259"/>
  <c r="G540"/>
  <c r="G653"/>
  <c r="G613"/>
  <c r="G950"/>
  <c r="G438"/>
  <c r="G775"/>
  <c r="G263"/>
  <c r="G608"/>
  <c r="O608"/>
  <c r="G953"/>
  <c r="G441"/>
  <c r="G762"/>
  <c r="G250"/>
  <c r="G587"/>
  <c r="G301"/>
  <c r="G638"/>
  <c r="G975"/>
  <c r="G463"/>
  <c r="G641"/>
  <c r="G962"/>
  <c r="G450"/>
  <c r="G275"/>
  <c r="G556"/>
  <c r="G877"/>
  <c r="G390"/>
  <c r="G215"/>
  <c r="G329"/>
  <c r="O329"/>
  <c r="G987"/>
  <c r="G475"/>
  <c r="G756"/>
  <c r="G829"/>
  <c r="G317"/>
  <c r="O317"/>
  <c r="G654"/>
  <c r="G991"/>
  <c r="G479"/>
  <c r="G824"/>
  <c r="G657"/>
  <c r="G978"/>
  <c r="G466"/>
  <c r="G803"/>
  <c r="G291"/>
  <c r="G572"/>
  <c r="O572"/>
  <c r="G749"/>
  <c r="G709"/>
  <c r="O709"/>
  <c r="G197"/>
  <c r="O197"/>
  <c r="G534"/>
  <c r="G871"/>
  <c r="G359"/>
  <c r="O359"/>
  <c r="G704"/>
  <c r="G537"/>
  <c r="G858"/>
  <c r="G346"/>
  <c r="G683"/>
  <c r="G171"/>
  <c r="G35"/>
  <c r="G148"/>
  <c r="G116"/>
  <c r="G84"/>
  <c r="G52"/>
  <c r="G926"/>
  <c r="O926"/>
  <c r="G478"/>
  <c r="G993"/>
  <c r="O993"/>
  <c r="G481"/>
  <c r="O481"/>
  <c r="G627"/>
  <c r="G205"/>
  <c r="G542"/>
  <c r="O542"/>
  <c r="G879"/>
  <c r="G367"/>
  <c r="G545"/>
  <c r="G866"/>
  <c r="G354"/>
  <c r="G179"/>
  <c r="G972"/>
  <c r="G533"/>
  <c r="G358"/>
  <c r="G183"/>
  <c r="G361"/>
  <c r="G170"/>
  <c r="G507"/>
  <c r="G788"/>
  <c r="G861"/>
  <c r="G349"/>
  <c r="G686"/>
  <c r="G174"/>
  <c r="G511"/>
  <c r="G856"/>
  <c r="G689"/>
  <c r="O689"/>
  <c r="G177"/>
  <c r="G498"/>
  <c r="G835"/>
  <c r="G323"/>
  <c r="G604"/>
  <c r="G956"/>
  <c r="G677"/>
  <c r="O677"/>
  <c r="G165"/>
  <c r="G502"/>
  <c r="G839"/>
  <c r="G327"/>
  <c r="G672"/>
  <c r="O672"/>
  <c r="G505"/>
  <c r="G826"/>
  <c r="G314"/>
  <c r="G651"/>
  <c r="G365"/>
  <c r="G702"/>
  <c r="G190"/>
  <c r="G527"/>
  <c r="G705"/>
  <c r="O705"/>
  <c r="G193"/>
  <c r="G514"/>
  <c r="G339"/>
  <c r="G620"/>
  <c r="G909"/>
  <c r="G454"/>
  <c r="G279"/>
  <c r="G560"/>
  <c r="G393"/>
  <c r="G714"/>
  <c r="O714"/>
  <c r="G202"/>
  <c r="G539"/>
  <c r="O539"/>
  <c r="G820"/>
  <c r="G893"/>
  <c r="G381"/>
  <c r="G718"/>
  <c r="G206"/>
  <c r="G543"/>
  <c r="G888"/>
  <c r="G721"/>
  <c r="G209"/>
  <c r="G530"/>
  <c r="G867"/>
  <c r="G355"/>
  <c r="G636"/>
  <c r="G994"/>
  <c r="O994"/>
  <c r="G773"/>
  <c r="G261"/>
  <c r="G598"/>
  <c r="G935"/>
  <c r="G423"/>
  <c r="G768"/>
  <c r="G601"/>
  <c r="G922"/>
  <c r="G410"/>
  <c r="G747"/>
  <c r="G235"/>
  <c r="G151"/>
  <c r="O151"/>
  <c r="G392"/>
  <c r="G143"/>
  <c r="G107"/>
  <c r="G120"/>
  <c r="G88"/>
  <c r="G56"/>
  <c r="G699"/>
  <c r="G703"/>
  <c r="G990"/>
  <c r="G269"/>
  <c r="G606"/>
  <c r="G943"/>
  <c r="G431"/>
  <c r="O431"/>
  <c r="G776"/>
  <c r="O776"/>
  <c r="G264"/>
  <c r="G609"/>
  <c r="G930"/>
  <c r="G418"/>
  <c r="G755"/>
  <c r="G243"/>
  <c r="G524"/>
  <c r="G333"/>
  <c r="G597"/>
  <c r="G934"/>
  <c r="G422"/>
  <c r="G759"/>
  <c r="G247"/>
  <c r="G592"/>
  <c r="G425"/>
  <c r="O425"/>
  <c r="G746"/>
  <c r="G234"/>
  <c r="G571"/>
  <c r="O571"/>
  <c r="G852"/>
  <c r="G340"/>
  <c r="O340"/>
  <c r="G925"/>
  <c r="G413"/>
  <c r="G750"/>
  <c r="G238"/>
  <c r="G575"/>
  <c r="G920"/>
  <c r="G408"/>
  <c r="O408"/>
  <c r="G753"/>
  <c r="G241"/>
  <c r="G562"/>
  <c r="G899"/>
  <c r="O899"/>
  <c r="G387"/>
  <c r="G668"/>
  <c r="G156"/>
  <c r="G741"/>
  <c r="G229"/>
  <c r="G566"/>
  <c r="G903"/>
  <c r="G391"/>
  <c r="G736"/>
  <c r="G569"/>
  <c r="O569"/>
  <c r="G890"/>
  <c r="G378"/>
  <c r="G715"/>
  <c r="G203"/>
  <c r="G484"/>
  <c r="G429"/>
  <c r="G766"/>
  <c r="G254"/>
  <c r="G591"/>
  <c r="G936"/>
  <c r="G424"/>
  <c r="G769"/>
  <c r="G257"/>
  <c r="G578"/>
  <c r="O578"/>
  <c r="G915"/>
  <c r="G403"/>
  <c r="O403"/>
  <c r="G684"/>
  <c r="G172"/>
  <c r="O172"/>
  <c r="G693"/>
  <c r="G181"/>
  <c r="G518"/>
  <c r="G855"/>
  <c r="G343"/>
  <c r="G624"/>
  <c r="G969"/>
  <c r="O969"/>
  <c r="G457"/>
  <c r="G778"/>
  <c r="G266"/>
  <c r="G603"/>
  <c r="G884"/>
  <c r="G372"/>
  <c r="G957"/>
  <c r="G445"/>
  <c r="G782"/>
  <c r="G270"/>
  <c r="G607"/>
  <c r="G952"/>
  <c r="G440"/>
  <c r="G785"/>
  <c r="G273"/>
  <c r="G594"/>
  <c r="G931"/>
  <c r="G419"/>
  <c r="G700"/>
  <c r="G188"/>
  <c r="G837"/>
  <c r="G325"/>
  <c r="G662"/>
  <c r="G999"/>
  <c r="G487"/>
  <c r="G832"/>
  <c r="G665"/>
  <c r="G153"/>
  <c r="G474"/>
  <c r="G811"/>
  <c r="G299"/>
  <c r="G456"/>
  <c r="G208"/>
  <c r="G550"/>
  <c r="G57"/>
  <c r="G130"/>
  <c r="G90"/>
  <c r="G79"/>
  <c r="G124"/>
  <c r="G92"/>
  <c r="G60"/>
  <c r="G222"/>
  <c r="G652"/>
  <c r="G461"/>
  <c r="O461"/>
  <c r="G670"/>
  <c r="G158"/>
  <c r="G495"/>
  <c r="G840"/>
  <c r="G328"/>
  <c r="G673"/>
  <c r="G161"/>
  <c r="G482"/>
  <c r="G819"/>
  <c r="G307"/>
  <c r="O307"/>
  <c r="G588"/>
  <c r="O588"/>
  <c r="G525"/>
  <c r="G661"/>
  <c r="O661"/>
  <c r="G998"/>
  <c r="G486"/>
  <c r="G823"/>
  <c r="G311"/>
  <c r="G656"/>
  <c r="G489"/>
  <c r="G810"/>
  <c r="G298"/>
  <c r="G635"/>
  <c r="O635"/>
  <c r="G916"/>
  <c r="G404"/>
  <c r="G989"/>
  <c r="G477"/>
  <c r="G814"/>
  <c r="O814"/>
  <c r="G302"/>
  <c r="G639"/>
  <c r="G984"/>
  <c r="G472"/>
  <c r="G817"/>
  <c r="G305"/>
  <c r="G626"/>
  <c r="G963"/>
  <c r="G451"/>
  <c r="O451"/>
  <c r="G732"/>
  <c r="G220"/>
  <c r="G805"/>
  <c r="G293"/>
  <c r="G630"/>
  <c r="G967"/>
  <c r="G455"/>
  <c r="G800"/>
  <c r="G288"/>
  <c r="G633"/>
  <c r="O633"/>
  <c r="G954"/>
  <c r="G442"/>
  <c r="G779"/>
  <c r="G267"/>
  <c r="G685"/>
  <c r="G830"/>
  <c r="G318"/>
  <c r="G655"/>
  <c r="O655"/>
  <c r="G1000"/>
  <c r="G488"/>
  <c r="G833"/>
  <c r="G321"/>
  <c r="G642"/>
  <c r="G979"/>
  <c r="G467"/>
  <c r="G748"/>
  <c r="G236"/>
  <c r="G757"/>
  <c r="G245"/>
  <c r="G582"/>
  <c r="O582"/>
  <c r="G919"/>
  <c r="G407"/>
  <c r="G688"/>
  <c r="G521"/>
  <c r="G842"/>
  <c r="G330"/>
  <c r="O330"/>
  <c r="G667"/>
  <c r="G155"/>
  <c r="G436"/>
  <c r="G986"/>
  <c r="G509"/>
  <c r="G846"/>
  <c r="G334"/>
  <c r="G671"/>
  <c r="O671"/>
  <c r="G159"/>
  <c r="G504"/>
  <c r="G849"/>
  <c r="G337"/>
  <c r="G658"/>
  <c r="G995"/>
  <c r="G483"/>
  <c r="G764"/>
  <c r="G252"/>
  <c r="O252"/>
  <c r="G901"/>
  <c r="G389"/>
  <c r="G726"/>
  <c r="G214"/>
  <c r="G551"/>
  <c r="G896"/>
  <c r="G729"/>
  <c r="G217"/>
  <c r="G538"/>
  <c r="G875"/>
  <c r="G363"/>
  <c r="G644"/>
  <c r="G94"/>
  <c r="G71"/>
  <c r="G128"/>
  <c r="G96"/>
  <c r="G64"/>
  <c r="P34" l="1"/>
  <c r="P35" s="1"/>
  <c r="S33"/>
  <c r="T33"/>
  <c r="R33"/>
  <c r="O704"/>
  <c r="O955"/>
  <c r="O483"/>
  <c r="O842"/>
  <c r="O1000"/>
  <c r="O455"/>
  <c r="O472"/>
  <c r="O495"/>
  <c r="O652"/>
  <c r="O811"/>
  <c r="O325"/>
  <c r="O785"/>
  <c r="O270"/>
  <c r="O778"/>
  <c r="O343"/>
  <c r="O915"/>
  <c r="O424"/>
  <c r="O715"/>
  <c r="O736"/>
  <c r="O387"/>
  <c r="O753"/>
  <c r="O238"/>
  <c r="O269"/>
  <c r="O858"/>
  <c r="O871"/>
  <c r="O749"/>
  <c r="O466"/>
  <c r="O479"/>
  <c r="O829"/>
  <c r="O556"/>
  <c r="O641"/>
  <c r="O301"/>
  <c r="O441"/>
  <c r="O775"/>
  <c r="O653"/>
  <c r="O434"/>
  <c r="O959"/>
  <c r="O724"/>
  <c r="O297"/>
  <c r="O469"/>
  <c r="O802"/>
  <c r="O798"/>
  <c r="O781"/>
  <c r="O281"/>
  <c r="O278"/>
  <c r="O828"/>
  <c r="O913"/>
  <c r="O398"/>
  <c r="O219"/>
  <c r="O471"/>
  <c r="O194"/>
  <c r="O207"/>
  <c r="O941"/>
  <c r="O185"/>
  <c r="O182"/>
  <c r="O213"/>
  <c r="O654"/>
  <c r="O896"/>
  <c r="O849"/>
  <c r="O436"/>
  <c r="O236"/>
  <c r="O954"/>
  <c r="O805"/>
  <c r="O363"/>
  <c r="O726"/>
  <c r="O986"/>
  <c r="O407"/>
  <c r="O979"/>
  <c r="O302"/>
  <c r="O810"/>
  <c r="O525"/>
  <c r="O299"/>
  <c r="O665"/>
  <c r="O662"/>
  <c r="O700"/>
  <c r="O273"/>
  <c r="O607"/>
  <c r="O957"/>
  <c r="O266"/>
  <c r="O624"/>
  <c r="O181"/>
  <c r="O769"/>
  <c r="O254"/>
  <c r="O203"/>
  <c r="O566"/>
  <c r="O668"/>
  <c r="O241"/>
  <c r="O575"/>
  <c r="O925"/>
  <c r="O234"/>
  <c r="O247"/>
  <c r="O597"/>
  <c r="O755"/>
  <c r="O264"/>
  <c r="O606"/>
  <c r="O699"/>
  <c r="O922"/>
  <c r="O935"/>
  <c r="O530"/>
  <c r="O543"/>
  <c r="O893"/>
  <c r="O454"/>
  <c r="O514"/>
  <c r="O190"/>
  <c r="O314"/>
  <c r="O327"/>
  <c r="O835"/>
  <c r="O856"/>
  <c r="O349"/>
  <c r="O170"/>
  <c r="O533"/>
  <c r="O866"/>
  <c r="O282"/>
  <c r="O640"/>
  <c r="O982"/>
  <c r="O739"/>
  <c r="O253"/>
  <c r="O923"/>
  <c r="O326"/>
  <c r="O386"/>
  <c r="O911"/>
  <c r="O186"/>
  <c r="O886"/>
  <c r="O383"/>
  <c r="O733"/>
  <c r="O226"/>
  <c r="O239"/>
  <c r="O366"/>
  <c r="O409"/>
  <c r="O743"/>
  <c r="O988"/>
  <c r="O850"/>
  <c r="O863"/>
  <c r="O948"/>
  <c r="O522"/>
  <c r="O437"/>
  <c r="O513"/>
  <c r="O313"/>
  <c r="O310"/>
  <c r="O924"/>
  <c r="O152"/>
  <c r="O494"/>
  <c r="O596"/>
  <c r="O169"/>
  <c r="O678"/>
  <c r="O162"/>
  <c r="O862"/>
  <c r="O345"/>
  <c r="O342"/>
  <c r="O892"/>
  <c r="O465"/>
  <c r="O799"/>
  <c r="O813"/>
  <c r="O458"/>
  <c r="O198"/>
  <c r="O770"/>
  <c r="O783"/>
  <c r="O907"/>
  <c r="O421"/>
  <c r="O242"/>
  <c r="O600"/>
  <c r="O942"/>
  <c r="O763"/>
  <c r="O439"/>
  <c r="O435"/>
  <c r="O623"/>
  <c r="O546"/>
  <c r="R34"/>
  <c r="O450"/>
  <c r="O259"/>
  <c r="O303"/>
  <c r="O875"/>
  <c r="O334"/>
  <c r="O919"/>
  <c r="O685"/>
  <c r="O963"/>
  <c r="O729"/>
  <c r="O764"/>
  <c r="O337"/>
  <c r="O757"/>
  <c r="O488"/>
  <c r="O830"/>
  <c r="O442"/>
  <c r="O800"/>
  <c r="O293"/>
  <c r="O817"/>
  <c r="O404"/>
  <c r="O823"/>
  <c r="O482"/>
  <c r="O840"/>
  <c r="O346"/>
  <c r="O803"/>
  <c r="O824"/>
  <c r="O987"/>
  <c r="O877"/>
  <c r="O962"/>
  <c r="O638"/>
  <c r="O762"/>
  <c r="O263"/>
  <c r="O613"/>
  <c r="O771"/>
  <c r="O447"/>
  <c r="O806"/>
  <c r="O290"/>
  <c r="O815"/>
  <c r="O375"/>
  <c r="O939"/>
  <c r="O615"/>
  <c r="O965"/>
  <c r="O401"/>
  <c r="O735"/>
  <c r="O621"/>
  <c r="O752"/>
  <c r="O531"/>
  <c r="O897"/>
  <c r="O894"/>
  <c r="O506"/>
  <c r="O869"/>
  <c r="O541"/>
  <c r="O559"/>
  <c r="O250"/>
  <c r="O644"/>
  <c r="O217"/>
  <c r="O214"/>
  <c r="O658"/>
  <c r="O159"/>
  <c r="O509"/>
  <c r="O667"/>
  <c r="O688"/>
  <c r="O245"/>
  <c r="O467"/>
  <c r="O833"/>
  <c r="O318"/>
  <c r="O779"/>
  <c r="O288"/>
  <c r="O630"/>
  <c r="O732"/>
  <c r="O305"/>
  <c r="O639"/>
  <c r="O989"/>
  <c r="O298"/>
  <c r="O311"/>
  <c r="O819"/>
  <c r="O328"/>
  <c r="O670"/>
  <c r="O153"/>
  <c r="O999"/>
  <c r="O188"/>
  <c r="O594"/>
  <c r="O952"/>
  <c r="O445"/>
  <c r="O603"/>
  <c r="O518"/>
  <c r="O684"/>
  <c r="O257"/>
  <c r="O591"/>
  <c r="O484"/>
  <c r="O890"/>
  <c r="O903"/>
  <c r="O156"/>
  <c r="O562"/>
  <c r="O920"/>
  <c r="O413"/>
  <c r="O592"/>
  <c r="O934"/>
  <c r="O243"/>
  <c r="O609"/>
  <c r="O943"/>
  <c r="O703"/>
  <c r="O410"/>
  <c r="O423"/>
  <c r="O773"/>
  <c r="O867"/>
  <c r="O888"/>
  <c r="O381"/>
  <c r="O202"/>
  <c r="O279"/>
  <c r="O339"/>
  <c r="O527"/>
  <c r="O651"/>
  <c r="O165"/>
  <c r="O323"/>
  <c r="O686"/>
  <c r="O507"/>
  <c r="O358"/>
  <c r="O354"/>
  <c r="O879"/>
  <c r="O619"/>
  <c r="O985"/>
  <c r="O470"/>
  <c r="O227"/>
  <c r="O593"/>
  <c r="O590"/>
  <c r="O411"/>
  <c r="O944"/>
  <c r="O211"/>
  <c r="O399"/>
  <c r="O523"/>
  <c r="O889"/>
  <c r="O707"/>
  <c r="O728"/>
  <c r="O221"/>
  <c r="O912"/>
  <c r="O844"/>
  <c r="O929"/>
  <c r="O286"/>
  <c r="O218"/>
  <c r="O231"/>
  <c r="O581"/>
  <c r="O338"/>
  <c r="O351"/>
  <c r="O701"/>
  <c r="O859"/>
  <c r="O834"/>
  <c r="O510"/>
  <c r="O647"/>
  <c r="O997"/>
  <c r="O831"/>
  <c r="O490"/>
  <c r="O166"/>
  <c r="O499"/>
  <c r="O865"/>
  <c r="O350"/>
  <c r="O883"/>
  <c r="O980"/>
  <c r="O786"/>
  <c r="O287"/>
  <c r="O637"/>
  <c r="O795"/>
  <c r="O535"/>
  <c r="O258"/>
  <c r="O761"/>
  <c r="O758"/>
  <c r="O579"/>
  <c r="O945"/>
  <c r="O430"/>
  <c r="O784"/>
  <c r="O716"/>
  <c r="O801"/>
  <c r="O720"/>
  <c r="O960"/>
  <c r="O453"/>
  <c r="O210"/>
  <c r="O573"/>
  <c r="O394"/>
  <c r="O812"/>
  <c r="O843"/>
  <c r="O864"/>
  <c r="O357"/>
  <c r="O178"/>
  <c r="O536"/>
  <c r="O225"/>
  <c r="O657"/>
  <c r="O390"/>
  <c r="O950"/>
  <c r="O908"/>
  <c r="O538"/>
  <c r="O995"/>
  <c r="O321"/>
  <c r="O220"/>
  <c r="O984"/>
  <c r="O477"/>
  <c r="O673"/>
  <c r="O158"/>
  <c r="O222"/>
  <c r="O474"/>
  <c r="O487"/>
  <c r="O837"/>
  <c r="O931"/>
  <c r="O440"/>
  <c r="O782"/>
  <c r="O884"/>
  <c r="O457"/>
  <c r="O855"/>
  <c r="O936"/>
  <c r="O429"/>
  <c r="O378"/>
  <c r="O391"/>
  <c r="O741"/>
  <c r="O750"/>
  <c r="O852"/>
  <c r="O422"/>
  <c r="O524"/>
  <c r="O930"/>
  <c r="O990"/>
  <c r="O747"/>
  <c r="O768"/>
  <c r="O261"/>
  <c r="O355"/>
  <c r="O721"/>
  <c r="O718"/>
  <c r="O560"/>
  <c r="O620"/>
  <c r="O365"/>
  <c r="O505"/>
  <c r="O502"/>
  <c r="O604"/>
  <c r="O177"/>
  <c r="O174"/>
  <c r="O788"/>
  <c r="O183"/>
  <c r="O179"/>
  <c r="O367"/>
  <c r="O627"/>
  <c r="O473"/>
  <c r="O807"/>
  <c r="O493"/>
  <c r="O914"/>
  <c r="O692"/>
  <c r="O265"/>
  <c r="O557"/>
  <c r="O237"/>
  <c r="O377"/>
  <c r="O711"/>
  <c r="O195"/>
  <c r="O561"/>
  <c r="O558"/>
  <c r="O660"/>
  <c r="O417"/>
  <c r="O414"/>
  <c r="O576"/>
  <c r="O918"/>
  <c r="O675"/>
  <c r="O696"/>
  <c r="O189"/>
  <c r="O347"/>
  <c r="O880"/>
  <c r="O322"/>
  <c r="O847"/>
  <c r="O971"/>
  <c r="O992"/>
  <c r="O485"/>
  <c r="O306"/>
  <c r="O669"/>
  <c r="O827"/>
  <c r="O503"/>
  <c r="O780"/>
  <c r="O353"/>
  <c r="O687"/>
  <c r="O973"/>
  <c r="O154"/>
  <c r="O167"/>
  <c r="O274"/>
  <c r="O632"/>
  <c r="O974"/>
  <c r="O283"/>
  <c r="O816"/>
  <c r="O876"/>
  <c r="O961"/>
  <c r="O249"/>
  <c r="O246"/>
  <c r="O860"/>
  <c r="O433"/>
  <c r="O767"/>
  <c r="O397"/>
  <c r="O938"/>
  <c r="O277"/>
  <c r="O289"/>
  <c r="O878"/>
  <c r="U33"/>
  <c r="O291"/>
  <c r="O975"/>
  <c r="O285"/>
  <c r="O551"/>
  <c r="O901"/>
  <c r="O504"/>
  <c r="O846"/>
  <c r="O155"/>
  <c r="O521"/>
  <c r="O748"/>
  <c r="O267"/>
  <c r="O967"/>
  <c r="O626"/>
  <c r="O656"/>
  <c r="O998"/>
  <c r="O171"/>
  <c r="O537"/>
  <c r="O534"/>
  <c r="O978"/>
  <c r="O991"/>
  <c r="O756"/>
  <c r="O215"/>
  <c r="O275"/>
  <c r="O463"/>
  <c r="O587"/>
  <c r="O953"/>
  <c r="O438"/>
  <c r="O540"/>
  <c r="O625"/>
  <c r="O622"/>
  <c r="O443"/>
  <c r="O976"/>
  <c r="O648"/>
  <c r="O187"/>
  <c r="O734"/>
  <c r="O793"/>
  <c r="O790"/>
  <c r="O547"/>
  <c r="O568"/>
  <c r="O910"/>
  <c r="O731"/>
  <c r="O309"/>
  <c r="O719"/>
  <c r="O697"/>
  <c r="O694"/>
  <c r="O515"/>
  <c r="O371"/>
  <c r="O683"/>
  <c r="O475"/>
  <c r="O792"/>
  <c r="O362"/>
  <c r="O389"/>
  <c r="O642"/>
  <c r="O916"/>
  <c r="O489"/>
  <c r="O486"/>
  <c r="O161"/>
  <c r="O832"/>
  <c r="O419"/>
  <c r="O372"/>
  <c r="O693"/>
  <c r="O766"/>
  <c r="O229"/>
  <c r="O746"/>
  <c r="O759"/>
  <c r="O333"/>
  <c r="O418"/>
  <c r="O235"/>
  <c r="O601"/>
  <c r="O598"/>
  <c r="O636"/>
  <c r="O209"/>
  <c r="O206"/>
  <c r="O820"/>
  <c r="O393"/>
  <c r="O909"/>
  <c r="O193"/>
  <c r="O702"/>
  <c r="O826"/>
  <c r="O839"/>
  <c r="O956"/>
  <c r="O498"/>
  <c r="O511"/>
  <c r="O861"/>
  <c r="O361"/>
  <c r="O972"/>
  <c r="O545"/>
  <c r="O205"/>
  <c r="O478"/>
  <c r="O794"/>
  <c r="O645"/>
  <c r="O402"/>
  <c r="O415"/>
  <c r="O765"/>
  <c r="O586"/>
  <c r="O501"/>
  <c r="O898"/>
  <c r="O574"/>
  <c r="O698"/>
  <c r="O199"/>
  <c r="O549"/>
  <c r="O882"/>
  <c r="O895"/>
  <c r="O845"/>
  <c r="O738"/>
  <c r="O751"/>
  <c r="O737"/>
  <c r="O921"/>
  <c r="O406"/>
  <c r="O163"/>
  <c r="O529"/>
  <c r="O526"/>
  <c r="O628"/>
  <c r="O940"/>
  <c r="O335"/>
  <c r="O459"/>
  <c r="O825"/>
  <c r="O822"/>
  <c r="O643"/>
  <c r="O664"/>
  <c r="O157"/>
  <c r="O315"/>
  <c r="O848"/>
  <c r="O341"/>
  <c r="O674"/>
  <c r="O175"/>
  <c r="O857"/>
  <c r="O854"/>
  <c r="O611"/>
  <c r="O977"/>
  <c r="O462"/>
  <c r="O970"/>
  <c r="O446"/>
  <c r="O583"/>
  <c r="O933"/>
  <c r="O754"/>
  <c r="O605"/>
  <c r="O426"/>
  <c r="O951"/>
  <c r="O610"/>
  <c r="O191"/>
  <c r="O717"/>
  <c r="P36" l="1"/>
  <c r="Q36" s="1"/>
  <c r="Y35"/>
  <c r="Q35"/>
  <c r="R36" s="1"/>
  <c r="S35"/>
  <c r="S34"/>
  <c r="Q34"/>
  <c r="T35" s="1"/>
  <c r="V34" l="1"/>
  <c r="W34" s="1"/>
  <c r="R35"/>
  <c r="V36"/>
  <c r="W36" s="1"/>
  <c r="R37"/>
  <c r="T37"/>
  <c r="S36"/>
  <c r="U36" s="1"/>
  <c r="U35"/>
  <c r="T36"/>
  <c r="P37"/>
  <c r="Y36"/>
  <c r="U34"/>
  <c r="V35"/>
  <c r="W35" s="1"/>
  <c r="P38" l="1"/>
  <c r="Y37"/>
  <c r="Q37"/>
  <c r="S37"/>
  <c r="X36"/>
  <c r="X35"/>
  <c r="P39" l="1"/>
  <c r="Y38"/>
  <c r="V37"/>
  <c r="W37" s="1"/>
  <c r="X37" s="1"/>
  <c r="T38"/>
  <c r="S38" s="1"/>
  <c r="R38"/>
  <c r="Q38" s="1"/>
  <c r="U37"/>
  <c r="P40" l="1"/>
  <c r="Y39"/>
  <c r="P41" l="1"/>
  <c r="S40"/>
  <c r="Q40"/>
  <c r="P42" l="1"/>
  <c r="Y41"/>
  <c r="S41"/>
  <c r="Q41"/>
  <c r="U40"/>
  <c r="T41"/>
  <c r="R41"/>
  <c r="U41" l="1"/>
  <c r="T42"/>
  <c r="R42"/>
  <c r="V41"/>
  <c r="W41" s="1"/>
  <c r="P43"/>
  <c r="Y42"/>
  <c r="S42"/>
  <c r="Q42"/>
  <c r="P44" l="1"/>
  <c r="Y43"/>
  <c r="Q43"/>
  <c r="S43"/>
  <c r="U42"/>
  <c r="R43"/>
  <c r="T43"/>
  <c r="V42"/>
  <c r="W42" s="1"/>
  <c r="T44" l="1"/>
  <c r="R44"/>
  <c r="U43"/>
  <c r="V43"/>
  <c r="W43" s="1"/>
  <c r="P45"/>
  <c r="Y44"/>
  <c r="S44"/>
  <c r="Q44"/>
  <c r="P46" l="1"/>
  <c r="Y45"/>
  <c r="Q45"/>
  <c r="S45"/>
  <c r="T45"/>
  <c r="R45"/>
  <c r="U44"/>
  <c r="V44"/>
  <c r="W44" s="1"/>
  <c r="P47" l="1"/>
  <c r="Y46"/>
  <c r="Q46"/>
  <c r="S46"/>
  <c r="R46"/>
  <c r="T46"/>
  <c r="U45"/>
  <c r="V45"/>
  <c r="W45" s="1"/>
  <c r="U46" l="1"/>
  <c r="T47"/>
  <c r="R47"/>
  <c r="V46"/>
  <c r="W46" s="1"/>
  <c r="P48"/>
  <c r="Y47"/>
  <c r="S47"/>
  <c r="Q47"/>
  <c r="P49" l="1"/>
  <c r="Y48"/>
  <c r="Q48"/>
  <c r="S48"/>
  <c r="R48"/>
  <c r="T48"/>
  <c r="U47"/>
  <c r="V47"/>
  <c r="W47" s="1"/>
  <c r="P50" l="1"/>
  <c r="Y49"/>
  <c r="Q49"/>
  <c r="S49"/>
  <c r="T49"/>
  <c r="R49"/>
  <c r="U48"/>
  <c r="V48"/>
  <c r="W48" s="1"/>
  <c r="T50" l="1"/>
  <c r="R50"/>
  <c r="U49"/>
  <c r="V49"/>
  <c r="W49" s="1"/>
  <c r="P51"/>
  <c r="Y50"/>
  <c r="S50"/>
  <c r="Q50"/>
  <c r="P52" l="1"/>
  <c r="Y51"/>
  <c r="R51"/>
  <c r="Q51" s="1"/>
  <c r="T51"/>
  <c r="S51" s="1"/>
  <c r="U50"/>
  <c r="V50"/>
  <c r="W50" s="1"/>
  <c r="P53" l="1"/>
  <c r="Q52"/>
  <c r="S52"/>
  <c r="P54" l="1"/>
  <c r="Y53"/>
  <c r="Q53"/>
  <c r="S53"/>
  <c r="T53"/>
  <c r="R53"/>
  <c r="U52"/>
  <c r="R54" l="1"/>
  <c r="Q54" s="1"/>
  <c r="T54"/>
  <c r="S54" s="1"/>
  <c r="U53"/>
  <c r="V53"/>
  <c r="W53" s="1"/>
  <c r="P55"/>
  <c r="Y54"/>
  <c r="P56" l="1"/>
  <c r="Y55"/>
  <c r="P57" l="1"/>
  <c r="Y56"/>
  <c r="P58" l="1"/>
  <c r="S57"/>
  <c r="Q57"/>
  <c r="P59" l="1"/>
  <c r="Y58"/>
  <c r="T58"/>
  <c r="S58" s="1"/>
  <c r="R58"/>
  <c r="Q58" s="1"/>
  <c r="U57"/>
  <c r="P60" l="1"/>
  <c r="P61" l="1"/>
  <c r="Y60"/>
  <c r="P62" l="1"/>
  <c r="S61"/>
  <c r="Q61"/>
  <c r="P63" l="1"/>
  <c r="Y62"/>
  <c r="S62"/>
  <c r="Q62"/>
  <c r="R62"/>
  <c r="T62"/>
  <c r="U61"/>
  <c r="P64" l="1"/>
  <c r="Y63"/>
  <c r="Q63"/>
  <c r="S63"/>
  <c r="T63"/>
  <c r="R63"/>
  <c r="U62"/>
  <c r="V62"/>
  <c r="W62" s="1"/>
  <c r="T64" l="1"/>
  <c r="S64" s="1"/>
  <c r="R64"/>
  <c r="Q64" s="1"/>
  <c r="U63"/>
  <c r="V63"/>
  <c r="W63" s="1"/>
  <c r="P65"/>
  <c r="Y64"/>
  <c r="P66" l="1"/>
  <c r="S65"/>
  <c r="Q65"/>
  <c r="P67" l="1"/>
  <c r="Y66"/>
  <c r="S66"/>
  <c r="Q66"/>
  <c r="T66"/>
  <c r="R66"/>
  <c r="U65"/>
  <c r="P68" l="1"/>
  <c r="Y67"/>
  <c r="Q67"/>
  <c r="S67"/>
  <c r="T67"/>
  <c r="R67"/>
  <c r="U66"/>
  <c r="V66"/>
  <c r="W66" s="1"/>
  <c r="P69" l="1"/>
  <c r="Y68"/>
  <c r="Q68"/>
  <c r="S68"/>
  <c r="T68"/>
  <c r="R68"/>
  <c r="U67"/>
  <c r="V67"/>
  <c r="W67" s="1"/>
  <c r="P70" l="1"/>
  <c r="Y69"/>
  <c r="T69"/>
  <c r="S69" s="1"/>
  <c r="R69"/>
  <c r="Q69" s="1"/>
  <c r="U68"/>
  <c r="V68"/>
  <c r="W68" s="1"/>
  <c r="P71" l="1"/>
  <c r="Y70"/>
  <c r="P72" l="1"/>
  <c r="Q71"/>
  <c r="S71"/>
  <c r="P73" l="1"/>
  <c r="Y72"/>
  <c r="Q72"/>
  <c r="S72"/>
  <c r="T72"/>
  <c r="R72"/>
  <c r="U71"/>
  <c r="R73" l="1"/>
  <c r="U72"/>
  <c r="T73"/>
  <c r="V72"/>
  <c r="W72" s="1"/>
  <c r="P74"/>
  <c r="Y73"/>
  <c r="S73"/>
  <c r="Q73"/>
  <c r="P75" l="1"/>
  <c r="Y74"/>
  <c r="Q74"/>
  <c r="S74"/>
  <c r="T74"/>
  <c r="R74"/>
  <c r="U73"/>
  <c r="V73"/>
  <c r="W73" s="1"/>
  <c r="P76" l="1"/>
  <c r="Y75"/>
  <c r="S75"/>
  <c r="Q75"/>
  <c r="T75"/>
  <c r="U74"/>
  <c r="R75"/>
  <c r="V74"/>
  <c r="W74" s="1"/>
  <c r="P77" l="1"/>
  <c r="Q76"/>
  <c r="S76"/>
  <c r="T76"/>
  <c r="R76"/>
  <c r="U75"/>
  <c r="V75"/>
  <c r="W75" s="1"/>
  <c r="T77" l="1"/>
  <c r="R77"/>
  <c r="U76"/>
  <c r="V76"/>
  <c r="W76" s="1"/>
  <c r="P78"/>
  <c r="Y77"/>
  <c r="S77"/>
  <c r="Q77"/>
  <c r="P79" l="1"/>
  <c r="Y78"/>
  <c r="S78"/>
  <c r="Q78"/>
  <c r="U77"/>
  <c r="T78"/>
  <c r="R78"/>
  <c r="V77"/>
  <c r="W77" s="1"/>
  <c r="P80" l="1"/>
  <c r="Y79"/>
  <c r="S79"/>
  <c r="Q79"/>
  <c r="T79"/>
  <c r="R79"/>
  <c r="U78"/>
  <c r="V78"/>
  <c r="W78" s="1"/>
  <c r="P81" l="1"/>
  <c r="Y80"/>
  <c r="S80"/>
  <c r="Q80"/>
  <c r="U79"/>
  <c r="T80"/>
  <c r="R80"/>
  <c r="V79"/>
  <c r="W79" s="1"/>
  <c r="P82" l="1"/>
  <c r="Y81"/>
  <c r="Q81"/>
  <c r="S81"/>
  <c r="T81"/>
  <c r="R81"/>
  <c r="U80"/>
  <c r="V80"/>
  <c r="W80" s="1"/>
  <c r="P83" l="1"/>
  <c r="Y82"/>
  <c r="Q82"/>
  <c r="S82"/>
  <c r="T82"/>
  <c r="R82"/>
  <c r="U81"/>
  <c r="V81"/>
  <c r="W81" s="1"/>
  <c r="P84" l="1"/>
  <c r="Y83"/>
  <c r="Q83"/>
  <c r="S83"/>
  <c r="R83"/>
  <c r="T83"/>
  <c r="U82"/>
  <c r="V82"/>
  <c r="W82" s="1"/>
  <c r="P85" l="1"/>
  <c r="Y84"/>
  <c r="S84"/>
  <c r="Q84"/>
  <c r="T84"/>
  <c r="R84"/>
  <c r="U83"/>
  <c r="V83"/>
  <c r="W83" s="1"/>
  <c r="P86" l="1"/>
  <c r="Y85"/>
  <c r="Q85"/>
  <c r="S85"/>
  <c r="T85"/>
  <c r="U84"/>
  <c r="R85"/>
  <c r="V84"/>
  <c r="W84" s="1"/>
  <c r="P87" l="1"/>
  <c r="Y86"/>
  <c r="Q86"/>
  <c r="S86"/>
  <c r="U85"/>
  <c r="T86"/>
  <c r="R86"/>
  <c r="V85"/>
  <c r="W85" s="1"/>
  <c r="T87" l="1"/>
  <c r="R87"/>
  <c r="U86"/>
  <c r="V86"/>
  <c r="W86" s="1"/>
  <c r="P88"/>
  <c r="Y87"/>
  <c r="Q87"/>
  <c r="S87"/>
  <c r="P89" l="1"/>
  <c r="Y88"/>
  <c r="R88"/>
  <c r="Q88" s="1"/>
  <c r="T88"/>
  <c r="S88" s="1"/>
  <c r="U87"/>
  <c r="V87"/>
  <c r="W87" s="1"/>
  <c r="P90" l="1"/>
  <c r="S89"/>
  <c r="Q89"/>
  <c r="P91" l="1"/>
  <c r="Y90"/>
  <c r="Q90"/>
  <c r="S90"/>
  <c r="U89"/>
  <c r="T90"/>
  <c r="R90"/>
  <c r="P92" l="1"/>
  <c r="Y91"/>
  <c r="S91"/>
  <c r="Q91"/>
  <c r="R91"/>
  <c r="T91"/>
  <c r="U90"/>
  <c r="V90"/>
  <c r="W90" s="1"/>
  <c r="P93" l="1"/>
  <c r="Y92"/>
  <c r="S92"/>
  <c r="Q92"/>
  <c r="T92"/>
  <c r="R92"/>
  <c r="U91"/>
  <c r="V91"/>
  <c r="W91" s="1"/>
  <c r="T93" l="1"/>
  <c r="R93"/>
  <c r="U92"/>
  <c r="V92"/>
  <c r="W92" s="1"/>
  <c r="P94"/>
  <c r="Y93"/>
  <c r="S93"/>
  <c r="Q93"/>
  <c r="P95" l="1"/>
  <c r="Y94"/>
  <c r="S94"/>
  <c r="Q94"/>
  <c r="U93"/>
  <c r="T94"/>
  <c r="R94"/>
  <c r="V93"/>
  <c r="W93" s="1"/>
  <c r="P96" l="1"/>
  <c r="Y95"/>
  <c r="S95"/>
  <c r="Q95"/>
  <c r="T95"/>
  <c r="R95"/>
  <c r="U94"/>
  <c r="V94"/>
  <c r="W94" s="1"/>
  <c r="P97" l="1"/>
  <c r="Y96"/>
  <c r="Q96"/>
  <c r="S96"/>
  <c r="T96"/>
  <c r="R96"/>
  <c r="U95"/>
  <c r="V95"/>
  <c r="W95" s="1"/>
  <c r="P98" l="1"/>
  <c r="Y97"/>
  <c r="S97"/>
  <c r="Q97"/>
  <c r="U96"/>
  <c r="T97"/>
  <c r="R97"/>
  <c r="V96"/>
  <c r="W96" s="1"/>
  <c r="P99" l="1"/>
  <c r="Y98"/>
  <c r="S98"/>
  <c r="Q98"/>
  <c r="T98"/>
  <c r="U97"/>
  <c r="R98"/>
  <c r="V97"/>
  <c r="W97" s="1"/>
  <c r="P100" l="1"/>
  <c r="Y99"/>
  <c r="Q99"/>
  <c r="S99"/>
  <c r="T99"/>
  <c r="U98"/>
  <c r="R99"/>
  <c r="V98"/>
  <c r="W98" s="1"/>
  <c r="P101" l="1"/>
  <c r="Y100"/>
  <c r="S100"/>
  <c r="Q100"/>
  <c r="T100"/>
  <c r="R100"/>
  <c r="U99"/>
  <c r="V99"/>
  <c r="W99" s="1"/>
  <c r="P102" l="1"/>
  <c r="Y101"/>
  <c r="S101"/>
  <c r="Q101"/>
  <c r="T101"/>
  <c r="U100"/>
  <c r="R101"/>
  <c r="V100"/>
  <c r="W100" s="1"/>
  <c r="P103" l="1"/>
  <c r="Y102"/>
  <c r="Q102"/>
  <c r="S102"/>
  <c r="R102"/>
  <c r="T102"/>
  <c r="U101"/>
  <c r="V101"/>
  <c r="W101" s="1"/>
  <c r="P104" l="1"/>
  <c r="Y103"/>
  <c r="Q103"/>
  <c r="S103"/>
  <c r="T103"/>
  <c r="R103"/>
  <c r="U102"/>
  <c r="V102"/>
  <c r="W102" s="1"/>
  <c r="P105" l="1"/>
  <c r="Y104"/>
  <c r="S104"/>
  <c r="Q104"/>
  <c r="U103"/>
  <c r="T104"/>
  <c r="R104"/>
  <c r="V103"/>
  <c r="W103" s="1"/>
  <c r="T105" l="1"/>
  <c r="S105" s="1"/>
  <c r="U104"/>
  <c r="R105"/>
  <c r="Q105" s="1"/>
  <c r="V104"/>
  <c r="W104" s="1"/>
  <c r="P106"/>
  <c r="Y105"/>
  <c r="P107" l="1"/>
  <c r="Q106"/>
  <c r="S106"/>
  <c r="R107" l="1"/>
  <c r="T107"/>
  <c r="U106"/>
  <c r="P108"/>
  <c r="Y107"/>
  <c r="S107"/>
  <c r="Q107"/>
  <c r="P109" l="1"/>
  <c r="Y108"/>
  <c r="Q108"/>
  <c r="S108"/>
  <c r="R108"/>
  <c r="T108"/>
  <c r="U107"/>
  <c r="V107"/>
  <c r="W107" s="1"/>
  <c r="P110" l="1"/>
  <c r="Y109"/>
  <c r="S109"/>
  <c r="Q109"/>
  <c r="T109"/>
  <c r="R109"/>
  <c r="U108"/>
  <c r="V108"/>
  <c r="W108" s="1"/>
  <c r="T110" l="1"/>
  <c r="R110"/>
  <c r="U109"/>
  <c r="V109"/>
  <c r="W109" s="1"/>
  <c r="P111"/>
  <c r="Y110"/>
  <c r="Q110"/>
  <c r="S110"/>
  <c r="P112" l="1"/>
  <c r="Y111"/>
  <c r="Q111"/>
  <c r="S111"/>
  <c r="T111"/>
  <c r="R111"/>
  <c r="U110"/>
  <c r="V110"/>
  <c r="W110" s="1"/>
  <c r="P113" l="1"/>
  <c r="Y112"/>
  <c r="R112"/>
  <c r="Q112" s="1"/>
  <c r="T112"/>
  <c r="S112" s="1"/>
  <c r="U111"/>
  <c r="V111"/>
  <c r="W111" s="1"/>
  <c r="P114" l="1"/>
  <c r="S113"/>
  <c r="Q113"/>
  <c r="P115" l="1"/>
  <c r="Y114"/>
  <c r="Q114"/>
  <c r="S114"/>
  <c r="T114"/>
  <c r="U113"/>
  <c r="R114"/>
  <c r="P116" l="1"/>
  <c r="Y115"/>
  <c r="S115"/>
  <c r="Q115"/>
  <c r="U114"/>
  <c r="T115"/>
  <c r="R115"/>
  <c r="V114"/>
  <c r="W114" s="1"/>
  <c r="R116" l="1"/>
  <c r="T116"/>
  <c r="U115"/>
  <c r="V115"/>
  <c r="W115" s="1"/>
  <c r="P117"/>
  <c r="Y116"/>
  <c r="S116"/>
  <c r="Q116"/>
  <c r="P118" l="1"/>
  <c r="Y117"/>
  <c r="Q117"/>
  <c r="S117"/>
  <c r="R117"/>
  <c r="T117"/>
  <c r="U116"/>
  <c r="V116"/>
  <c r="W116" s="1"/>
  <c r="P119" l="1"/>
  <c r="Y118"/>
  <c r="S118"/>
  <c r="Q118"/>
  <c r="R118"/>
  <c r="T118"/>
  <c r="U117"/>
  <c r="V117"/>
  <c r="W117" s="1"/>
  <c r="T119" l="1"/>
  <c r="U118"/>
  <c r="R119"/>
  <c r="V118"/>
  <c r="W118" s="1"/>
  <c r="P120"/>
  <c r="Y119"/>
  <c r="Q119"/>
  <c r="S119"/>
  <c r="R120" l="1"/>
  <c r="T120"/>
  <c r="U119"/>
  <c r="V119"/>
  <c r="W119" s="1"/>
  <c r="P121"/>
  <c r="Y120"/>
  <c r="S120"/>
  <c r="Q120"/>
  <c r="P122" l="1"/>
  <c r="Y121"/>
  <c r="Q121"/>
  <c r="S121"/>
  <c r="R121"/>
  <c r="T121"/>
  <c r="U120"/>
  <c r="V120"/>
  <c r="W120" s="1"/>
  <c r="T122" l="1"/>
  <c r="R122"/>
  <c r="V121"/>
  <c r="W121" s="1"/>
  <c r="P123"/>
  <c r="Y122"/>
  <c r="S122"/>
  <c r="Q122"/>
  <c r="U121"/>
  <c r="R123" l="1"/>
  <c r="T123"/>
  <c r="U122"/>
  <c r="V122"/>
  <c r="W122" s="1"/>
  <c r="P124"/>
  <c r="Y123"/>
  <c r="S123"/>
  <c r="Q123"/>
  <c r="P125" l="1"/>
  <c r="Y124"/>
  <c r="Q124"/>
  <c r="S124"/>
  <c r="R124"/>
  <c r="T124"/>
  <c r="U123"/>
  <c r="V123"/>
  <c r="W123" s="1"/>
  <c r="R125" l="1"/>
  <c r="U124"/>
  <c r="T125"/>
  <c r="V124"/>
  <c r="W124" s="1"/>
  <c r="P126"/>
  <c r="Y125"/>
  <c r="S125"/>
  <c r="Q125"/>
  <c r="P127" l="1"/>
  <c r="Y126"/>
  <c r="Q126"/>
  <c r="S126"/>
  <c r="T126"/>
  <c r="R126"/>
  <c r="U125"/>
  <c r="V125"/>
  <c r="W125" s="1"/>
  <c r="P128" l="1"/>
  <c r="Y127"/>
  <c r="Q127"/>
  <c r="S127"/>
  <c r="R127"/>
  <c r="T127"/>
  <c r="U126"/>
  <c r="V126"/>
  <c r="W126" s="1"/>
  <c r="P129" l="1"/>
  <c r="Y128"/>
  <c r="Q128"/>
  <c r="S128"/>
  <c r="T128"/>
  <c r="U127"/>
  <c r="R128"/>
  <c r="V127"/>
  <c r="W127" s="1"/>
  <c r="R129" l="1"/>
  <c r="U128"/>
  <c r="T129"/>
  <c r="V128"/>
  <c r="W128" s="1"/>
  <c r="P130"/>
  <c r="Y129"/>
  <c r="Q129"/>
  <c r="S129"/>
  <c r="P131" l="1"/>
  <c r="Y130"/>
  <c r="Q130"/>
  <c r="S130"/>
  <c r="R130"/>
  <c r="T130"/>
  <c r="U129"/>
  <c r="V129"/>
  <c r="W129" s="1"/>
  <c r="R131" l="1"/>
  <c r="T131"/>
  <c r="U130"/>
  <c r="V130"/>
  <c r="W130" s="1"/>
  <c r="P132"/>
  <c r="Y131"/>
  <c r="S131"/>
  <c r="Q131"/>
  <c r="P133" l="1"/>
  <c r="Y132"/>
  <c r="T132"/>
  <c r="S132" s="1"/>
  <c r="U131"/>
  <c r="R132"/>
  <c r="Q132" s="1"/>
  <c r="V131"/>
  <c r="W131" s="1"/>
  <c r="P134" l="1"/>
  <c r="S133"/>
  <c r="Q133"/>
  <c r="R134" l="1"/>
  <c r="Q134" s="1"/>
  <c r="T134"/>
  <c r="S134" s="1"/>
  <c r="U133"/>
  <c r="P135"/>
  <c r="Y134"/>
  <c r="P136" l="1"/>
  <c r="Y135"/>
  <c r="P137" l="1"/>
  <c r="S136"/>
  <c r="Q136"/>
  <c r="P138" l="1"/>
  <c r="Y137"/>
  <c r="S137"/>
  <c r="Q137"/>
  <c r="T137"/>
  <c r="R137"/>
  <c r="U136"/>
  <c r="P139" l="1"/>
  <c r="Y138"/>
  <c r="S138"/>
  <c r="Q138"/>
  <c r="T138"/>
  <c r="U137"/>
  <c r="R138"/>
  <c r="V137"/>
  <c r="W137" s="1"/>
  <c r="P140" l="1"/>
  <c r="Y139"/>
  <c r="S139"/>
  <c r="Q139"/>
  <c r="T139"/>
  <c r="R139"/>
  <c r="U138"/>
  <c r="V138"/>
  <c r="W138" s="1"/>
  <c r="P141" l="1"/>
  <c r="Y140"/>
  <c r="S140"/>
  <c r="Q140"/>
  <c r="T140"/>
  <c r="R140"/>
  <c r="U139"/>
  <c r="V139"/>
  <c r="W139" s="1"/>
  <c r="P142" l="1"/>
  <c r="Y141"/>
  <c r="Q141"/>
  <c r="S141"/>
  <c r="R141"/>
  <c r="T141"/>
  <c r="U140"/>
  <c r="V140"/>
  <c r="W140" s="1"/>
  <c r="P143" l="1"/>
  <c r="Y142"/>
  <c r="S142"/>
  <c r="Q142"/>
  <c r="R142"/>
  <c r="T142"/>
  <c r="U141"/>
  <c r="V141"/>
  <c r="W141" s="1"/>
  <c r="P144" l="1"/>
  <c r="Y143"/>
  <c r="S143"/>
  <c r="Q143"/>
  <c r="T143"/>
  <c r="U142"/>
  <c r="R143"/>
  <c r="V142"/>
  <c r="W142" s="1"/>
  <c r="R144" l="1"/>
  <c r="T144"/>
  <c r="U143"/>
  <c r="V143"/>
  <c r="W143" s="1"/>
  <c r="P145"/>
  <c r="Y144"/>
  <c r="Q144"/>
  <c r="S144"/>
  <c r="U144" l="1"/>
  <c r="R145"/>
  <c r="Q145" s="1"/>
  <c r="T145"/>
  <c r="S145" s="1"/>
  <c r="V144"/>
  <c r="W144" s="1"/>
  <c r="P146"/>
  <c r="Y145"/>
  <c r="P147" l="1"/>
  <c r="Y146"/>
  <c r="P148" l="1"/>
  <c r="Q147"/>
  <c r="S147"/>
  <c r="P149" l="1"/>
  <c r="Y148"/>
  <c r="Q148"/>
  <c r="S148"/>
  <c r="R148"/>
  <c r="T148"/>
  <c r="U147"/>
  <c r="P150" l="1"/>
  <c r="Y149"/>
  <c r="S149"/>
  <c r="Q149"/>
  <c r="R149"/>
  <c r="T149"/>
  <c r="U148"/>
  <c r="V148"/>
  <c r="W148" s="1"/>
  <c r="P151" l="1"/>
  <c r="Y150"/>
  <c r="R150"/>
  <c r="Q150" s="1"/>
  <c r="T150"/>
  <c r="S150" s="1"/>
  <c r="U149"/>
  <c r="V149"/>
  <c r="W149" s="1"/>
  <c r="Q151" l="1"/>
  <c r="S151"/>
  <c r="P152"/>
  <c r="P153" l="1"/>
  <c r="Y152"/>
  <c r="Q152"/>
  <c r="S152"/>
  <c r="R152"/>
  <c r="T152"/>
  <c r="U151"/>
  <c r="Y153" l="1"/>
  <c r="S153"/>
  <c r="Q153"/>
  <c r="P154"/>
  <c r="R153"/>
  <c r="T153"/>
  <c r="U152"/>
  <c r="V152"/>
  <c r="W152" s="1"/>
  <c r="P155" l="1"/>
  <c r="Y154"/>
  <c r="S154"/>
  <c r="Q154"/>
  <c r="R154"/>
  <c r="T154"/>
  <c r="U153"/>
  <c r="V153"/>
  <c r="W153" s="1"/>
  <c r="P156" l="1"/>
  <c r="Y155"/>
  <c r="S155"/>
  <c r="Q155"/>
  <c r="R155"/>
  <c r="T155"/>
  <c r="U154"/>
  <c r="V154"/>
  <c r="W154" s="1"/>
  <c r="P157" l="1"/>
  <c r="Y156"/>
  <c r="S156"/>
  <c r="Q156"/>
  <c r="R156"/>
  <c r="T156"/>
  <c r="U155"/>
  <c r="V155"/>
  <c r="W155" s="1"/>
  <c r="P158" l="1"/>
  <c r="Y157"/>
  <c r="Q157"/>
  <c r="S157"/>
  <c r="R157"/>
  <c r="T157"/>
  <c r="U156"/>
  <c r="V156"/>
  <c r="W156" s="1"/>
  <c r="P159" l="1"/>
  <c r="Y158"/>
  <c r="Q158"/>
  <c r="S158"/>
  <c r="R158"/>
  <c r="T158"/>
  <c r="U157"/>
  <c r="V157"/>
  <c r="W157" s="1"/>
  <c r="R159" l="1"/>
  <c r="Q159" s="1"/>
  <c r="T159"/>
  <c r="S159" s="1"/>
  <c r="U158"/>
  <c r="V158"/>
  <c r="W158" s="1"/>
  <c r="P160"/>
  <c r="Y159"/>
  <c r="S160" l="1"/>
  <c r="Q160"/>
  <c r="P161"/>
  <c r="T161" l="1"/>
  <c r="R161"/>
  <c r="U160"/>
  <c r="Y161"/>
  <c r="P162"/>
  <c r="S161"/>
  <c r="Q161"/>
  <c r="Y162" l="1"/>
  <c r="S162"/>
  <c r="P163"/>
  <c r="Q162"/>
  <c r="T162"/>
  <c r="R162"/>
  <c r="U161"/>
  <c r="V161"/>
  <c r="W161" s="1"/>
  <c r="Y163" l="1"/>
  <c r="S163"/>
  <c r="Q163"/>
  <c r="P164"/>
  <c r="R163"/>
  <c r="T163"/>
  <c r="U162"/>
  <c r="V162"/>
  <c r="W162" s="1"/>
  <c r="R164" l="1"/>
  <c r="T164"/>
  <c r="U163"/>
  <c r="V163"/>
  <c r="W163" s="1"/>
  <c r="Y164"/>
  <c r="S164"/>
  <c r="P165"/>
  <c r="Q164"/>
  <c r="Y165" l="1"/>
  <c r="P166"/>
  <c r="Q165"/>
  <c r="S165"/>
  <c r="T165"/>
  <c r="U164"/>
  <c r="R165"/>
  <c r="V164"/>
  <c r="W164" s="1"/>
  <c r="Y166" l="1"/>
  <c r="S166"/>
  <c r="P167"/>
  <c r="Q166"/>
  <c r="U165"/>
  <c r="R166"/>
  <c r="T166"/>
  <c r="V165"/>
  <c r="W165" s="1"/>
  <c r="Y167" l="1"/>
  <c r="S167"/>
  <c r="P168"/>
  <c r="Q167"/>
  <c r="U166"/>
  <c r="T167"/>
  <c r="R167"/>
  <c r="V166"/>
  <c r="W166" s="1"/>
  <c r="R168" l="1"/>
  <c r="T168"/>
  <c r="U167"/>
  <c r="V167"/>
  <c r="W167" s="1"/>
  <c r="Y168"/>
  <c r="S168"/>
  <c r="Q168"/>
  <c r="P169"/>
  <c r="T169" l="1"/>
  <c r="R169"/>
  <c r="U168"/>
  <c r="V168"/>
  <c r="W168" s="1"/>
  <c r="Y169"/>
  <c r="P170"/>
  <c r="S169"/>
  <c r="Q169"/>
  <c r="Y170" l="1"/>
  <c r="Q170"/>
  <c r="S170"/>
  <c r="P171"/>
  <c r="R170"/>
  <c r="T170"/>
  <c r="U169"/>
  <c r="V169"/>
  <c r="W169" s="1"/>
  <c r="R171" l="1"/>
  <c r="Q171" s="1"/>
  <c r="T171"/>
  <c r="S171" s="1"/>
  <c r="U170"/>
  <c r="V170"/>
  <c r="W170" s="1"/>
  <c r="P172"/>
  <c r="Y171"/>
  <c r="P173" l="1"/>
  <c r="Y172"/>
  <c r="Q173" l="1"/>
  <c r="S173"/>
  <c r="P174"/>
  <c r="U173" l="1"/>
  <c r="R174"/>
  <c r="T174"/>
  <c r="Y174"/>
  <c r="S174"/>
  <c r="Q174"/>
  <c r="P175"/>
  <c r="U174" l="1"/>
  <c r="R175"/>
  <c r="T175"/>
  <c r="V174"/>
  <c r="W174" s="1"/>
  <c r="Y175"/>
  <c r="S175"/>
  <c r="Q175"/>
  <c r="P176"/>
  <c r="R176" l="1"/>
  <c r="T176"/>
  <c r="U175"/>
  <c r="V175"/>
  <c r="W175" s="1"/>
  <c r="Y176"/>
  <c r="S176"/>
  <c r="Q176"/>
  <c r="P177"/>
  <c r="R177" l="1"/>
  <c r="T177"/>
  <c r="U176"/>
  <c r="V176"/>
  <c r="W176" s="1"/>
  <c r="Y177"/>
  <c r="Q177"/>
  <c r="P178"/>
  <c r="S177"/>
  <c r="R178" l="1"/>
  <c r="U177"/>
  <c r="T178"/>
  <c r="V177"/>
  <c r="W177" s="1"/>
  <c r="Y178"/>
  <c r="P179"/>
  <c r="Q178"/>
  <c r="S178"/>
  <c r="Y179" l="1"/>
  <c r="S179"/>
  <c r="Q179"/>
  <c r="P180"/>
  <c r="U178"/>
  <c r="R179"/>
  <c r="T179"/>
  <c r="V178"/>
  <c r="W178" s="1"/>
  <c r="Y180" l="1"/>
  <c r="S180"/>
  <c r="Q180"/>
  <c r="P181"/>
  <c r="T180"/>
  <c r="U179"/>
  <c r="R180"/>
  <c r="V179"/>
  <c r="W179" s="1"/>
  <c r="Y181" l="1"/>
  <c r="S181"/>
  <c r="P182"/>
  <c r="Q181"/>
  <c r="R181"/>
  <c r="T181"/>
  <c r="U180"/>
  <c r="V180"/>
  <c r="W180" s="1"/>
  <c r="Y182" l="1"/>
  <c r="S182"/>
  <c r="P183"/>
  <c r="Q182"/>
  <c r="R182"/>
  <c r="T182"/>
  <c r="U181"/>
  <c r="V181"/>
  <c r="W181" s="1"/>
  <c r="P184" l="1"/>
  <c r="Y183"/>
  <c r="T183"/>
  <c r="S183" s="1"/>
  <c r="U182"/>
  <c r="R183"/>
  <c r="Q183" s="1"/>
  <c r="V182"/>
  <c r="W182" s="1"/>
  <c r="P185" l="1"/>
  <c r="S184"/>
  <c r="Q184"/>
  <c r="Y185" l="1"/>
  <c r="Q185"/>
  <c r="P186"/>
  <c r="S185"/>
  <c r="R185"/>
  <c r="T185"/>
  <c r="U184"/>
  <c r="Y186" l="1"/>
  <c r="Q186"/>
  <c r="S186"/>
  <c r="P187"/>
  <c r="U185"/>
  <c r="R186"/>
  <c r="T186"/>
  <c r="V185"/>
  <c r="W185" s="1"/>
  <c r="Y187" l="1"/>
  <c r="P188"/>
  <c r="S187"/>
  <c r="Q187"/>
  <c r="R187"/>
  <c r="T187"/>
  <c r="U186"/>
  <c r="V186"/>
  <c r="W186" s="1"/>
  <c r="Y188" l="1"/>
  <c r="Q188"/>
  <c r="S188"/>
  <c r="P189"/>
  <c r="R188"/>
  <c r="T188"/>
  <c r="U187"/>
  <c r="V187"/>
  <c r="W187" s="1"/>
  <c r="T189" l="1"/>
  <c r="U188"/>
  <c r="R189"/>
  <c r="V188"/>
  <c r="W188" s="1"/>
  <c r="Y189"/>
  <c r="Q189"/>
  <c r="S189"/>
  <c r="P190"/>
  <c r="R190" l="1"/>
  <c r="U189"/>
  <c r="T190"/>
  <c r="V189"/>
  <c r="W189" s="1"/>
  <c r="Y190"/>
  <c r="S190"/>
  <c r="Q190"/>
  <c r="P191"/>
  <c r="T191" l="1"/>
  <c r="U190"/>
  <c r="R191"/>
  <c r="V190"/>
  <c r="W190" s="1"/>
  <c r="Y191"/>
  <c r="Q191"/>
  <c r="S191"/>
  <c r="P192"/>
  <c r="R192" l="1"/>
  <c r="U191"/>
  <c r="T192"/>
  <c r="V191"/>
  <c r="W191" s="1"/>
  <c r="Y192"/>
  <c r="P193"/>
  <c r="S192"/>
  <c r="Q192"/>
  <c r="Y193" l="1"/>
  <c r="P194"/>
  <c r="Q193"/>
  <c r="S193"/>
  <c r="R193"/>
  <c r="U192"/>
  <c r="T193"/>
  <c r="V192"/>
  <c r="W192" s="1"/>
  <c r="Y194" l="1"/>
  <c r="Q194"/>
  <c r="P195"/>
  <c r="S194"/>
  <c r="U193"/>
  <c r="R194"/>
  <c r="T194"/>
  <c r="V193"/>
  <c r="W193" s="1"/>
  <c r="T195" l="1"/>
  <c r="R195"/>
  <c r="U194"/>
  <c r="V194"/>
  <c r="W194" s="1"/>
  <c r="Y195"/>
  <c r="S195"/>
  <c r="Q195"/>
  <c r="P196"/>
  <c r="T196" l="1"/>
  <c r="S196" s="1"/>
  <c r="U195"/>
  <c r="R196"/>
  <c r="Q196" s="1"/>
  <c r="V195"/>
  <c r="W195" s="1"/>
  <c r="P197"/>
  <c r="Y196"/>
  <c r="Q197" l="1"/>
  <c r="S197"/>
  <c r="P198"/>
  <c r="R198" l="1"/>
  <c r="T198"/>
  <c r="U197"/>
  <c r="Y198"/>
  <c r="Q198"/>
  <c r="P199"/>
  <c r="S198"/>
  <c r="U198" l="1"/>
  <c r="T199"/>
  <c r="R199"/>
  <c r="V198"/>
  <c r="W198" s="1"/>
  <c r="Y199"/>
  <c r="Q199"/>
  <c r="S199"/>
  <c r="P200"/>
  <c r="U199" l="1"/>
  <c r="R200"/>
  <c r="Q200" s="1"/>
  <c r="T200"/>
  <c r="S200" s="1"/>
  <c r="V199"/>
  <c r="W199" s="1"/>
  <c r="P201"/>
  <c r="Y200"/>
  <c r="P202" l="1"/>
  <c r="S201"/>
  <c r="Q201"/>
  <c r="Y202" l="1"/>
  <c r="S202"/>
  <c r="Q202"/>
  <c r="P203"/>
  <c r="R202"/>
  <c r="T202"/>
  <c r="U201"/>
  <c r="Y203" l="1"/>
  <c r="Q203"/>
  <c r="S203"/>
  <c r="P204"/>
  <c r="U202"/>
  <c r="R203"/>
  <c r="T203"/>
  <c r="V202"/>
  <c r="W202" s="1"/>
  <c r="Y204" l="1"/>
  <c r="Q204"/>
  <c r="S204"/>
  <c r="P205"/>
  <c r="R204"/>
  <c r="U203"/>
  <c r="T204"/>
  <c r="V203"/>
  <c r="W203" s="1"/>
  <c r="Y205" l="1"/>
  <c r="Q205"/>
  <c r="P206"/>
  <c r="S205"/>
  <c r="R205"/>
  <c r="T205"/>
  <c r="U204"/>
  <c r="V204"/>
  <c r="W204" s="1"/>
  <c r="R206" l="1"/>
  <c r="T206"/>
  <c r="U205"/>
  <c r="V205"/>
  <c r="W205" s="1"/>
  <c r="Y206"/>
  <c r="Q206"/>
  <c r="S206"/>
  <c r="P207"/>
  <c r="R207" l="1"/>
  <c r="U206"/>
  <c r="T207"/>
  <c r="V206"/>
  <c r="W206" s="1"/>
  <c r="Y207"/>
  <c r="S207"/>
  <c r="Q207"/>
  <c r="P208"/>
  <c r="U207" l="1"/>
  <c r="T208"/>
  <c r="R208"/>
  <c r="V207"/>
  <c r="W207" s="1"/>
  <c r="Y208"/>
  <c r="Q208"/>
  <c r="S208"/>
  <c r="P209"/>
  <c r="R209" l="1"/>
  <c r="T209"/>
  <c r="U208"/>
  <c r="V208"/>
  <c r="W208" s="1"/>
  <c r="Y209"/>
  <c r="Q209"/>
  <c r="S209"/>
  <c r="P210"/>
  <c r="T210" l="1"/>
  <c r="U209"/>
  <c r="R210"/>
  <c r="V209"/>
  <c r="W209" s="1"/>
  <c r="Y210"/>
  <c r="Q210"/>
  <c r="S210"/>
  <c r="P211"/>
  <c r="R211" l="1"/>
  <c r="U210"/>
  <c r="T211"/>
  <c r="V210"/>
  <c r="W210" s="1"/>
  <c r="Y211"/>
  <c r="S211"/>
  <c r="Q211"/>
  <c r="P212"/>
  <c r="R212" l="1"/>
  <c r="T212"/>
  <c r="U211"/>
  <c r="V211"/>
  <c r="W211" s="1"/>
  <c r="Y212"/>
  <c r="S212"/>
  <c r="Q212"/>
  <c r="P213"/>
  <c r="R213" l="1"/>
  <c r="T213"/>
  <c r="U212"/>
  <c r="V212"/>
  <c r="W212" s="1"/>
  <c r="Y213"/>
  <c r="Q213"/>
  <c r="P214"/>
  <c r="S213"/>
  <c r="R214" l="1"/>
  <c r="T214"/>
  <c r="U213"/>
  <c r="V213"/>
  <c r="W213" s="1"/>
  <c r="Y214"/>
  <c r="Q214"/>
  <c r="S214"/>
  <c r="P215"/>
  <c r="R215" l="1"/>
  <c r="T215"/>
  <c r="U214"/>
  <c r="V214"/>
  <c r="W214" s="1"/>
  <c r="Y215"/>
  <c r="Q215"/>
  <c r="S215"/>
  <c r="P216"/>
  <c r="T216" l="1"/>
  <c r="R216"/>
  <c r="U215"/>
  <c r="V215"/>
  <c r="W215" s="1"/>
  <c r="Y216"/>
  <c r="S216"/>
  <c r="Q216"/>
  <c r="P217"/>
  <c r="T217" l="1"/>
  <c r="R217"/>
  <c r="U216"/>
  <c r="V216"/>
  <c r="W216" s="1"/>
  <c r="Y217"/>
  <c r="Q217"/>
  <c r="P218"/>
  <c r="S217"/>
  <c r="R218" l="1"/>
  <c r="U217"/>
  <c r="T218"/>
  <c r="V217"/>
  <c r="W217" s="1"/>
  <c r="Y218"/>
  <c r="P219"/>
  <c r="S218"/>
  <c r="Q218"/>
  <c r="Y219" l="1"/>
  <c r="P220"/>
  <c r="S219"/>
  <c r="Q219"/>
  <c r="U218"/>
  <c r="T219"/>
  <c r="R219"/>
  <c r="V218"/>
  <c r="W218" s="1"/>
  <c r="Y220" l="1"/>
  <c r="P221"/>
  <c r="Q220"/>
  <c r="S220"/>
  <c r="U219"/>
  <c r="R220"/>
  <c r="T220"/>
  <c r="V219"/>
  <c r="W219" s="1"/>
  <c r="R221" l="1"/>
  <c r="U220"/>
  <c r="T221"/>
  <c r="V220"/>
  <c r="W220" s="1"/>
  <c r="Y221"/>
  <c r="P222"/>
  <c r="Q221"/>
  <c r="S221"/>
  <c r="P223" l="1"/>
  <c r="Y222"/>
  <c r="R222"/>
  <c r="Q222" s="1"/>
  <c r="T222"/>
  <c r="S222" s="1"/>
  <c r="U221"/>
  <c r="V221"/>
  <c r="W221" s="1"/>
  <c r="S223" l="1"/>
  <c r="Q223"/>
  <c r="P224"/>
  <c r="Y224" l="1"/>
  <c r="Q224"/>
  <c r="S224"/>
  <c r="P225"/>
  <c r="T224"/>
  <c r="R224"/>
  <c r="U223"/>
  <c r="T225" l="1"/>
  <c r="U224"/>
  <c r="R225"/>
  <c r="V224"/>
  <c r="W224" s="1"/>
  <c r="Y225"/>
  <c r="P226"/>
  <c r="Q225"/>
  <c r="S225"/>
  <c r="Y226" l="1"/>
  <c r="Q226"/>
  <c r="S226"/>
  <c r="P227"/>
  <c r="R226"/>
  <c r="T226"/>
  <c r="U225"/>
  <c r="V225"/>
  <c r="W225" s="1"/>
  <c r="Y227" l="1"/>
  <c r="Q227"/>
  <c r="S227"/>
  <c r="P228"/>
  <c r="R227"/>
  <c r="T227"/>
  <c r="U226"/>
  <c r="V226"/>
  <c r="W226" s="1"/>
  <c r="R228" l="1"/>
  <c r="T228"/>
  <c r="U227"/>
  <c r="V227"/>
  <c r="W227" s="1"/>
  <c r="Y228"/>
  <c r="Q228"/>
  <c r="P229"/>
  <c r="S228"/>
  <c r="R229" l="1"/>
  <c r="Q229" s="1"/>
  <c r="T229"/>
  <c r="S229" s="1"/>
  <c r="U228"/>
  <c r="V228"/>
  <c r="W228" s="1"/>
  <c r="P230"/>
  <c r="Y229"/>
  <c r="S230" l="1"/>
  <c r="Q230"/>
  <c r="P231"/>
  <c r="P232" l="1"/>
  <c r="Y231"/>
  <c r="R231"/>
  <c r="Q231" s="1"/>
  <c r="T231"/>
  <c r="S231" s="1"/>
  <c r="U230"/>
  <c r="P233" l="1"/>
  <c r="Y232"/>
  <c r="P234" l="1"/>
  <c r="S233"/>
  <c r="Q233"/>
  <c r="Y234" l="1"/>
  <c r="Q234"/>
  <c r="P235"/>
  <c r="S234"/>
  <c r="T234"/>
  <c r="U233"/>
  <c r="R234"/>
  <c r="Y235" l="1"/>
  <c r="P236"/>
  <c r="Q235"/>
  <c r="S235"/>
  <c r="R235"/>
  <c r="T235"/>
  <c r="U234"/>
  <c r="V234"/>
  <c r="W234" s="1"/>
  <c r="R236" l="1"/>
  <c r="T236"/>
  <c r="U235"/>
  <c r="V235"/>
  <c r="W235" s="1"/>
  <c r="Y236"/>
  <c r="S236"/>
  <c r="Q236"/>
  <c r="P237"/>
  <c r="R237" l="1"/>
  <c r="U236"/>
  <c r="T237"/>
  <c r="V236"/>
  <c r="W236" s="1"/>
  <c r="Y237"/>
  <c r="S237"/>
  <c r="Q237"/>
  <c r="P238"/>
  <c r="T238" l="1"/>
  <c r="U237"/>
  <c r="R238"/>
  <c r="V237"/>
  <c r="W237" s="1"/>
  <c r="Y238"/>
  <c r="Q238"/>
  <c r="S238"/>
  <c r="P239"/>
  <c r="R239" l="1"/>
  <c r="T239"/>
  <c r="U238"/>
  <c r="V238"/>
  <c r="W238" s="1"/>
  <c r="Y239"/>
  <c r="P240"/>
  <c r="Q239"/>
  <c r="S239"/>
  <c r="Y240" l="1"/>
  <c r="S240"/>
  <c r="Q240"/>
  <c r="P241"/>
  <c r="U239"/>
  <c r="R240"/>
  <c r="T240"/>
  <c r="V239"/>
  <c r="W239" s="1"/>
  <c r="Y241" l="1"/>
  <c r="P242"/>
  <c r="Q241"/>
  <c r="S241"/>
  <c r="T241"/>
  <c r="U240"/>
  <c r="R241"/>
  <c r="V240"/>
  <c r="W240" s="1"/>
  <c r="T242" l="1"/>
  <c r="U241"/>
  <c r="R242"/>
  <c r="V241"/>
  <c r="W241" s="1"/>
  <c r="Y242"/>
  <c r="P243"/>
  <c r="Q242"/>
  <c r="S242"/>
  <c r="Y243" l="1"/>
  <c r="Q243"/>
  <c r="S243"/>
  <c r="P244"/>
  <c r="R243"/>
  <c r="T243"/>
  <c r="U242"/>
  <c r="V242"/>
  <c r="W242" s="1"/>
  <c r="R244" l="1"/>
  <c r="T244"/>
  <c r="U243"/>
  <c r="V243"/>
  <c r="W243" s="1"/>
  <c r="Y244"/>
  <c r="S244"/>
  <c r="Q244"/>
  <c r="P245"/>
  <c r="R245" l="1"/>
  <c r="T245"/>
  <c r="U244"/>
  <c r="V244"/>
  <c r="W244" s="1"/>
  <c r="Y245"/>
  <c r="Q245"/>
  <c r="P246"/>
  <c r="S245"/>
  <c r="T246" l="1"/>
  <c r="U245"/>
  <c r="R246"/>
  <c r="V245"/>
  <c r="W245" s="1"/>
  <c r="Y246"/>
  <c r="P247"/>
  <c r="Q246"/>
  <c r="S246"/>
  <c r="Y247" l="1"/>
  <c r="Q247"/>
  <c r="S247"/>
  <c r="P248"/>
  <c r="U246"/>
  <c r="R247"/>
  <c r="T247"/>
  <c r="V246"/>
  <c r="W246" s="1"/>
  <c r="Y248" l="1"/>
  <c r="P249"/>
  <c r="Q248"/>
  <c r="S248"/>
  <c r="R248"/>
  <c r="U247"/>
  <c r="T248"/>
  <c r="V247"/>
  <c r="W247" s="1"/>
  <c r="Y249" l="1"/>
  <c r="S249"/>
  <c r="Q249"/>
  <c r="P250"/>
  <c r="T249"/>
  <c r="U248"/>
  <c r="R249"/>
  <c r="V248"/>
  <c r="W248" s="1"/>
  <c r="P251" l="1"/>
  <c r="Y250"/>
  <c r="R250"/>
  <c r="Q250" s="1"/>
  <c r="T250"/>
  <c r="S250" s="1"/>
  <c r="U249"/>
  <c r="V249"/>
  <c r="W249" s="1"/>
  <c r="P252" l="1"/>
  <c r="Y251"/>
  <c r="S252" l="1"/>
  <c r="Q252"/>
  <c r="P253"/>
  <c r="Y253" l="1"/>
  <c r="S253"/>
  <c r="Q253"/>
  <c r="P254"/>
  <c r="T253"/>
  <c r="R253"/>
  <c r="U252"/>
  <c r="R254" l="1"/>
  <c r="Q254" s="1"/>
  <c r="T254"/>
  <c r="S254" s="1"/>
  <c r="U253"/>
  <c r="V253"/>
  <c r="W253" s="1"/>
  <c r="P255"/>
  <c r="Y254"/>
  <c r="S255" l="1"/>
  <c r="Q255"/>
  <c r="P256"/>
  <c r="Y256" l="1"/>
  <c r="Q256"/>
  <c r="S256"/>
  <c r="P257"/>
  <c r="R256"/>
  <c r="T256"/>
  <c r="U255"/>
  <c r="U256" l="1"/>
  <c r="T257"/>
  <c r="R257"/>
  <c r="V256"/>
  <c r="W256" s="1"/>
  <c r="Y257"/>
  <c r="S257"/>
  <c r="Q257"/>
  <c r="P258"/>
  <c r="R258" l="1"/>
  <c r="T258"/>
  <c r="U257"/>
  <c r="V257"/>
  <c r="W257" s="1"/>
  <c r="Y258"/>
  <c r="Q258"/>
  <c r="P259"/>
  <c r="S258"/>
  <c r="R259" l="1"/>
  <c r="U258"/>
  <c r="T259"/>
  <c r="V258"/>
  <c r="W258" s="1"/>
  <c r="Y259"/>
  <c r="S259"/>
  <c r="Q259"/>
  <c r="P260"/>
  <c r="R260" l="1"/>
  <c r="U259"/>
  <c r="T260"/>
  <c r="V259"/>
  <c r="W259" s="1"/>
  <c r="Y260"/>
  <c r="Q260"/>
  <c r="P261"/>
  <c r="S260"/>
  <c r="R261" l="1"/>
  <c r="Q261" s="1"/>
  <c r="U260"/>
  <c r="T261"/>
  <c r="S261" s="1"/>
  <c r="V260"/>
  <c r="W260" s="1"/>
  <c r="P262"/>
  <c r="Y261"/>
  <c r="Q262" l="1"/>
  <c r="S262"/>
  <c r="P263"/>
  <c r="T263" l="1"/>
  <c r="R263"/>
  <c r="U262"/>
  <c r="Y263"/>
  <c r="S263"/>
  <c r="Q263"/>
  <c r="P264"/>
  <c r="R264" l="1"/>
  <c r="T264"/>
  <c r="U263"/>
  <c r="V263"/>
  <c r="W263" s="1"/>
  <c r="Y264"/>
  <c r="Q264"/>
  <c r="P265"/>
  <c r="S264"/>
  <c r="R265" l="1"/>
  <c r="T265"/>
  <c r="U264"/>
  <c r="V264"/>
  <c r="W264" s="1"/>
  <c r="Y265"/>
  <c r="P266"/>
  <c r="S265"/>
  <c r="Q265"/>
  <c r="Y266" l="1"/>
  <c r="P267"/>
  <c r="S266"/>
  <c r="Q266"/>
  <c r="T266"/>
  <c r="R266"/>
  <c r="U265"/>
  <c r="V265"/>
  <c r="W265" s="1"/>
  <c r="Y267" l="1"/>
  <c r="P268"/>
  <c r="S267"/>
  <c r="Q267"/>
  <c r="U266"/>
  <c r="T267"/>
  <c r="R267"/>
  <c r="V266"/>
  <c r="W266" s="1"/>
  <c r="T268" l="1"/>
  <c r="U267"/>
  <c r="R268"/>
  <c r="V267"/>
  <c r="W267" s="1"/>
  <c r="Y268"/>
  <c r="Q268"/>
  <c r="P269"/>
  <c r="S268"/>
  <c r="T269" l="1"/>
  <c r="U268"/>
  <c r="R269"/>
  <c r="V268"/>
  <c r="W268" s="1"/>
  <c r="Y269"/>
  <c r="S269"/>
  <c r="Q269"/>
  <c r="P270"/>
  <c r="T270" l="1"/>
  <c r="S270" s="1"/>
  <c r="R270"/>
  <c r="Q270" s="1"/>
  <c r="U269"/>
  <c r="V269"/>
  <c r="W269" s="1"/>
  <c r="P271"/>
  <c r="Y270"/>
  <c r="Q271" l="1"/>
  <c r="S271"/>
  <c r="P272"/>
  <c r="T272" l="1"/>
  <c r="U271"/>
  <c r="R272"/>
  <c r="Y272"/>
  <c r="Q272"/>
  <c r="S272"/>
  <c r="P273"/>
  <c r="R273" l="1"/>
  <c r="T273"/>
  <c r="U272"/>
  <c r="V272"/>
  <c r="W272" s="1"/>
  <c r="Y273"/>
  <c r="S273"/>
  <c r="P274"/>
  <c r="Q273"/>
  <c r="Y274" l="1"/>
  <c r="P275"/>
  <c r="Q274"/>
  <c r="S274"/>
  <c r="R274"/>
  <c r="U273"/>
  <c r="T274"/>
  <c r="V273"/>
  <c r="W273" s="1"/>
  <c r="U274" l="1"/>
  <c r="T275"/>
  <c r="R275"/>
  <c r="V274"/>
  <c r="W274" s="1"/>
  <c r="Y275"/>
  <c r="S275"/>
  <c r="P276"/>
  <c r="Q275"/>
  <c r="Y276" l="1"/>
  <c r="P277"/>
  <c r="S276"/>
  <c r="Q276"/>
  <c r="R276"/>
  <c r="T276"/>
  <c r="U275"/>
  <c r="V275"/>
  <c r="W275" s="1"/>
  <c r="Y277" l="1"/>
  <c r="S277"/>
  <c r="Q277"/>
  <c r="P278"/>
  <c r="R277"/>
  <c r="T277"/>
  <c r="U276"/>
  <c r="V276"/>
  <c r="W276" s="1"/>
  <c r="R278" l="1"/>
  <c r="U277"/>
  <c r="T278"/>
  <c r="V277"/>
  <c r="W277" s="1"/>
  <c r="Y278"/>
  <c r="P279"/>
  <c r="Q278"/>
  <c r="S278"/>
  <c r="Y279" l="1"/>
  <c r="P280"/>
  <c r="S279"/>
  <c r="Q279"/>
  <c r="T279"/>
  <c r="U278"/>
  <c r="R279"/>
  <c r="V278"/>
  <c r="W278" s="1"/>
  <c r="Y280" l="1"/>
  <c r="Q280"/>
  <c r="S280"/>
  <c r="P281"/>
  <c r="T280"/>
  <c r="U279"/>
  <c r="R280"/>
  <c r="V279"/>
  <c r="W279" s="1"/>
  <c r="R281" l="1"/>
  <c r="T281"/>
  <c r="U280"/>
  <c r="V280"/>
  <c r="W280" s="1"/>
  <c r="Y281"/>
  <c r="S281"/>
  <c r="Q281"/>
  <c r="P282"/>
  <c r="T282" l="1"/>
  <c r="U281"/>
  <c r="R282"/>
  <c r="V281"/>
  <c r="W281" s="1"/>
  <c r="Y282"/>
  <c r="S282"/>
  <c r="Q282"/>
  <c r="P283"/>
  <c r="R283" l="1"/>
  <c r="T283"/>
  <c r="U282"/>
  <c r="V282"/>
  <c r="W282" s="1"/>
  <c r="Y283"/>
  <c r="Q283"/>
  <c r="P284"/>
  <c r="S283"/>
  <c r="R284" l="1"/>
  <c r="T284"/>
  <c r="U283"/>
  <c r="V283"/>
  <c r="W283" s="1"/>
  <c r="Y284"/>
  <c r="S284"/>
  <c r="Q284"/>
  <c r="P285"/>
  <c r="T285" l="1"/>
  <c r="U284"/>
  <c r="R285"/>
  <c r="V284"/>
  <c r="W284" s="1"/>
  <c r="Y285"/>
  <c r="P286"/>
  <c r="S285"/>
  <c r="Q285"/>
  <c r="Y286" l="1"/>
  <c r="S286"/>
  <c r="Q286"/>
  <c r="P287"/>
  <c r="U285"/>
  <c r="R286"/>
  <c r="T286"/>
  <c r="V285"/>
  <c r="W285" s="1"/>
  <c r="Y287" l="1"/>
  <c r="Q287"/>
  <c r="S287"/>
  <c r="P288"/>
  <c r="U286"/>
  <c r="R287"/>
  <c r="T287"/>
  <c r="V286"/>
  <c r="W286" s="1"/>
  <c r="Y288" l="1"/>
  <c r="S288"/>
  <c r="P289"/>
  <c r="Q288"/>
  <c r="R288"/>
  <c r="T288"/>
  <c r="U287"/>
  <c r="V287"/>
  <c r="W287" s="1"/>
  <c r="Y289" l="1"/>
  <c r="P290"/>
  <c r="Q289"/>
  <c r="S289"/>
  <c r="R289"/>
  <c r="T289"/>
  <c r="U288"/>
  <c r="V288"/>
  <c r="W288" s="1"/>
  <c r="U289" l="1"/>
  <c r="R290"/>
  <c r="T290"/>
  <c r="V289"/>
  <c r="W289" s="1"/>
  <c r="Y290"/>
  <c r="S290"/>
  <c r="P291"/>
  <c r="Q290"/>
  <c r="Y291" l="1"/>
  <c r="S291"/>
  <c r="Q291"/>
  <c r="P292"/>
  <c r="T291"/>
  <c r="U290"/>
  <c r="R291"/>
  <c r="V290"/>
  <c r="W290" s="1"/>
  <c r="Y292" l="1"/>
  <c r="Q292"/>
  <c r="S292"/>
  <c r="P293"/>
  <c r="T292"/>
  <c r="R292"/>
  <c r="U291"/>
  <c r="V291"/>
  <c r="W291" s="1"/>
  <c r="R293" l="1"/>
  <c r="Q293" s="1"/>
  <c r="T293"/>
  <c r="S293" s="1"/>
  <c r="U292"/>
  <c r="V292"/>
  <c r="W292" s="1"/>
  <c r="P294"/>
  <c r="Y293"/>
  <c r="P295" l="1"/>
  <c r="Y294"/>
  <c r="P296" l="1"/>
  <c r="S295"/>
  <c r="Q295"/>
  <c r="Y296" l="1"/>
  <c r="S296"/>
  <c r="Q296"/>
  <c r="P297"/>
  <c r="R296"/>
  <c r="T296"/>
  <c r="U295"/>
  <c r="R297" l="1"/>
  <c r="T297"/>
  <c r="U296"/>
  <c r="V296"/>
  <c r="W296" s="1"/>
  <c r="Y297"/>
  <c r="Q297"/>
  <c r="S297"/>
  <c r="P298"/>
  <c r="T298" l="1"/>
  <c r="R298"/>
  <c r="U297"/>
  <c r="V297"/>
  <c r="W297" s="1"/>
  <c r="Y298"/>
  <c r="Q298"/>
  <c r="S298"/>
  <c r="P299"/>
  <c r="T299" l="1"/>
  <c r="U298"/>
  <c r="R299"/>
  <c r="V298"/>
  <c r="W298" s="1"/>
  <c r="Y299"/>
  <c r="Q299"/>
  <c r="P300"/>
  <c r="S299"/>
  <c r="T300" l="1"/>
  <c r="R300"/>
  <c r="U299"/>
  <c r="V299"/>
  <c r="W299" s="1"/>
  <c r="Y300"/>
  <c r="P301"/>
  <c r="S300"/>
  <c r="Q300"/>
  <c r="Y301" l="1"/>
  <c r="S301"/>
  <c r="Q301"/>
  <c r="P302"/>
  <c r="U300"/>
  <c r="R301"/>
  <c r="T301"/>
  <c r="V300"/>
  <c r="W300" s="1"/>
  <c r="Y302" l="1"/>
  <c r="S302"/>
  <c r="Q302"/>
  <c r="P303"/>
  <c r="T302"/>
  <c r="R302"/>
  <c r="U301"/>
  <c r="V301"/>
  <c r="W301" s="1"/>
  <c r="R303" l="1"/>
  <c r="U302"/>
  <c r="T303"/>
  <c r="V302"/>
  <c r="W302" s="1"/>
  <c r="Y303"/>
  <c r="S303"/>
  <c r="Q303"/>
  <c r="P304"/>
  <c r="R304" l="1"/>
  <c r="T304"/>
  <c r="U303"/>
  <c r="V303"/>
  <c r="W303" s="1"/>
  <c r="Y304"/>
  <c r="Q304"/>
  <c r="S304"/>
  <c r="P305"/>
  <c r="R305" l="1"/>
  <c r="T305"/>
  <c r="U304"/>
  <c r="V304"/>
  <c r="W304" s="1"/>
  <c r="Y305"/>
  <c r="Q305"/>
  <c r="S305"/>
  <c r="P306"/>
  <c r="T306" l="1"/>
  <c r="S306" s="1"/>
  <c r="R306"/>
  <c r="Q306" s="1"/>
  <c r="U305"/>
  <c r="V305"/>
  <c r="W305" s="1"/>
  <c r="P307"/>
  <c r="Y306"/>
  <c r="Q307" l="1"/>
  <c r="S307"/>
  <c r="P308"/>
  <c r="T308" l="1"/>
  <c r="U307"/>
  <c r="R308"/>
  <c r="Y308"/>
  <c r="S308"/>
  <c r="Q308"/>
  <c r="P309"/>
  <c r="R309" l="1"/>
  <c r="T309"/>
  <c r="U308"/>
  <c r="V308"/>
  <c r="W308" s="1"/>
  <c r="Y309"/>
  <c r="Q309"/>
  <c r="S309"/>
  <c r="P310"/>
  <c r="R310" l="1"/>
  <c r="T310"/>
  <c r="U309"/>
  <c r="V309"/>
  <c r="W309" s="1"/>
  <c r="Y310"/>
  <c r="Q310"/>
  <c r="S310"/>
  <c r="P311"/>
  <c r="R311" l="1"/>
  <c r="U310"/>
  <c r="T311"/>
  <c r="V310"/>
  <c r="W310" s="1"/>
  <c r="Y311"/>
  <c r="Q311"/>
  <c r="S311"/>
  <c r="P312"/>
  <c r="T312" l="1"/>
  <c r="U311"/>
  <c r="R312"/>
  <c r="V311"/>
  <c r="W311" s="1"/>
  <c r="Y312"/>
  <c r="Q312"/>
  <c r="P313"/>
  <c r="S312"/>
  <c r="R313" l="1"/>
  <c r="U312"/>
  <c r="T313"/>
  <c r="V312"/>
  <c r="W312" s="1"/>
  <c r="Y313"/>
  <c r="Q313"/>
  <c r="S313"/>
  <c r="P314"/>
  <c r="R314" l="1"/>
  <c r="T314"/>
  <c r="U313"/>
  <c r="V313"/>
  <c r="W313" s="1"/>
  <c r="Y314"/>
  <c r="P315"/>
  <c r="Q314"/>
  <c r="S314"/>
  <c r="Y315" l="1"/>
  <c r="Q315"/>
  <c r="S315"/>
  <c r="P316"/>
  <c r="U314"/>
  <c r="R315"/>
  <c r="T315"/>
  <c r="V314"/>
  <c r="W314" s="1"/>
  <c r="P317" l="1"/>
  <c r="Y316"/>
  <c r="R316"/>
  <c r="Q316" s="1"/>
  <c r="T316"/>
  <c r="S316" s="1"/>
  <c r="U315"/>
  <c r="V315"/>
  <c r="W315" s="1"/>
  <c r="S317" l="1"/>
  <c r="Q317"/>
  <c r="P318"/>
  <c r="P319" l="1"/>
  <c r="Y318"/>
  <c r="T318"/>
  <c r="S318" s="1"/>
  <c r="U317"/>
  <c r="R318"/>
  <c r="Q318" s="1"/>
  <c r="S319" l="1"/>
  <c r="Q319"/>
  <c r="P320"/>
  <c r="Y320" l="1"/>
  <c r="S320"/>
  <c r="Q320"/>
  <c r="P321"/>
  <c r="R320"/>
  <c r="T320"/>
  <c r="U319"/>
  <c r="Y321" l="1"/>
  <c r="Q321"/>
  <c r="P322"/>
  <c r="S321"/>
  <c r="R321"/>
  <c r="T321"/>
  <c r="U320"/>
  <c r="V320"/>
  <c r="W320" s="1"/>
  <c r="Y322" l="1"/>
  <c r="S322"/>
  <c r="Q322"/>
  <c r="P323"/>
  <c r="R322"/>
  <c r="T322"/>
  <c r="U321"/>
  <c r="V321"/>
  <c r="W321" s="1"/>
  <c r="U322" l="1"/>
  <c r="R323"/>
  <c r="T323"/>
  <c r="V322"/>
  <c r="W322" s="1"/>
  <c r="Y323"/>
  <c r="Q323"/>
  <c r="S323"/>
  <c r="P324"/>
  <c r="R324" l="1"/>
  <c r="T324"/>
  <c r="U323"/>
  <c r="V323"/>
  <c r="W323" s="1"/>
  <c r="Y324"/>
  <c r="S324"/>
  <c r="Q324"/>
  <c r="P325"/>
  <c r="R325" l="1"/>
  <c r="T325"/>
  <c r="U324"/>
  <c r="V324"/>
  <c r="W324" s="1"/>
  <c r="Y325"/>
  <c r="Q325"/>
  <c r="S325"/>
  <c r="P326"/>
  <c r="T326" l="1"/>
  <c r="U325"/>
  <c r="R326"/>
  <c r="V325"/>
  <c r="W325" s="1"/>
  <c r="Y326"/>
  <c r="S326"/>
  <c r="Q326"/>
  <c r="P327"/>
  <c r="U326" l="1"/>
  <c r="R327"/>
  <c r="T327"/>
  <c r="V326"/>
  <c r="W326" s="1"/>
  <c r="Y327"/>
  <c r="Q327"/>
  <c r="S327"/>
  <c r="P328"/>
  <c r="U327" l="1"/>
  <c r="R328"/>
  <c r="Q328" s="1"/>
  <c r="T328"/>
  <c r="S328" s="1"/>
  <c r="V327"/>
  <c r="W327" s="1"/>
  <c r="P329"/>
  <c r="Y328"/>
  <c r="P330" l="1"/>
  <c r="Y329"/>
  <c r="P331" l="1"/>
  <c r="Y330"/>
  <c r="Q331" l="1"/>
  <c r="P332"/>
  <c r="S331"/>
  <c r="R332" l="1"/>
  <c r="T332"/>
  <c r="U331"/>
  <c r="Y332"/>
  <c r="S332"/>
  <c r="P333"/>
  <c r="Q332"/>
  <c r="Y333" l="1"/>
  <c r="S333"/>
  <c r="Q333"/>
  <c r="P334"/>
  <c r="R333"/>
  <c r="U332"/>
  <c r="T333"/>
  <c r="V332"/>
  <c r="W332" s="1"/>
  <c r="Y334" l="1"/>
  <c r="S334"/>
  <c r="Q334"/>
  <c r="P335"/>
  <c r="T334"/>
  <c r="R334"/>
  <c r="U333"/>
  <c r="V333"/>
  <c r="W333" s="1"/>
  <c r="T335" l="1"/>
  <c r="R335"/>
  <c r="U334"/>
  <c r="V334"/>
  <c r="W334" s="1"/>
  <c r="Y335"/>
  <c r="Q335"/>
  <c r="S335"/>
  <c r="P336"/>
  <c r="R336" l="1"/>
  <c r="T336"/>
  <c r="U335"/>
  <c r="V335"/>
  <c r="W335" s="1"/>
  <c r="Y336"/>
  <c r="S336"/>
  <c r="Q336"/>
  <c r="P337"/>
  <c r="R337" l="1"/>
  <c r="T337"/>
  <c r="U336"/>
  <c r="V336"/>
  <c r="W336" s="1"/>
  <c r="Y337"/>
  <c r="S337"/>
  <c r="Q337"/>
  <c r="P338"/>
  <c r="R338" l="1"/>
  <c r="T338"/>
  <c r="U337"/>
  <c r="V337"/>
  <c r="W337" s="1"/>
  <c r="Y338"/>
  <c r="S338"/>
  <c r="P339"/>
  <c r="Q338"/>
  <c r="P340" l="1"/>
  <c r="Y339"/>
  <c r="R339"/>
  <c r="Q339" s="1"/>
  <c r="U338"/>
  <c r="T339"/>
  <c r="S339" s="1"/>
  <c r="V338"/>
  <c r="W338" s="1"/>
  <c r="Q340" l="1"/>
  <c r="S340"/>
  <c r="P341"/>
  <c r="R341" l="1"/>
  <c r="T341"/>
  <c r="U340"/>
  <c r="Y341"/>
  <c r="Q341"/>
  <c r="S341"/>
  <c r="P342"/>
  <c r="R342" l="1"/>
  <c r="T342"/>
  <c r="U341"/>
  <c r="V341"/>
  <c r="W341" s="1"/>
  <c r="Y342"/>
  <c r="Q342"/>
  <c r="S342"/>
  <c r="P343"/>
  <c r="R343" l="1"/>
  <c r="T343"/>
  <c r="U342"/>
  <c r="V342"/>
  <c r="W342" s="1"/>
  <c r="Y343"/>
  <c r="S343"/>
  <c r="P344"/>
  <c r="Q343"/>
  <c r="Y344" l="1"/>
  <c r="P345"/>
  <c r="Q344"/>
  <c r="S344"/>
  <c r="R344"/>
  <c r="T344"/>
  <c r="U343"/>
  <c r="V343"/>
  <c r="W343" s="1"/>
  <c r="R345" l="1"/>
  <c r="T345"/>
  <c r="U344"/>
  <c r="V344"/>
  <c r="W344" s="1"/>
  <c r="Y345"/>
  <c r="P346"/>
  <c r="Q345"/>
  <c r="S345"/>
  <c r="Y346" l="1"/>
  <c r="S346"/>
  <c r="Q346"/>
  <c r="P347"/>
  <c r="R346"/>
  <c r="U345"/>
  <c r="T346"/>
  <c r="V345"/>
  <c r="W345" s="1"/>
  <c r="Y347" l="1"/>
  <c r="Q347"/>
  <c r="P348"/>
  <c r="S347"/>
  <c r="T347"/>
  <c r="R347"/>
  <c r="U346"/>
  <c r="V346"/>
  <c r="W346" s="1"/>
  <c r="U347" l="1"/>
  <c r="R348"/>
  <c r="T348"/>
  <c r="V347"/>
  <c r="W347" s="1"/>
  <c r="Y348"/>
  <c r="S348"/>
  <c r="Q348"/>
  <c r="P349"/>
  <c r="U348" l="1"/>
  <c r="R349"/>
  <c r="T349"/>
  <c r="V348"/>
  <c r="W348" s="1"/>
  <c r="Y349"/>
  <c r="P350"/>
  <c r="S349"/>
  <c r="Q349"/>
  <c r="Y350" l="1"/>
  <c r="P351"/>
  <c r="Q350"/>
  <c r="S350"/>
  <c r="R350"/>
  <c r="U349"/>
  <c r="T350"/>
  <c r="V349"/>
  <c r="W349" s="1"/>
  <c r="Y351" l="1"/>
  <c r="S351"/>
  <c r="P352"/>
  <c r="Q351"/>
  <c r="R351"/>
  <c r="T351"/>
  <c r="U350"/>
  <c r="V350"/>
  <c r="W350" s="1"/>
  <c r="Y352" l="1"/>
  <c r="Q352"/>
  <c r="S352"/>
  <c r="P353"/>
  <c r="R352"/>
  <c r="T352"/>
  <c r="U351"/>
  <c r="V351"/>
  <c r="W351" s="1"/>
  <c r="R353" l="1"/>
  <c r="T353"/>
  <c r="U352"/>
  <c r="V352"/>
  <c r="W352" s="1"/>
  <c r="Y353"/>
  <c r="Q353"/>
  <c r="S353"/>
  <c r="P354"/>
  <c r="R354" l="1"/>
  <c r="T354"/>
  <c r="U353"/>
  <c r="V353"/>
  <c r="W353" s="1"/>
  <c r="Y354"/>
  <c r="Q354"/>
  <c r="S354"/>
  <c r="P355"/>
  <c r="R355" l="1"/>
  <c r="Q355" s="1"/>
  <c r="U354"/>
  <c r="T355"/>
  <c r="S355" s="1"/>
  <c r="V354"/>
  <c r="W354" s="1"/>
  <c r="P356"/>
  <c r="Y355"/>
  <c r="Q356" l="1"/>
  <c r="P357"/>
  <c r="S356"/>
  <c r="R357" l="1"/>
  <c r="T357"/>
  <c r="U356"/>
  <c r="Y357"/>
  <c r="P358"/>
  <c r="S357"/>
  <c r="Q357"/>
  <c r="P359" l="1"/>
  <c r="Y358"/>
  <c r="R358"/>
  <c r="Q358" s="1"/>
  <c r="T358"/>
  <c r="S358" s="1"/>
  <c r="U357"/>
  <c r="V357"/>
  <c r="W357" s="1"/>
  <c r="P360" l="1"/>
  <c r="Y359"/>
  <c r="Q360" l="1"/>
  <c r="P361"/>
  <c r="S360"/>
  <c r="T361" l="1"/>
  <c r="R361"/>
  <c r="U360"/>
  <c r="Y361"/>
  <c r="Q361"/>
  <c r="P362"/>
  <c r="S361"/>
  <c r="R362" l="1"/>
  <c r="U361"/>
  <c r="T362"/>
  <c r="V361"/>
  <c r="W361" s="1"/>
  <c r="Y362"/>
  <c r="Q362"/>
  <c r="P363"/>
  <c r="S362"/>
  <c r="R363" l="1"/>
  <c r="U362"/>
  <c r="T363"/>
  <c r="V362"/>
  <c r="W362" s="1"/>
  <c r="Y363"/>
  <c r="Q363"/>
  <c r="S363"/>
  <c r="P364"/>
  <c r="R364" l="1"/>
  <c r="T364"/>
  <c r="U363"/>
  <c r="V363"/>
  <c r="W363" s="1"/>
  <c r="Y364"/>
  <c r="Q364"/>
  <c r="S364"/>
  <c r="P365"/>
  <c r="T365" l="1"/>
  <c r="U364"/>
  <c r="R365"/>
  <c r="V364"/>
  <c r="W364" s="1"/>
  <c r="Y365"/>
  <c r="P366"/>
  <c r="S365"/>
  <c r="Q365"/>
  <c r="Y366" l="1"/>
  <c r="S366"/>
  <c r="Q366"/>
  <c r="P367"/>
  <c r="R366"/>
  <c r="U365"/>
  <c r="T366"/>
  <c r="V365"/>
  <c r="W365" s="1"/>
  <c r="R367" l="1"/>
  <c r="T367"/>
  <c r="U366"/>
  <c r="V366"/>
  <c r="W366" s="1"/>
  <c r="Y367"/>
  <c r="Q367"/>
  <c r="S367"/>
  <c r="P368"/>
  <c r="R368" l="1"/>
  <c r="Q368" s="1"/>
  <c r="T368"/>
  <c r="S368" s="1"/>
  <c r="U367"/>
  <c r="V367"/>
  <c r="W367" s="1"/>
  <c r="P369"/>
  <c r="Y368"/>
  <c r="Y369" l="1"/>
  <c r="P370"/>
  <c r="S370" l="1"/>
  <c r="Q370"/>
  <c r="P371"/>
  <c r="R371" l="1"/>
  <c r="U370"/>
  <c r="T371"/>
  <c r="Y371"/>
  <c r="Q371"/>
  <c r="P372"/>
  <c r="S371"/>
  <c r="R372" l="1"/>
  <c r="Q372" s="1"/>
  <c r="T372"/>
  <c r="S372" s="1"/>
  <c r="U371"/>
  <c r="V371"/>
  <c r="W371" s="1"/>
  <c r="P373"/>
  <c r="Y372"/>
  <c r="P374" l="1"/>
  <c r="Y373"/>
  <c r="Q374" l="1"/>
  <c r="S374"/>
  <c r="P375"/>
  <c r="R375" l="1"/>
  <c r="T375"/>
  <c r="U374"/>
  <c r="Y375"/>
  <c r="Q375"/>
  <c r="P376"/>
  <c r="S375"/>
  <c r="U375" l="1"/>
  <c r="R376"/>
  <c r="T376"/>
  <c r="V375"/>
  <c r="W375" s="1"/>
  <c r="Y376"/>
  <c r="Q376"/>
  <c r="S376"/>
  <c r="P377"/>
  <c r="T377" l="1"/>
  <c r="R377"/>
  <c r="U376"/>
  <c r="V376"/>
  <c r="W376" s="1"/>
  <c r="Y377"/>
  <c r="P378"/>
  <c r="S377"/>
  <c r="Q377"/>
  <c r="P379" l="1"/>
  <c r="Y378"/>
  <c r="R378"/>
  <c r="Q378" s="1"/>
  <c r="T378"/>
  <c r="S378" s="1"/>
  <c r="U377"/>
  <c r="V377"/>
  <c r="W377" s="1"/>
  <c r="Y379" l="1"/>
  <c r="P380"/>
  <c r="S380" l="1"/>
  <c r="P381"/>
  <c r="Q380"/>
  <c r="T381" l="1"/>
  <c r="S381" s="1"/>
  <c r="R381"/>
  <c r="Q381" s="1"/>
  <c r="U380"/>
  <c r="P382"/>
  <c r="Y381"/>
  <c r="Q382" l="1"/>
  <c r="S382"/>
  <c r="P383"/>
  <c r="R383" l="1"/>
  <c r="T383"/>
  <c r="U382"/>
  <c r="Y383"/>
  <c r="S383"/>
  <c r="Q383"/>
  <c r="P384"/>
  <c r="T384" l="1"/>
  <c r="S384" s="1"/>
  <c r="U383"/>
  <c r="R384"/>
  <c r="Q384" s="1"/>
  <c r="V383"/>
  <c r="W383" s="1"/>
  <c r="P385"/>
  <c r="Y384"/>
  <c r="Q385" l="1"/>
  <c r="P386"/>
  <c r="S385"/>
  <c r="U385" l="1"/>
  <c r="R386"/>
  <c r="T386"/>
  <c r="Y386"/>
  <c r="S386"/>
  <c r="Q386"/>
  <c r="P387"/>
  <c r="R387" l="1"/>
  <c r="T387"/>
  <c r="U386"/>
  <c r="V386"/>
  <c r="W386" s="1"/>
  <c r="Y387"/>
  <c r="Q387"/>
  <c r="S387"/>
  <c r="P388"/>
  <c r="R388" l="1"/>
  <c r="T388"/>
  <c r="U387"/>
  <c r="V387"/>
  <c r="W387" s="1"/>
  <c r="Y388"/>
  <c r="Q388"/>
  <c r="P389"/>
  <c r="S388"/>
  <c r="R389" l="1"/>
  <c r="T389"/>
  <c r="U388"/>
  <c r="V388"/>
  <c r="W388" s="1"/>
  <c r="Y389"/>
  <c r="P390"/>
  <c r="S389"/>
  <c r="Q389"/>
  <c r="Y390" l="1"/>
  <c r="P391"/>
  <c r="S390"/>
  <c r="Q390"/>
  <c r="T390"/>
  <c r="R390"/>
  <c r="U389"/>
  <c r="V389"/>
  <c r="W389" s="1"/>
  <c r="Y391" l="1"/>
  <c r="Q391"/>
  <c r="S391"/>
  <c r="P392"/>
  <c r="R391"/>
  <c r="T391"/>
  <c r="U390"/>
  <c r="V390"/>
  <c r="W390" s="1"/>
  <c r="U391" l="1"/>
  <c r="R392"/>
  <c r="T392"/>
  <c r="V391"/>
  <c r="W391" s="1"/>
  <c r="Y392"/>
  <c r="Q392"/>
  <c r="S392"/>
  <c r="P393"/>
  <c r="R393" l="1"/>
  <c r="T393"/>
  <c r="U392"/>
  <c r="V392"/>
  <c r="W392" s="1"/>
  <c r="Y393"/>
  <c r="S393"/>
  <c r="P394"/>
  <c r="Q393"/>
  <c r="P395" l="1"/>
  <c r="Y394"/>
  <c r="R394"/>
  <c r="Q394" s="1"/>
  <c r="T394"/>
  <c r="S394" s="1"/>
  <c r="U393"/>
  <c r="V393"/>
  <c r="W393" s="1"/>
  <c r="P396" l="1"/>
  <c r="Y395"/>
  <c r="S396" l="1"/>
  <c r="Q396"/>
  <c r="P397"/>
  <c r="R397" l="1"/>
  <c r="T397"/>
  <c r="U396"/>
  <c r="Y397"/>
  <c r="S397"/>
  <c r="Q397"/>
  <c r="P398"/>
  <c r="R398" l="1"/>
  <c r="U397"/>
  <c r="T398"/>
  <c r="V397"/>
  <c r="W397" s="1"/>
  <c r="Y398"/>
  <c r="S398"/>
  <c r="Q398"/>
  <c r="P399"/>
  <c r="T399" l="1"/>
  <c r="U398"/>
  <c r="R399"/>
  <c r="V398"/>
  <c r="W398" s="1"/>
  <c r="Y399"/>
  <c r="P400"/>
  <c r="S399"/>
  <c r="Q399"/>
  <c r="Y400" l="1"/>
  <c r="S400"/>
  <c r="Q400"/>
  <c r="P401"/>
  <c r="R400"/>
  <c r="T400"/>
  <c r="U399"/>
  <c r="V399"/>
  <c r="W399" s="1"/>
  <c r="R401" l="1"/>
  <c r="T401"/>
  <c r="U400"/>
  <c r="V400"/>
  <c r="W400" s="1"/>
  <c r="Y401"/>
  <c r="Q401"/>
  <c r="P402"/>
  <c r="S401"/>
  <c r="R402" l="1"/>
  <c r="Q402" s="1"/>
  <c r="T402"/>
  <c r="S402" s="1"/>
  <c r="U401"/>
  <c r="V401"/>
  <c r="W401" s="1"/>
  <c r="P403"/>
  <c r="Y402"/>
  <c r="Q403" l="1"/>
  <c r="S403"/>
  <c r="P404"/>
  <c r="R404" l="1"/>
  <c r="Q404" s="1"/>
  <c r="U403"/>
  <c r="T404"/>
  <c r="S404" s="1"/>
  <c r="P405"/>
  <c r="Y404"/>
  <c r="S405" l="1"/>
  <c r="P406"/>
  <c r="Q405"/>
  <c r="R406" l="1"/>
  <c r="T406"/>
  <c r="U405"/>
  <c r="Y406"/>
  <c r="S406"/>
  <c r="Q406"/>
  <c r="P407"/>
  <c r="T407" l="1"/>
  <c r="S407" s="1"/>
  <c r="R407"/>
  <c r="Q407" s="1"/>
  <c r="U406"/>
  <c r="V406"/>
  <c r="W406" s="1"/>
  <c r="P408"/>
  <c r="Y407"/>
  <c r="S408" l="1"/>
  <c r="Q408"/>
  <c r="P409"/>
  <c r="Y409" l="1"/>
  <c r="Q409"/>
  <c r="P410"/>
  <c r="S409"/>
  <c r="U408"/>
  <c r="R409"/>
  <c r="T409"/>
  <c r="R410" l="1"/>
  <c r="U409"/>
  <c r="T410"/>
  <c r="V409"/>
  <c r="W409" s="1"/>
  <c r="Y410"/>
  <c r="P411"/>
  <c r="Q410"/>
  <c r="S410"/>
  <c r="P412" l="1"/>
  <c r="Y411"/>
  <c r="R411"/>
  <c r="Q411" s="1"/>
  <c r="T411"/>
  <c r="S411" s="1"/>
  <c r="U410"/>
  <c r="V410"/>
  <c r="W410" s="1"/>
  <c r="Q412" l="1"/>
  <c r="P413"/>
  <c r="S412"/>
  <c r="R413" l="1"/>
  <c r="T413"/>
  <c r="U412"/>
  <c r="Y413"/>
  <c r="S413"/>
  <c r="P414"/>
  <c r="Q413"/>
  <c r="Y414" l="1"/>
  <c r="S414"/>
  <c r="Q414"/>
  <c r="P415"/>
  <c r="U413"/>
  <c r="R414"/>
  <c r="T414"/>
  <c r="V413"/>
  <c r="W413" s="1"/>
  <c r="Y415" l="1"/>
  <c r="S415"/>
  <c r="Q415"/>
  <c r="P416"/>
  <c r="U414"/>
  <c r="T415"/>
  <c r="R415"/>
  <c r="V414"/>
  <c r="W414" s="1"/>
  <c r="T416" l="1"/>
  <c r="U415"/>
  <c r="R416"/>
  <c r="V415"/>
  <c r="W415" s="1"/>
  <c r="Y416"/>
  <c r="S416"/>
  <c r="P417"/>
  <c r="Q416"/>
  <c r="Y417" l="1"/>
  <c r="Q417"/>
  <c r="S417"/>
  <c r="P418"/>
  <c r="U416"/>
  <c r="R417"/>
  <c r="T417"/>
  <c r="V416"/>
  <c r="W416" s="1"/>
  <c r="Y418" l="1"/>
  <c r="Q418"/>
  <c r="S418"/>
  <c r="P419"/>
  <c r="U417"/>
  <c r="R418"/>
  <c r="T418"/>
  <c r="V417"/>
  <c r="W417" s="1"/>
  <c r="R419" l="1"/>
  <c r="T419"/>
  <c r="U418"/>
  <c r="V418"/>
  <c r="W418" s="1"/>
  <c r="Y419"/>
  <c r="S419"/>
  <c r="P420"/>
  <c r="Q419"/>
  <c r="Y420" l="1"/>
  <c r="S420"/>
  <c r="Q420"/>
  <c r="P421"/>
  <c r="T420"/>
  <c r="R420"/>
  <c r="U419"/>
  <c r="V419"/>
  <c r="W419" s="1"/>
  <c r="R421" l="1"/>
  <c r="U420"/>
  <c r="T421"/>
  <c r="V420"/>
  <c r="W420" s="1"/>
  <c r="Y421"/>
  <c r="S421"/>
  <c r="Q421"/>
  <c r="P422"/>
  <c r="T422" l="1"/>
  <c r="R422"/>
  <c r="U421"/>
  <c r="V421"/>
  <c r="W421" s="1"/>
  <c r="Y422"/>
  <c r="S422"/>
  <c r="Q422"/>
  <c r="P423"/>
  <c r="T423" l="1"/>
  <c r="U422"/>
  <c r="R423"/>
  <c r="V422"/>
  <c r="W422" s="1"/>
  <c r="Y423"/>
  <c r="Q423"/>
  <c r="P424"/>
  <c r="S423"/>
  <c r="R424" l="1"/>
  <c r="Q424" s="1"/>
  <c r="T424"/>
  <c r="S424" s="1"/>
  <c r="U423"/>
  <c r="V423"/>
  <c r="W423" s="1"/>
  <c r="P425"/>
  <c r="Y424"/>
  <c r="P426" l="1"/>
  <c r="S425"/>
  <c r="Q425"/>
  <c r="P427" l="1"/>
  <c r="Y426"/>
  <c r="R426"/>
  <c r="Q426" s="1"/>
  <c r="T426"/>
  <c r="S426" s="1"/>
  <c r="U425"/>
  <c r="P428" l="1"/>
  <c r="S427"/>
  <c r="Q427"/>
  <c r="Y428" l="1"/>
  <c r="S428"/>
  <c r="Q428"/>
  <c r="P429"/>
  <c r="T428"/>
  <c r="R428"/>
  <c r="U427"/>
  <c r="Y429" l="1"/>
  <c r="S429"/>
  <c r="P430"/>
  <c r="Q429"/>
  <c r="T429"/>
  <c r="R429"/>
  <c r="U428"/>
  <c r="V428"/>
  <c r="W428" s="1"/>
  <c r="P431" l="1"/>
  <c r="Y430"/>
  <c r="R430"/>
  <c r="Q430" s="1"/>
  <c r="T430"/>
  <c r="S430" s="1"/>
  <c r="U429"/>
  <c r="V429"/>
  <c r="W429" s="1"/>
  <c r="Q431" l="1"/>
  <c r="S431"/>
  <c r="P432"/>
  <c r="R432" l="1"/>
  <c r="T432"/>
  <c r="U431"/>
  <c r="Y432"/>
  <c r="Q432"/>
  <c r="P433"/>
  <c r="S432"/>
  <c r="R433" l="1"/>
  <c r="T433"/>
  <c r="U432"/>
  <c r="V432"/>
  <c r="W432" s="1"/>
  <c r="Y433"/>
  <c r="S433"/>
  <c r="Q433"/>
  <c r="P434"/>
  <c r="R434" l="1"/>
  <c r="T434"/>
  <c r="U433"/>
  <c r="V433"/>
  <c r="W433" s="1"/>
  <c r="Y434"/>
  <c r="S434"/>
  <c r="P435"/>
  <c r="Q434"/>
  <c r="Y435" l="1"/>
  <c r="S435"/>
  <c r="Q435"/>
  <c r="P436"/>
  <c r="T435"/>
  <c r="U434"/>
  <c r="R435"/>
  <c r="V434"/>
  <c r="W434" s="1"/>
  <c r="Y436" l="1"/>
  <c r="S436"/>
  <c r="Q436"/>
  <c r="P437"/>
  <c r="U435"/>
  <c r="R436"/>
  <c r="T436"/>
  <c r="V435"/>
  <c r="W435" s="1"/>
  <c r="Y437" l="1"/>
  <c r="S437"/>
  <c r="Q437"/>
  <c r="P438"/>
  <c r="U436"/>
  <c r="T437"/>
  <c r="R437"/>
  <c r="V436"/>
  <c r="W436" s="1"/>
  <c r="R438" l="1"/>
  <c r="U437"/>
  <c r="T438"/>
  <c r="V437"/>
  <c r="W437" s="1"/>
  <c r="Y438"/>
  <c r="S438"/>
  <c r="Q438"/>
  <c r="P439"/>
  <c r="R439" l="1"/>
  <c r="U438"/>
  <c r="T439"/>
  <c r="V438"/>
  <c r="W438" s="1"/>
  <c r="Y439"/>
  <c r="P440"/>
  <c r="S439"/>
  <c r="Q439"/>
  <c r="Y440" l="1"/>
  <c r="S440"/>
  <c r="Q440"/>
  <c r="P441"/>
  <c r="R440"/>
  <c r="T440"/>
  <c r="U439"/>
  <c r="V439"/>
  <c r="W439" s="1"/>
  <c r="R441" l="1"/>
  <c r="T441"/>
  <c r="U440"/>
  <c r="V440"/>
  <c r="W440" s="1"/>
  <c r="Y441"/>
  <c r="S441"/>
  <c r="Q441"/>
  <c r="P442"/>
  <c r="R442" l="1"/>
  <c r="U441"/>
  <c r="T442"/>
  <c r="V441"/>
  <c r="W441" s="1"/>
  <c r="Y442"/>
  <c r="Q442"/>
  <c r="S442"/>
  <c r="P443"/>
  <c r="R443" l="1"/>
  <c r="Q443" s="1"/>
  <c r="T443"/>
  <c r="S443" s="1"/>
  <c r="U442"/>
  <c r="V442"/>
  <c r="W442" s="1"/>
  <c r="P444"/>
  <c r="Y443"/>
  <c r="Q444" l="1"/>
  <c r="S444"/>
  <c r="P445"/>
  <c r="Y445" l="1"/>
  <c r="S445"/>
  <c r="Q445"/>
  <c r="P446"/>
  <c r="R445"/>
  <c r="T445"/>
  <c r="U444"/>
  <c r="Y446" l="1"/>
  <c r="Q446"/>
  <c r="P447"/>
  <c r="S446"/>
  <c r="R446"/>
  <c r="T446"/>
  <c r="U445"/>
  <c r="V445"/>
  <c r="W445" s="1"/>
  <c r="T447" l="1"/>
  <c r="S447" s="1"/>
  <c r="U446"/>
  <c r="R447"/>
  <c r="Q447" s="1"/>
  <c r="V446"/>
  <c r="W446" s="1"/>
  <c r="P448"/>
  <c r="Y447"/>
  <c r="P449" l="1"/>
  <c r="Y448"/>
  <c r="S449" l="1"/>
  <c r="P450"/>
  <c r="Q449"/>
  <c r="P451" l="1"/>
  <c r="Y450"/>
  <c r="R450"/>
  <c r="Q450" s="1"/>
  <c r="U449"/>
  <c r="T450"/>
  <c r="S450" s="1"/>
  <c r="S451" l="1"/>
  <c r="Q451"/>
  <c r="P452"/>
  <c r="R452" l="1"/>
  <c r="T452"/>
  <c r="U451"/>
  <c r="Y452"/>
  <c r="S452"/>
  <c r="Q452"/>
  <c r="P453"/>
  <c r="R453" l="1"/>
  <c r="U452"/>
  <c r="T453"/>
  <c r="V452"/>
  <c r="W452" s="1"/>
  <c r="Y453"/>
  <c r="S453"/>
  <c r="Q453"/>
  <c r="P454"/>
  <c r="R454" l="1"/>
  <c r="T454"/>
  <c r="U453"/>
  <c r="V453"/>
  <c r="W453" s="1"/>
  <c r="Y454"/>
  <c r="S454"/>
  <c r="Q454"/>
  <c r="P455"/>
  <c r="R455" l="1"/>
  <c r="T455"/>
  <c r="U454"/>
  <c r="V454"/>
  <c r="W454" s="1"/>
  <c r="Y455"/>
  <c r="Q455"/>
  <c r="P456"/>
  <c r="S455"/>
  <c r="R456" l="1"/>
  <c r="T456"/>
  <c r="U455"/>
  <c r="V455"/>
  <c r="W455" s="1"/>
  <c r="Y456"/>
  <c r="Q456"/>
  <c r="P457"/>
  <c r="S456"/>
  <c r="U456" l="1"/>
  <c r="R457"/>
  <c r="T457"/>
  <c r="V456"/>
  <c r="W456" s="1"/>
  <c r="Y457"/>
  <c r="S457"/>
  <c r="Q457"/>
  <c r="P458"/>
  <c r="R458" l="1"/>
  <c r="T458"/>
  <c r="U457"/>
  <c r="V457"/>
  <c r="W457" s="1"/>
  <c r="Y458"/>
  <c r="S458"/>
  <c r="P459"/>
  <c r="Q458"/>
  <c r="Y459" l="1"/>
  <c r="S459"/>
  <c r="Q459"/>
  <c r="P460"/>
  <c r="R459"/>
  <c r="T459"/>
  <c r="U458"/>
  <c r="V458"/>
  <c r="W458" s="1"/>
  <c r="U459" l="1"/>
  <c r="R460"/>
  <c r="Q460" s="1"/>
  <c r="T460"/>
  <c r="S460" s="1"/>
  <c r="V459"/>
  <c r="W459" s="1"/>
  <c r="P461"/>
  <c r="Y460"/>
  <c r="Q461" l="1"/>
  <c r="S461"/>
  <c r="P462"/>
  <c r="R462" l="1"/>
  <c r="U461"/>
  <c r="T462"/>
  <c r="Y462"/>
  <c r="S462"/>
  <c r="Q462"/>
  <c r="P463"/>
  <c r="R463" l="1"/>
  <c r="T463"/>
  <c r="U462"/>
  <c r="V462"/>
  <c r="W462" s="1"/>
  <c r="Y463"/>
  <c r="S463"/>
  <c r="P464"/>
  <c r="Q463"/>
  <c r="Y464" l="1"/>
  <c r="Q464"/>
  <c r="S464"/>
  <c r="P465"/>
  <c r="T464"/>
  <c r="U463"/>
  <c r="R464"/>
  <c r="V463"/>
  <c r="W463" s="1"/>
  <c r="R465" l="1"/>
  <c r="T465"/>
  <c r="U464"/>
  <c r="V464"/>
  <c r="W464" s="1"/>
  <c r="Y465"/>
  <c r="P466"/>
  <c r="Q465"/>
  <c r="S465"/>
  <c r="Y466" l="1"/>
  <c r="P467"/>
  <c r="Q466"/>
  <c r="S466"/>
  <c r="R466"/>
  <c r="T466"/>
  <c r="U465"/>
  <c r="V465"/>
  <c r="W465" s="1"/>
  <c r="R467" l="1"/>
  <c r="T467"/>
  <c r="U466"/>
  <c r="V466"/>
  <c r="W466" s="1"/>
  <c r="Y467"/>
  <c r="S467"/>
  <c r="Q467"/>
  <c r="P468"/>
  <c r="T468" l="1"/>
  <c r="R468"/>
  <c r="U467"/>
  <c r="V467"/>
  <c r="W467" s="1"/>
  <c r="Y468"/>
  <c r="S468"/>
  <c r="Q468"/>
  <c r="P469"/>
  <c r="R469" l="1"/>
  <c r="U468"/>
  <c r="T469"/>
  <c r="V468"/>
  <c r="W468" s="1"/>
  <c r="Y469"/>
  <c r="S469"/>
  <c r="Q469"/>
  <c r="P470"/>
  <c r="R470" l="1"/>
  <c r="T470"/>
  <c r="U469"/>
  <c r="V469"/>
  <c r="W469" s="1"/>
  <c r="Y470"/>
  <c r="S470"/>
  <c r="Q470"/>
  <c r="P471"/>
  <c r="R471" l="1"/>
  <c r="T471"/>
  <c r="U470"/>
  <c r="V470"/>
  <c r="W470" s="1"/>
  <c r="Y471"/>
  <c r="S471"/>
  <c r="P472"/>
  <c r="Q471"/>
  <c r="Y472" l="1"/>
  <c r="Q472"/>
  <c r="S472"/>
  <c r="P473"/>
  <c r="R472"/>
  <c r="U471"/>
  <c r="T472"/>
  <c r="V471"/>
  <c r="W471" s="1"/>
  <c r="R473" l="1"/>
  <c r="U472"/>
  <c r="T473"/>
  <c r="V472"/>
  <c r="W472" s="1"/>
  <c r="Y473"/>
  <c r="S473"/>
  <c r="Q473"/>
  <c r="P474"/>
  <c r="T474" l="1"/>
  <c r="U473"/>
  <c r="R474"/>
  <c r="V473"/>
  <c r="W473" s="1"/>
  <c r="Y474"/>
  <c r="Q474"/>
  <c r="S474"/>
  <c r="P475"/>
  <c r="R475" l="1"/>
  <c r="T475"/>
  <c r="U474"/>
  <c r="V474"/>
  <c r="W474" s="1"/>
  <c r="Y475"/>
  <c r="S475"/>
  <c r="Q475"/>
  <c r="P476"/>
  <c r="T476" l="1"/>
  <c r="R476"/>
  <c r="U475"/>
  <c r="V475"/>
  <c r="W475" s="1"/>
  <c r="Y476"/>
  <c r="Q476"/>
  <c r="P477"/>
  <c r="S476"/>
  <c r="U476" l="1"/>
  <c r="R477"/>
  <c r="T477"/>
  <c r="V476"/>
  <c r="W476" s="1"/>
  <c r="Y477"/>
  <c r="S477"/>
  <c r="Q477"/>
  <c r="P478"/>
  <c r="U477" l="1"/>
  <c r="R478"/>
  <c r="T478"/>
  <c r="V477"/>
  <c r="W477" s="1"/>
  <c r="Y478"/>
  <c r="S478"/>
  <c r="Q478"/>
  <c r="P479"/>
  <c r="R479" l="1"/>
  <c r="T479"/>
  <c r="U478"/>
  <c r="V478"/>
  <c r="W478" s="1"/>
  <c r="Y479"/>
  <c r="Q479"/>
  <c r="S479"/>
  <c r="P480"/>
  <c r="R480" l="1"/>
  <c r="Q480" s="1"/>
  <c r="T480"/>
  <c r="S480" s="1"/>
  <c r="U479"/>
  <c r="V479"/>
  <c r="W479" s="1"/>
  <c r="P481"/>
  <c r="Y480"/>
  <c r="Q481" l="1"/>
  <c r="S481"/>
  <c r="P482"/>
  <c r="T482" l="1"/>
  <c r="R482"/>
  <c r="U481"/>
  <c r="Y482"/>
  <c r="Q482"/>
  <c r="S482"/>
  <c r="P483"/>
  <c r="T483" l="1"/>
  <c r="U482"/>
  <c r="R483"/>
  <c r="V482"/>
  <c r="W482" s="1"/>
  <c r="Y483"/>
  <c r="Q483"/>
  <c r="S483"/>
  <c r="P484"/>
  <c r="R484" l="1"/>
  <c r="T484"/>
  <c r="U483"/>
  <c r="V483"/>
  <c r="W483" s="1"/>
  <c r="Y484"/>
  <c r="S484"/>
  <c r="Q484"/>
  <c r="P485"/>
  <c r="T485" l="1"/>
  <c r="R485"/>
  <c r="U484"/>
  <c r="V484"/>
  <c r="W484" s="1"/>
  <c r="Y485"/>
  <c r="S485"/>
  <c r="Q485"/>
  <c r="P486"/>
  <c r="R486" l="1"/>
  <c r="T486"/>
  <c r="U485"/>
  <c r="V485"/>
  <c r="W485" s="1"/>
  <c r="Y486"/>
  <c r="S486"/>
  <c r="P487"/>
  <c r="Q486"/>
  <c r="Y487" l="1"/>
  <c r="S487"/>
  <c r="P488"/>
  <c r="Q487"/>
  <c r="R487"/>
  <c r="T487"/>
  <c r="U486"/>
  <c r="V486"/>
  <c r="W486" s="1"/>
  <c r="U487" l="1"/>
  <c r="T488"/>
  <c r="R488"/>
  <c r="V487"/>
  <c r="W487" s="1"/>
  <c r="Y488"/>
  <c r="S488"/>
  <c r="Q488"/>
  <c r="P489"/>
  <c r="R489" l="1"/>
  <c r="T489"/>
  <c r="U488"/>
  <c r="V488"/>
  <c r="W488" s="1"/>
  <c r="Y489"/>
  <c r="Q489"/>
  <c r="S489"/>
  <c r="P490"/>
  <c r="U489" l="1"/>
  <c r="R490"/>
  <c r="Q490" s="1"/>
  <c r="T490"/>
  <c r="S490" s="1"/>
  <c r="V489"/>
  <c r="W489" s="1"/>
  <c r="P491"/>
  <c r="Y490"/>
  <c r="Q491" l="1"/>
  <c r="S491"/>
  <c r="P492"/>
  <c r="T492" l="1"/>
  <c r="R492"/>
  <c r="U491"/>
  <c r="Y492"/>
  <c r="P493"/>
  <c r="S492"/>
  <c r="Q492"/>
  <c r="Y493" l="1"/>
  <c r="S493"/>
  <c r="Q493"/>
  <c r="P494"/>
  <c r="R493"/>
  <c r="U492"/>
  <c r="T493"/>
  <c r="V492"/>
  <c r="W492" s="1"/>
  <c r="Y494" l="1"/>
  <c r="Q494"/>
  <c r="P495"/>
  <c r="S494"/>
  <c r="R494"/>
  <c r="T494"/>
  <c r="U493"/>
  <c r="V493"/>
  <c r="W493" s="1"/>
  <c r="T495" l="1"/>
  <c r="S495" s="1"/>
  <c r="U494"/>
  <c r="R495"/>
  <c r="Q495" s="1"/>
  <c r="V494"/>
  <c r="W494" s="1"/>
  <c r="P496"/>
  <c r="Y495"/>
  <c r="P497" l="1"/>
  <c r="Y496"/>
  <c r="S497" l="1"/>
  <c r="Q497"/>
  <c r="P498"/>
  <c r="Y498" l="1"/>
  <c r="Q498"/>
  <c r="P499"/>
  <c r="S498"/>
  <c r="R498"/>
  <c r="T498"/>
  <c r="U497"/>
  <c r="Y499" l="1"/>
  <c r="Q499"/>
  <c r="P500"/>
  <c r="S499"/>
  <c r="T499"/>
  <c r="U498"/>
  <c r="R499"/>
  <c r="V498"/>
  <c r="W498" s="1"/>
  <c r="R500" l="1"/>
  <c r="T500"/>
  <c r="U499"/>
  <c r="V499"/>
  <c r="W499" s="1"/>
  <c r="Y500"/>
  <c r="Q500"/>
  <c r="P501"/>
  <c r="S500"/>
  <c r="R501" l="1"/>
  <c r="U500"/>
  <c r="T501"/>
  <c r="V500"/>
  <c r="W500" s="1"/>
  <c r="Y501"/>
  <c r="S501"/>
  <c r="Q501"/>
  <c r="P502"/>
  <c r="R502" l="1"/>
  <c r="T502"/>
  <c r="U501"/>
  <c r="V501"/>
  <c r="W501" s="1"/>
  <c r="Y502"/>
  <c r="S502"/>
  <c r="P503"/>
  <c r="Q502"/>
  <c r="Y503" l="1"/>
  <c r="S503"/>
  <c r="Q503"/>
  <c r="P504"/>
  <c r="R503"/>
  <c r="T503"/>
  <c r="U502"/>
  <c r="V502"/>
  <c r="W502" s="1"/>
  <c r="R504" l="1"/>
  <c r="U503"/>
  <c r="T504"/>
  <c r="V503"/>
  <c r="W503" s="1"/>
  <c r="Y504"/>
  <c r="S504"/>
  <c r="Q504"/>
  <c r="P505"/>
  <c r="U504" l="1"/>
  <c r="R505"/>
  <c r="T505"/>
  <c r="V504"/>
  <c r="W504" s="1"/>
  <c r="Y505"/>
  <c r="S505"/>
  <c r="Q505"/>
  <c r="P506"/>
  <c r="R506" l="1"/>
  <c r="T506"/>
  <c r="U505"/>
  <c r="V505"/>
  <c r="W505" s="1"/>
  <c r="Y506"/>
  <c r="P507"/>
  <c r="Q506"/>
  <c r="S506"/>
  <c r="Y507" l="1"/>
  <c r="S507"/>
  <c r="P508"/>
  <c r="Q507"/>
  <c r="R507"/>
  <c r="T507"/>
  <c r="U506"/>
  <c r="V506"/>
  <c r="W506" s="1"/>
  <c r="Y508" l="1"/>
  <c r="S508"/>
  <c r="P509"/>
  <c r="Q508"/>
  <c r="R508"/>
  <c r="T508"/>
  <c r="U507"/>
  <c r="V507"/>
  <c r="W507" s="1"/>
  <c r="Y509" l="1"/>
  <c r="Q509"/>
  <c r="P510"/>
  <c r="S509"/>
  <c r="R509"/>
  <c r="T509"/>
  <c r="U508"/>
  <c r="V508"/>
  <c r="W508" s="1"/>
  <c r="R510" l="1"/>
  <c r="T510"/>
  <c r="U509"/>
  <c r="V509"/>
  <c r="W509" s="1"/>
  <c r="Y510"/>
  <c r="Q510"/>
  <c r="S510"/>
  <c r="P511"/>
  <c r="R511" l="1"/>
  <c r="Q511" s="1"/>
  <c r="U510"/>
  <c r="T511"/>
  <c r="S511" s="1"/>
  <c r="V510"/>
  <c r="W510" s="1"/>
  <c r="P512"/>
  <c r="Y511"/>
  <c r="S512" l="1"/>
  <c r="P513"/>
  <c r="Q512"/>
  <c r="U512" l="1"/>
  <c r="R513"/>
  <c r="T513"/>
  <c r="Y513"/>
  <c r="S513"/>
  <c r="Q513"/>
  <c r="P514"/>
  <c r="T514" l="1"/>
  <c r="R514"/>
  <c r="U513"/>
  <c r="V513"/>
  <c r="W513" s="1"/>
  <c r="Y514"/>
  <c r="S514"/>
  <c r="P515"/>
  <c r="Q514"/>
  <c r="Y515" l="1"/>
  <c r="P516"/>
  <c r="Q515"/>
  <c r="S515"/>
  <c r="R515"/>
  <c r="T515"/>
  <c r="U514"/>
  <c r="V514"/>
  <c r="W514" s="1"/>
  <c r="R516" l="1"/>
  <c r="Q516" s="1"/>
  <c r="T516"/>
  <c r="S516" s="1"/>
  <c r="U515"/>
  <c r="V515"/>
  <c r="W515" s="1"/>
  <c r="P517"/>
  <c r="Y516"/>
  <c r="P518" l="1"/>
  <c r="Q517"/>
  <c r="S517"/>
  <c r="R518" l="1"/>
  <c r="Q518" s="1"/>
  <c r="U517"/>
  <c r="T518"/>
  <c r="S518" s="1"/>
  <c r="P519"/>
  <c r="Y518"/>
  <c r="P520" l="1"/>
  <c r="Y519"/>
  <c r="Q520" l="1"/>
  <c r="S520"/>
  <c r="P521"/>
  <c r="R521" l="1"/>
  <c r="T521"/>
  <c r="U520"/>
  <c r="Y521"/>
  <c r="Q521"/>
  <c r="S521"/>
  <c r="P522"/>
  <c r="R522" l="1"/>
  <c r="U521"/>
  <c r="T522"/>
  <c r="V521"/>
  <c r="W521" s="1"/>
  <c r="Y522"/>
  <c r="Q522"/>
  <c r="S522"/>
  <c r="P523"/>
  <c r="R523" l="1"/>
  <c r="T523"/>
  <c r="U522"/>
  <c r="V522"/>
  <c r="W522" s="1"/>
  <c r="Y523"/>
  <c r="S523"/>
  <c r="P524"/>
  <c r="Q523"/>
  <c r="Y524" l="1"/>
  <c r="S524"/>
  <c r="Q524"/>
  <c r="P525"/>
  <c r="U523"/>
  <c r="R524"/>
  <c r="T524"/>
  <c r="V523"/>
  <c r="W523" s="1"/>
  <c r="Y525" l="1"/>
  <c r="S525"/>
  <c r="Q525"/>
  <c r="P526"/>
  <c r="R525"/>
  <c r="T525"/>
  <c r="U524"/>
  <c r="V524"/>
  <c r="W524" s="1"/>
  <c r="R526" l="1"/>
  <c r="U525"/>
  <c r="T526"/>
  <c r="V525"/>
  <c r="W525" s="1"/>
  <c r="Y526"/>
  <c r="S526"/>
  <c r="Q526"/>
  <c r="P527"/>
  <c r="R527" l="1"/>
  <c r="T527"/>
  <c r="U526"/>
  <c r="V526"/>
  <c r="W526" s="1"/>
  <c r="Y527"/>
  <c r="Q527"/>
  <c r="S527"/>
  <c r="P528"/>
  <c r="R528" l="1"/>
  <c r="T528"/>
  <c r="U527"/>
  <c r="V527"/>
  <c r="W527" s="1"/>
  <c r="Y528"/>
  <c r="S528"/>
  <c r="Q528"/>
  <c r="P529"/>
  <c r="R529" l="1"/>
  <c r="T529"/>
  <c r="U528"/>
  <c r="V528"/>
  <c r="W528" s="1"/>
  <c r="Y529"/>
  <c r="S529"/>
  <c r="Q529"/>
  <c r="P530"/>
  <c r="R530" l="1"/>
  <c r="T530"/>
  <c r="U529"/>
  <c r="V529"/>
  <c r="W529" s="1"/>
  <c r="Y530"/>
  <c r="P531"/>
  <c r="Q530"/>
  <c r="S530"/>
  <c r="Y531" l="1"/>
  <c r="S531"/>
  <c r="Q531"/>
  <c r="P532"/>
  <c r="R531"/>
  <c r="T531"/>
  <c r="U530"/>
  <c r="V530"/>
  <c r="W530" s="1"/>
  <c r="U531" l="1"/>
  <c r="R532"/>
  <c r="T532"/>
  <c r="V531"/>
  <c r="W531" s="1"/>
  <c r="Y532"/>
  <c r="S532"/>
  <c r="Q532"/>
  <c r="P533"/>
  <c r="R533" l="1"/>
  <c r="T533"/>
  <c r="U532"/>
  <c r="V532"/>
  <c r="W532" s="1"/>
  <c r="Y533"/>
  <c r="Q533"/>
  <c r="P534"/>
  <c r="S533"/>
  <c r="R534" l="1"/>
  <c r="T534"/>
  <c r="U533"/>
  <c r="V533"/>
  <c r="W533" s="1"/>
  <c r="Y534"/>
  <c r="P535"/>
  <c r="Q534"/>
  <c r="S534"/>
  <c r="Y535" l="1"/>
  <c r="P536"/>
  <c r="Q535"/>
  <c r="S535"/>
  <c r="R535"/>
  <c r="U534"/>
  <c r="T535"/>
  <c r="V534"/>
  <c r="W534" s="1"/>
  <c r="Y536" l="1"/>
  <c r="Q536"/>
  <c r="S536"/>
  <c r="P537"/>
  <c r="T536"/>
  <c r="U535"/>
  <c r="R536"/>
  <c r="V535"/>
  <c r="W535" s="1"/>
  <c r="R537" l="1"/>
  <c r="T537"/>
  <c r="U536"/>
  <c r="V536"/>
  <c r="W536" s="1"/>
  <c r="Y537"/>
  <c r="Q537"/>
  <c r="P538"/>
  <c r="S537"/>
  <c r="U537" l="1"/>
  <c r="R538"/>
  <c r="Q538" s="1"/>
  <c r="T538"/>
  <c r="S538" s="1"/>
  <c r="V537"/>
  <c r="W537" s="1"/>
  <c r="P539"/>
  <c r="Y538"/>
  <c r="Q539" l="1"/>
  <c r="S539"/>
  <c r="P540"/>
  <c r="U539" l="1"/>
  <c r="R540"/>
  <c r="T540"/>
  <c r="Y540"/>
  <c r="S540"/>
  <c r="Q540"/>
  <c r="P541"/>
  <c r="R541" l="1"/>
  <c r="Q541" s="1"/>
  <c r="U540"/>
  <c r="T541"/>
  <c r="S541" s="1"/>
  <c r="V540"/>
  <c r="W540" s="1"/>
  <c r="P542"/>
  <c r="Y541"/>
  <c r="S542" l="1"/>
  <c r="Q542"/>
  <c r="P543"/>
  <c r="R543" l="1"/>
  <c r="Q543" s="1"/>
  <c r="T543"/>
  <c r="S543" s="1"/>
  <c r="U542"/>
  <c r="P544"/>
  <c r="Y543"/>
  <c r="Q544" l="1"/>
  <c r="S544"/>
  <c r="P545"/>
  <c r="T545" l="1"/>
  <c r="R545"/>
  <c r="U544"/>
  <c r="Y545"/>
  <c r="Q545"/>
  <c r="S545"/>
  <c r="P546"/>
  <c r="R546" l="1"/>
  <c r="T546"/>
  <c r="U545"/>
  <c r="V545"/>
  <c r="W545" s="1"/>
  <c r="Y546"/>
  <c r="Q546"/>
  <c r="S546"/>
  <c r="P547"/>
  <c r="R547" l="1"/>
  <c r="T547"/>
  <c r="U546"/>
  <c r="V546"/>
  <c r="W546" s="1"/>
  <c r="Y547"/>
  <c r="P548"/>
  <c r="S547"/>
  <c r="Q547"/>
  <c r="Y548" l="1"/>
  <c r="Q548"/>
  <c r="S548"/>
  <c r="P549"/>
  <c r="U547"/>
  <c r="R548"/>
  <c r="T548"/>
  <c r="V547"/>
  <c r="W547" s="1"/>
  <c r="Y549" l="1"/>
  <c r="S549"/>
  <c r="P550"/>
  <c r="Q549"/>
  <c r="T549"/>
  <c r="R549"/>
  <c r="U548"/>
  <c r="V548"/>
  <c r="W548" s="1"/>
  <c r="R550" l="1"/>
  <c r="T550"/>
  <c r="U549"/>
  <c r="V549"/>
  <c r="W549" s="1"/>
  <c r="Y550"/>
  <c r="S550"/>
  <c r="Q550"/>
  <c r="P551"/>
  <c r="R551" l="1"/>
  <c r="T551"/>
  <c r="U550"/>
  <c r="V550"/>
  <c r="W550" s="1"/>
  <c r="Y551"/>
  <c r="P552"/>
  <c r="S551"/>
  <c r="Q551"/>
  <c r="P553" l="1"/>
  <c r="Y552"/>
  <c r="R552"/>
  <c r="Q552" s="1"/>
  <c r="T552"/>
  <c r="S552" s="1"/>
  <c r="U551"/>
  <c r="V551"/>
  <c r="W551" s="1"/>
  <c r="P554" l="1"/>
  <c r="Y553"/>
  <c r="P555" l="1"/>
  <c r="Y554"/>
  <c r="P556" l="1"/>
  <c r="S555"/>
  <c r="Q555"/>
  <c r="Y556" l="1"/>
  <c r="Q556"/>
  <c r="P557"/>
  <c r="S556"/>
  <c r="T556"/>
  <c r="U555"/>
  <c r="R556"/>
  <c r="Y557" l="1"/>
  <c r="Q557"/>
  <c r="S557"/>
  <c r="P558"/>
  <c r="R557"/>
  <c r="T557"/>
  <c r="U556"/>
  <c r="V556"/>
  <c r="W556" s="1"/>
  <c r="U557" l="1"/>
  <c r="R558"/>
  <c r="T558"/>
  <c r="V557"/>
  <c r="W557" s="1"/>
  <c r="Y558"/>
  <c r="Q558"/>
  <c r="S558"/>
  <c r="P559"/>
  <c r="R559" l="1"/>
  <c r="T559"/>
  <c r="U558"/>
  <c r="V558"/>
  <c r="W558" s="1"/>
  <c r="Y559"/>
  <c r="P560"/>
  <c r="S559"/>
  <c r="Q559"/>
  <c r="Y560" l="1"/>
  <c r="Q560"/>
  <c r="S560"/>
  <c r="P561"/>
  <c r="R560"/>
  <c r="T560"/>
  <c r="U559"/>
  <c r="V559"/>
  <c r="W559" s="1"/>
  <c r="R561" l="1"/>
  <c r="T561"/>
  <c r="U560"/>
  <c r="V560"/>
  <c r="W560" s="1"/>
  <c r="Y561"/>
  <c r="Q561"/>
  <c r="S561"/>
  <c r="P562"/>
  <c r="R562" l="1"/>
  <c r="U561"/>
  <c r="T562"/>
  <c r="V561"/>
  <c r="W561" s="1"/>
  <c r="Y562"/>
  <c r="S562"/>
  <c r="Q562"/>
  <c r="P563"/>
  <c r="R563" l="1"/>
  <c r="Q563" s="1"/>
  <c r="T563"/>
  <c r="S563" s="1"/>
  <c r="U562"/>
  <c r="V562"/>
  <c r="W562" s="1"/>
  <c r="P564"/>
  <c r="Y563"/>
  <c r="Q564" l="1"/>
  <c r="P565"/>
  <c r="S564"/>
  <c r="U564" l="1"/>
  <c r="R565"/>
  <c r="T565"/>
  <c r="Y565"/>
  <c r="Q565"/>
  <c r="S565"/>
  <c r="P566"/>
  <c r="R566" l="1"/>
  <c r="T566"/>
  <c r="U565"/>
  <c r="V565"/>
  <c r="W565" s="1"/>
  <c r="Y566"/>
  <c r="Q566"/>
  <c r="S566"/>
  <c r="P567"/>
  <c r="R567" l="1"/>
  <c r="T567"/>
  <c r="U566"/>
  <c r="V566"/>
  <c r="W566" s="1"/>
  <c r="Y567"/>
  <c r="P568"/>
  <c r="Q567"/>
  <c r="S567"/>
  <c r="P569" l="1"/>
  <c r="Y568"/>
  <c r="T568"/>
  <c r="S568" s="1"/>
  <c r="R568"/>
  <c r="Q568" s="1"/>
  <c r="U567"/>
  <c r="V567"/>
  <c r="W567" s="1"/>
  <c r="P570" l="1"/>
  <c r="P571" l="1"/>
  <c r="Y570"/>
  <c r="P572" l="1"/>
  <c r="Y571"/>
  <c r="Q572" l="1"/>
  <c r="P573"/>
  <c r="S572"/>
  <c r="Y573" l="1"/>
  <c r="Q573"/>
  <c r="S573"/>
  <c r="P574"/>
  <c r="U572"/>
  <c r="R573"/>
  <c r="T573"/>
  <c r="U573" l="1"/>
  <c r="R574"/>
  <c r="T574"/>
  <c r="V573"/>
  <c r="W573" s="1"/>
  <c r="Y574"/>
  <c r="Q574"/>
  <c r="S574"/>
  <c r="P575"/>
  <c r="R575" l="1"/>
  <c r="T575"/>
  <c r="U574"/>
  <c r="V574"/>
  <c r="W574" s="1"/>
  <c r="Y575"/>
  <c r="S575"/>
  <c r="Q575"/>
  <c r="P576"/>
  <c r="R576" l="1"/>
  <c r="Q576" s="1"/>
  <c r="T576"/>
  <c r="S576" s="1"/>
  <c r="U575"/>
  <c r="V575"/>
  <c r="W575" s="1"/>
  <c r="P577"/>
  <c r="Y576"/>
  <c r="Y577" l="1"/>
  <c r="P578"/>
  <c r="S578" l="1"/>
  <c r="Q578"/>
  <c r="P579"/>
  <c r="R579" l="1"/>
  <c r="T579"/>
  <c r="U578"/>
  <c r="Y579"/>
  <c r="Q579"/>
  <c r="S579"/>
  <c r="P580"/>
  <c r="T580" l="1"/>
  <c r="R580"/>
  <c r="U579"/>
  <c r="V579"/>
  <c r="W579" s="1"/>
  <c r="Y580"/>
  <c r="S580"/>
  <c r="Q580"/>
  <c r="P581"/>
  <c r="R581" l="1"/>
  <c r="Q581" s="1"/>
  <c r="T581"/>
  <c r="S581" s="1"/>
  <c r="U580"/>
  <c r="V580"/>
  <c r="W580" s="1"/>
  <c r="P582"/>
  <c r="Y581"/>
  <c r="Q582" l="1"/>
  <c r="S582"/>
  <c r="P583"/>
  <c r="R583" l="1"/>
  <c r="Q583" s="1"/>
  <c r="U582"/>
  <c r="T583"/>
  <c r="S583" s="1"/>
  <c r="P584"/>
  <c r="Y583"/>
  <c r="Q584" l="1"/>
  <c r="S584"/>
  <c r="P585"/>
  <c r="R585" l="1"/>
  <c r="T585"/>
  <c r="U584"/>
  <c r="Y585"/>
  <c r="S585"/>
  <c r="P586"/>
  <c r="Q585"/>
  <c r="Y586" l="1"/>
  <c r="S586"/>
  <c r="P587"/>
  <c r="Q586"/>
  <c r="T586"/>
  <c r="R586"/>
  <c r="U585"/>
  <c r="V585"/>
  <c r="W585" s="1"/>
  <c r="P588" l="1"/>
  <c r="Y587"/>
  <c r="U586"/>
  <c r="R587"/>
  <c r="Q587" s="1"/>
  <c r="T587"/>
  <c r="S587" s="1"/>
  <c r="V586"/>
  <c r="W586" s="1"/>
  <c r="P589" l="1"/>
  <c r="Y588"/>
  <c r="S589" l="1"/>
  <c r="Q589"/>
  <c r="P590"/>
  <c r="T590" l="1"/>
  <c r="R590"/>
  <c r="U589"/>
  <c r="Y590"/>
  <c r="P591"/>
  <c r="S590"/>
  <c r="Q590"/>
  <c r="Y591" l="1"/>
  <c r="Q591"/>
  <c r="S591"/>
  <c r="P592"/>
  <c r="R591"/>
  <c r="U590"/>
  <c r="T591"/>
  <c r="V590"/>
  <c r="W590" s="1"/>
  <c r="R592" l="1"/>
  <c r="T592"/>
  <c r="U591"/>
  <c r="V591"/>
  <c r="W591" s="1"/>
  <c r="Y592"/>
  <c r="S592"/>
  <c r="Q592"/>
  <c r="P593"/>
  <c r="R593" l="1"/>
  <c r="U592"/>
  <c r="T593"/>
  <c r="V592"/>
  <c r="W592" s="1"/>
  <c r="Y593"/>
  <c r="Q593"/>
  <c r="S593"/>
  <c r="P594"/>
  <c r="R594" l="1"/>
  <c r="U593"/>
  <c r="T594"/>
  <c r="V593"/>
  <c r="W593" s="1"/>
  <c r="Y594"/>
  <c r="Q594"/>
  <c r="S594"/>
  <c r="P595"/>
  <c r="T595" l="1"/>
  <c r="U594"/>
  <c r="R595"/>
  <c r="V594"/>
  <c r="W594" s="1"/>
  <c r="Y595"/>
  <c r="Q595"/>
  <c r="S595"/>
  <c r="P596"/>
  <c r="U595" l="1"/>
  <c r="T596"/>
  <c r="R596"/>
  <c r="V595"/>
  <c r="W595" s="1"/>
  <c r="Y596"/>
  <c r="Q596"/>
  <c r="S596"/>
  <c r="P597"/>
  <c r="R597" l="1"/>
  <c r="T597"/>
  <c r="U596"/>
  <c r="V596"/>
  <c r="W596" s="1"/>
  <c r="Y597"/>
  <c r="S597"/>
  <c r="Q597"/>
  <c r="P598"/>
  <c r="U597" l="1"/>
  <c r="R598"/>
  <c r="T598"/>
  <c r="V597"/>
  <c r="W597" s="1"/>
  <c r="Y598"/>
  <c r="S598"/>
  <c r="Q598"/>
  <c r="P599"/>
  <c r="R599" l="1"/>
  <c r="T599"/>
  <c r="U598"/>
  <c r="V598"/>
  <c r="W598" s="1"/>
  <c r="Y599"/>
  <c r="P600"/>
  <c r="Q599"/>
  <c r="S599"/>
  <c r="Y600" l="1"/>
  <c r="S600"/>
  <c r="Q600"/>
  <c r="P601"/>
  <c r="T600"/>
  <c r="U599"/>
  <c r="R600"/>
  <c r="V599"/>
  <c r="W599" s="1"/>
  <c r="Y601" l="1"/>
  <c r="S601"/>
  <c r="Q601"/>
  <c r="P602"/>
  <c r="U600"/>
  <c r="T601"/>
  <c r="R601"/>
  <c r="V600"/>
  <c r="W600" s="1"/>
  <c r="Y602" l="1"/>
  <c r="Q602"/>
  <c r="P603"/>
  <c r="S602"/>
  <c r="U601"/>
  <c r="R602"/>
  <c r="T602"/>
  <c r="V601"/>
  <c r="W601" s="1"/>
  <c r="Y603" l="1"/>
  <c r="P604"/>
  <c r="Q603"/>
  <c r="S603"/>
  <c r="R603"/>
  <c r="T603"/>
  <c r="U602"/>
  <c r="V602"/>
  <c r="W602" s="1"/>
  <c r="T604" l="1"/>
  <c r="U603"/>
  <c r="R604"/>
  <c r="V603"/>
  <c r="W603" s="1"/>
  <c r="Y604"/>
  <c r="S604"/>
  <c r="Q604"/>
  <c r="P605"/>
  <c r="U604" l="1"/>
  <c r="R605"/>
  <c r="T605"/>
  <c r="V604"/>
  <c r="W604" s="1"/>
  <c r="Y605"/>
  <c r="S605"/>
  <c r="Q605"/>
  <c r="P606"/>
  <c r="U605" l="1"/>
  <c r="R606"/>
  <c r="T606"/>
  <c r="V605"/>
  <c r="W605" s="1"/>
  <c r="Y606"/>
  <c r="S606"/>
  <c r="Q606"/>
  <c r="P607"/>
  <c r="R607" l="1"/>
  <c r="Q607" s="1"/>
  <c r="T607"/>
  <c r="S607" s="1"/>
  <c r="U606"/>
  <c r="V606"/>
  <c r="W606" s="1"/>
  <c r="P608"/>
  <c r="Y607"/>
  <c r="S608" l="1"/>
  <c r="P609"/>
  <c r="Q608"/>
  <c r="Y609" l="1"/>
  <c r="Q609"/>
  <c r="S609"/>
  <c r="P610"/>
  <c r="T609"/>
  <c r="R609"/>
  <c r="U608"/>
  <c r="Y610" l="1"/>
  <c r="Q610"/>
  <c r="S610"/>
  <c r="P611"/>
  <c r="R610"/>
  <c r="T610"/>
  <c r="U609"/>
  <c r="V609"/>
  <c r="W609" s="1"/>
  <c r="T611" l="1"/>
  <c r="R611"/>
  <c r="U610"/>
  <c r="V610"/>
  <c r="W610" s="1"/>
  <c r="Y611"/>
  <c r="Q611"/>
  <c r="S611"/>
  <c r="P612"/>
  <c r="R612" l="1"/>
  <c r="T612"/>
  <c r="U611"/>
  <c r="V611"/>
  <c r="W611" s="1"/>
  <c r="Y612"/>
  <c r="Q612"/>
  <c r="S612"/>
  <c r="P613"/>
  <c r="R613" l="1"/>
  <c r="T613"/>
  <c r="U612"/>
  <c r="V612"/>
  <c r="W612" s="1"/>
  <c r="Y613"/>
  <c r="S613"/>
  <c r="Q613"/>
  <c r="P614"/>
  <c r="R614" l="1"/>
  <c r="T614"/>
  <c r="U613"/>
  <c r="V613"/>
  <c r="W613" s="1"/>
  <c r="Y614"/>
  <c r="Q614"/>
  <c r="P615"/>
  <c r="S614"/>
  <c r="R615" l="1"/>
  <c r="T615"/>
  <c r="U614"/>
  <c r="V614"/>
  <c r="W614" s="1"/>
  <c r="Y615"/>
  <c r="S615"/>
  <c r="Q615"/>
  <c r="P616"/>
  <c r="T616" l="1"/>
  <c r="S616" s="1"/>
  <c r="U615"/>
  <c r="R616"/>
  <c r="Q616" s="1"/>
  <c r="V615"/>
  <c r="W615" s="1"/>
  <c r="P617"/>
  <c r="Y616"/>
  <c r="P618" l="1"/>
  <c r="Y617"/>
  <c r="S618" l="1"/>
  <c r="Q618"/>
  <c r="P619"/>
  <c r="R619" l="1"/>
  <c r="T619"/>
  <c r="U618"/>
  <c r="Y619"/>
  <c r="Q619"/>
  <c r="S619"/>
  <c r="P620"/>
  <c r="T620" l="1"/>
  <c r="R620"/>
  <c r="U619"/>
  <c r="V619"/>
  <c r="W619" s="1"/>
  <c r="Y620"/>
  <c r="S620"/>
  <c r="P621"/>
  <c r="Q620"/>
  <c r="Y621" l="1"/>
  <c r="P622"/>
  <c r="S621"/>
  <c r="Q621"/>
  <c r="R621"/>
  <c r="T621"/>
  <c r="U620"/>
  <c r="V620"/>
  <c r="W620" s="1"/>
  <c r="Y622" l="1"/>
  <c r="Q622"/>
  <c r="S622"/>
  <c r="P623"/>
  <c r="U621"/>
  <c r="R622"/>
  <c r="T622"/>
  <c r="V621"/>
  <c r="W621" s="1"/>
  <c r="Y623" l="1"/>
  <c r="P624"/>
  <c r="Q623"/>
  <c r="S623"/>
  <c r="R623"/>
  <c r="T623"/>
  <c r="U622"/>
  <c r="V622"/>
  <c r="W622" s="1"/>
  <c r="Y624" l="1"/>
  <c r="P625"/>
  <c r="Q624"/>
  <c r="S624"/>
  <c r="R624"/>
  <c r="T624"/>
  <c r="U623"/>
  <c r="V623"/>
  <c r="W623" s="1"/>
  <c r="Y625" l="1"/>
  <c r="S625"/>
  <c r="Q625"/>
  <c r="P626"/>
  <c r="R625"/>
  <c r="U624"/>
  <c r="T625"/>
  <c r="V624"/>
  <c r="W624" s="1"/>
  <c r="Y626" l="1"/>
  <c r="Q626"/>
  <c r="P627"/>
  <c r="S626"/>
  <c r="T626"/>
  <c r="R626"/>
  <c r="U625"/>
  <c r="V625"/>
  <c r="W625" s="1"/>
  <c r="U626" l="1"/>
  <c r="T627"/>
  <c r="R627"/>
  <c r="V626"/>
  <c r="W626" s="1"/>
  <c r="Y627"/>
  <c r="Q627"/>
  <c r="S627"/>
  <c r="P628"/>
  <c r="U627" l="1"/>
  <c r="T628"/>
  <c r="R628"/>
  <c r="V627"/>
  <c r="W627" s="1"/>
  <c r="Y628"/>
  <c r="Q628"/>
  <c r="S628"/>
  <c r="P629"/>
  <c r="R629" l="1"/>
  <c r="T629"/>
  <c r="U628"/>
  <c r="V628"/>
  <c r="W628" s="1"/>
  <c r="Y629"/>
  <c r="S629"/>
  <c r="Q629"/>
  <c r="P630"/>
  <c r="R630" l="1"/>
  <c r="T630"/>
  <c r="U629"/>
  <c r="V629"/>
  <c r="W629" s="1"/>
  <c r="Y630"/>
  <c r="P631"/>
  <c r="S630"/>
  <c r="Q630"/>
  <c r="Y631" l="1"/>
  <c r="P632"/>
  <c r="S631"/>
  <c r="Q631"/>
  <c r="R631"/>
  <c r="T631"/>
  <c r="U630"/>
  <c r="V630"/>
  <c r="W630" s="1"/>
  <c r="P633" l="1"/>
  <c r="Y632"/>
  <c r="T632"/>
  <c r="S632" s="1"/>
  <c r="U631"/>
  <c r="R632"/>
  <c r="Q632" s="1"/>
  <c r="V631"/>
  <c r="W631" s="1"/>
  <c r="P634" l="1"/>
  <c r="Y633"/>
  <c r="P635" l="1"/>
  <c r="Y634"/>
  <c r="S635" l="1"/>
  <c r="Q635"/>
  <c r="P636"/>
  <c r="R636" l="1"/>
  <c r="T636"/>
  <c r="U635"/>
  <c r="Y636"/>
  <c r="S636"/>
  <c r="Q636"/>
  <c r="P637"/>
  <c r="R637" l="1"/>
  <c r="U636"/>
  <c r="T637"/>
  <c r="V636"/>
  <c r="W636" s="1"/>
  <c r="Y637"/>
  <c r="S637"/>
  <c r="Q637"/>
  <c r="P638"/>
  <c r="R638" l="1"/>
  <c r="T638"/>
  <c r="U637"/>
  <c r="V637"/>
  <c r="W637" s="1"/>
  <c r="Y638"/>
  <c r="Q638"/>
  <c r="S638"/>
  <c r="P639"/>
  <c r="R639" l="1"/>
  <c r="T639"/>
  <c r="U638"/>
  <c r="V638"/>
  <c r="W638" s="1"/>
  <c r="Y639"/>
  <c r="S639"/>
  <c r="P640"/>
  <c r="Q639"/>
  <c r="Y640" l="1"/>
  <c r="Q640"/>
  <c r="S640"/>
  <c r="P641"/>
  <c r="U639"/>
  <c r="R640"/>
  <c r="T640"/>
  <c r="V639"/>
  <c r="W639" s="1"/>
  <c r="R641" l="1"/>
  <c r="T641"/>
  <c r="U640"/>
  <c r="V640"/>
  <c r="W640" s="1"/>
  <c r="Y641"/>
  <c r="Q641"/>
  <c r="S641"/>
  <c r="P642"/>
  <c r="T642" l="1"/>
  <c r="U641"/>
  <c r="V641"/>
  <c r="W641" s="1"/>
  <c r="R642"/>
  <c r="Y642"/>
  <c r="Q642"/>
  <c r="P643"/>
  <c r="S642"/>
  <c r="U642" l="1"/>
  <c r="V642"/>
  <c r="W642" s="1"/>
  <c r="T643"/>
  <c r="R643"/>
  <c r="Y643"/>
  <c r="S643"/>
  <c r="Q643"/>
  <c r="P644"/>
  <c r="V643" l="1"/>
  <c r="W643" s="1"/>
  <c r="U643"/>
  <c r="R644"/>
  <c r="T644"/>
  <c r="Y644"/>
  <c r="P645"/>
  <c r="S644"/>
  <c r="Q644"/>
  <c r="Y645" l="1"/>
  <c r="S645"/>
  <c r="Q645"/>
  <c r="P646"/>
  <c r="V644"/>
  <c r="W644" s="1"/>
  <c r="R645"/>
  <c r="T645"/>
  <c r="U644"/>
  <c r="Y646" l="1"/>
  <c r="Q646"/>
  <c r="S646"/>
  <c r="P647"/>
  <c r="V645"/>
  <c r="W645" s="1"/>
  <c r="T646"/>
  <c r="U645"/>
  <c r="R646"/>
  <c r="Y647" l="1"/>
  <c r="S647"/>
  <c r="Q647"/>
  <c r="P648"/>
  <c r="R647"/>
  <c r="T647"/>
  <c r="U646"/>
  <c r="V646"/>
  <c r="W646" s="1"/>
  <c r="V647" l="1"/>
  <c r="W647" s="1"/>
  <c r="R648"/>
  <c r="T648"/>
  <c r="U647"/>
  <c r="Y648"/>
  <c r="P649"/>
  <c r="Q648"/>
  <c r="S648"/>
  <c r="Y649" l="1"/>
  <c r="S649"/>
  <c r="Q649"/>
  <c r="P650"/>
  <c r="R649"/>
  <c r="V648"/>
  <c r="W648" s="1"/>
  <c r="T649"/>
  <c r="U648"/>
  <c r="Y650" l="1"/>
  <c r="S650"/>
  <c r="P651"/>
  <c r="Q650"/>
  <c r="V649"/>
  <c r="W649" s="1"/>
  <c r="T650"/>
  <c r="R650"/>
  <c r="U649"/>
  <c r="Y651" l="1"/>
  <c r="P652"/>
  <c r="S651"/>
  <c r="Q651"/>
  <c r="V650"/>
  <c r="W650" s="1"/>
  <c r="R651"/>
  <c r="T651"/>
  <c r="U650"/>
  <c r="Y652" l="1"/>
  <c r="Q652"/>
  <c r="S652"/>
  <c r="P653"/>
  <c r="R652"/>
  <c r="V651"/>
  <c r="W651" s="1"/>
  <c r="T652"/>
  <c r="U651"/>
  <c r="R653" l="1"/>
  <c r="T653"/>
  <c r="U652"/>
  <c r="V652"/>
  <c r="W652" s="1"/>
  <c r="Y653"/>
  <c r="Q653"/>
  <c r="S653"/>
  <c r="P654"/>
  <c r="R654" l="1"/>
  <c r="Q654" s="1"/>
  <c r="V653"/>
  <c r="W653" s="1"/>
  <c r="T654"/>
  <c r="S654" s="1"/>
  <c r="U653"/>
  <c r="P655"/>
  <c r="Y654"/>
  <c r="S655" l="1"/>
  <c r="P656"/>
  <c r="Q655"/>
  <c r="Y656" l="1"/>
  <c r="S656"/>
  <c r="Q656"/>
  <c r="P657"/>
  <c r="R656"/>
  <c r="T656"/>
  <c r="U655"/>
  <c r="R657" l="1"/>
  <c r="T657"/>
  <c r="U656"/>
  <c r="V656"/>
  <c r="W656" s="1"/>
  <c r="Y657"/>
  <c r="Q657"/>
  <c r="P658"/>
  <c r="S657"/>
  <c r="T658" l="1"/>
  <c r="V657"/>
  <c r="W657" s="1"/>
  <c r="R658"/>
  <c r="U657"/>
  <c r="Y658"/>
  <c r="S658"/>
  <c r="P659"/>
  <c r="Q658"/>
  <c r="Y659" l="1"/>
  <c r="P660"/>
  <c r="S659"/>
  <c r="Q659"/>
  <c r="V658"/>
  <c r="W658" s="1"/>
  <c r="R659"/>
  <c r="T659"/>
  <c r="U658"/>
  <c r="R660" l="1"/>
  <c r="Q660" s="1"/>
  <c r="U659"/>
  <c r="V659"/>
  <c r="W659" s="1"/>
  <c r="T660"/>
  <c r="S660" s="1"/>
  <c r="P661"/>
  <c r="Y660"/>
  <c r="S661" l="1"/>
  <c r="Q661"/>
  <c r="P662"/>
  <c r="U661" l="1"/>
  <c r="R662"/>
  <c r="T662"/>
  <c r="Y662"/>
  <c r="Q662"/>
  <c r="S662"/>
  <c r="P663"/>
  <c r="V662" l="1"/>
  <c r="W662" s="1"/>
  <c r="R663"/>
  <c r="T663"/>
  <c r="U662"/>
  <c r="Y663"/>
  <c r="P664"/>
  <c r="S663"/>
  <c r="Q663"/>
  <c r="Y664" l="1"/>
  <c r="S664"/>
  <c r="Q664"/>
  <c r="P665"/>
  <c r="R664"/>
  <c r="T664"/>
  <c r="U663"/>
  <c r="V663"/>
  <c r="W663" s="1"/>
  <c r="P666" l="1"/>
  <c r="Y665"/>
  <c r="V664"/>
  <c r="W664" s="1"/>
  <c r="T665"/>
  <c r="S665" s="1"/>
  <c r="R665"/>
  <c r="Q665" s="1"/>
  <c r="U664"/>
  <c r="Q666" l="1"/>
  <c r="S666"/>
  <c r="P667"/>
  <c r="R667" l="1"/>
  <c r="T667"/>
  <c r="U666"/>
  <c r="Y667"/>
  <c r="Q667"/>
  <c r="S667"/>
  <c r="P668"/>
  <c r="V667" l="1"/>
  <c r="W667" s="1"/>
  <c r="R668"/>
  <c r="T668"/>
  <c r="U667"/>
  <c r="Y668"/>
  <c r="Q668"/>
  <c r="S668"/>
  <c r="P669"/>
  <c r="T669" l="1"/>
  <c r="R669"/>
  <c r="U668"/>
  <c r="V668"/>
  <c r="W668" s="1"/>
  <c r="Y669"/>
  <c r="Q669"/>
  <c r="S669"/>
  <c r="P670"/>
  <c r="T670" l="1"/>
  <c r="S670" s="1"/>
  <c r="U669"/>
  <c r="V669"/>
  <c r="W669" s="1"/>
  <c r="R670"/>
  <c r="Q670" s="1"/>
  <c r="P671"/>
  <c r="Y670"/>
  <c r="P672" l="1"/>
  <c r="Y671"/>
  <c r="S672" l="1"/>
  <c r="P673"/>
  <c r="Q672"/>
  <c r="Y673" l="1"/>
  <c r="S673"/>
  <c r="Q673"/>
  <c r="P674"/>
  <c r="R673"/>
  <c r="U672"/>
  <c r="T673"/>
  <c r="V673" l="1"/>
  <c r="W673" s="1"/>
  <c r="R674"/>
  <c r="T674"/>
  <c r="U673"/>
  <c r="Y674"/>
  <c r="S674"/>
  <c r="P675"/>
  <c r="Q674"/>
  <c r="Y675" l="1"/>
  <c r="Q675"/>
  <c r="S675"/>
  <c r="P676"/>
  <c r="R675"/>
  <c r="T675"/>
  <c r="U674"/>
  <c r="V674"/>
  <c r="W674" s="1"/>
  <c r="V675" l="1"/>
  <c r="W675" s="1"/>
  <c r="R676"/>
  <c r="Q676" s="1"/>
  <c r="T676"/>
  <c r="S676" s="1"/>
  <c r="U675"/>
  <c r="P677"/>
  <c r="Y676"/>
  <c r="Q677" l="1"/>
  <c r="S677"/>
  <c r="P678"/>
  <c r="R678" l="1"/>
  <c r="Q678" s="1"/>
  <c r="U677"/>
  <c r="T678"/>
  <c r="S678" s="1"/>
  <c r="P679"/>
  <c r="Y678"/>
  <c r="Q679" l="1"/>
  <c r="S679"/>
  <c r="P680"/>
  <c r="R680" l="1"/>
  <c r="T680"/>
  <c r="U679"/>
  <c r="Y680"/>
  <c r="Q680"/>
  <c r="S680"/>
  <c r="P681"/>
  <c r="R681" l="1"/>
  <c r="U680"/>
  <c r="T681"/>
  <c r="V680"/>
  <c r="W680" s="1"/>
  <c r="Y681"/>
  <c r="S681"/>
  <c r="Q681"/>
  <c r="P682"/>
  <c r="R682" l="1"/>
  <c r="T682"/>
  <c r="U681"/>
  <c r="V681"/>
  <c r="W681" s="1"/>
  <c r="Y682"/>
  <c r="S682"/>
  <c r="Q682"/>
  <c r="P683"/>
  <c r="R683" l="1"/>
  <c r="V682"/>
  <c r="W682" s="1"/>
  <c r="T683"/>
  <c r="U682"/>
  <c r="Y683"/>
  <c r="Q683"/>
  <c r="P684"/>
  <c r="S683"/>
  <c r="V683" l="1"/>
  <c r="W683" s="1"/>
  <c r="R684"/>
  <c r="T684"/>
  <c r="U683"/>
  <c r="Y684"/>
  <c r="S684"/>
  <c r="P685"/>
  <c r="Q684"/>
  <c r="Y685" l="1"/>
  <c r="S685"/>
  <c r="Q685"/>
  <c r="P686"/>
  <c r="R685"/>
  <c r="T685"/>
  <c r="U684"/>
  <c r="V684"/>
  <c r="W684" s="1"/>
  <c r="T686" l="1"/>
  <c r="U685"/>
  <c r="V685"/>
  <c r="W685" s="1"/>
  <c r="R686"/>
  <c r="Y686"/>
  <c r="Q686"/>
  <c r="S686"/>
  <c r="P687"/>
  <c r="U686" l="1"/>
  <c r="R687"/>
  <c r="V686"/>
  <c r="W686" s="1"/>
  <c r="T687"/>
  <c r="Y687"/>
  <c r="Q687"/>
  <c r="S687"/>
  <c r="P688"/>
  <c r="U687" l="1"/>
  <c r="V687"/>
  <c r="W687" s="1"/>
  <c r="R688"/>
  <c r="Q688" s="1"/>
  <c r="T688"/>
  <c r="S688" s="1"/>
  <c r="P689"/>
  <c r="Y688"/>
  <c r="P690" l="1"/>
  <c r="Y689"/>
  <c r="Q690" l="1"/>
  <c r="P691"/>
  <c r="S690"/>
  <c r="Y691" l="1"/>
  <c r="Q691"/>
  <c r="P692"/>
  <c r="S691"/>
  <c r="R691"/>
  <c r="T691"/>
  <c r="U690"/>
  <c r="R692" l="1"/>
  <c r="V691"/>
  <c r="W691" s="1"/>
  <c r="T692"/>
  <c r="U691"/>
  <c r="Y692"/>
  <c r="S692"/>
  <c r="Q692"/>
  <c r="P693"/>
  <c r="R693" l="1"/>
  <c r="V692"/>
  <c r="W692" s="1"/>
  <c r="T693"/>
  <c r="U692"/>
  <c r="Y693"/>
  <c r="Q693"/>
  <c r="P694"/>
  <c r="S693"/>
  <c r="T694" l="1"/>
  <c r="V693"/>
  <c r="W693" s="1"/>
  <c r="R694"/>
  <c r="U693"/>
  <c r="Y694"/>
  <c r="S694"/>
  <c r="P695"/>
  <c r="Q694"/>
  <c r="Y695" l="1"/>
  <c r="Q695"/>
  <c r="S695"/>
  <c r="P696"/>
  <c r="V694"/>
  <c r="W694" s="1"/>
  <c r="R695"/>
  <c r="U694"/>
  <c r="T695"/>
  <c r="T696" l="1"/>
  <c r="V695"/>
  <c r="W695" s="1"/>
  <c r="R696"/>
  <c r="U695"/>
  <c r="Y696"/>
  <c r="Q696"/>
  <c r="S696"/>
  <c r="P697"/>
  <c r="R697" l="1"/>
  <c r="T697"/>
  <c r="U696"/>
  <c r="V696"/>
  <c r="W696" s="1"/>
  <c r="Y697"/>
  <c r="Q697"/>
  <c r="S697"/>
  <c r="P698"/>
  <c r="V697" l="1"/>
  <c r="W697" s="1"/>
  <c r="T698"/>
  <c r="R698"/>
  <c r="U697"/>
  <c r="Y698"/>
  <c r="S698"/>
  <c r="P699"/>
  <c r="Q698"/>
  <c r="P983"/>
  <c r="Y699" l="1"/>
  <c r="S699"/>
  <c r="Q699"/>
  <c r="P700"/>
  <c r="U698"/>
  <c r="R699"/>
  <c r="T699"/>
  <c r="V698"/>
  <c r="W698" s="1"/>
  <c r="Q983"/>
  <c r="S983"/>
  <c r="P984"/>
  <c r="Y984" s="1"/>
  <c r="Y700" l="1"/>
  <c r="Q700"/>
  <c r="S700"/>
  <c r="P701"/>
  <c r="U699"/>
  <c r="V699"/>
  <c r="W699" s="1"/>
  <c r="R700"/>
  <c r="T700"/>
  <c r="S984"/>
  <c r="Q984"/>
  <c r="U983"/>
  <c r="T984"/>
  <c r="R984"/>
  <c r="P985"/>
  <c r="Y985" s="1"/>
  <c r="Y701" l="1"/>
  <c r="P702"/>
  <c r="S701"/>
  <c r="Q701"/>
  <c r="V700"/>
  <c r="W700" s="1"/>
  <c r="R701"/>
  <c r="T701"/>
  <c r="U700"/>
  <c r="U984"/>
  <c r="R985"/>
  <c r="T985"/>
  <c r="S985"/>
  <c r="Q985"/>
  <c r="V984"/>
  <c r="W984" s="1"/>
  <c r="P986"/>
  <c r="Y986" s="1"/>
  <c r="Y702" l="1"/>
  <c r="Q702"/>
  <c r="S702"/>
  <c r="P703"/>
  <c r="V701"/>
  <c r="W701" s="1"/>
  <c r="R702"/>
  <c r="T702"/>
  <c r="U701"/>
  <c r="U985"/>
  <c r="T986"/>
  <c r="R986"/>
  <c r="S986"/>
  <c r="Q986"/>
  <c r="V985"/>
  <c r="W985" s="1"/>
  <c r="P987"/>
  <c r="Y987" s="1"/>
  <c r="Y703" l="1"/>
  <c r="S703"/>
  <c r="P704"/>
  <c r="Q703"/>
  <c r="T703"/>
  <c r="V702"/>
  <c r="W702" s="1"/>
  <c r="R703"/>
  <c r="U702"/>
  <c r="U986"/>
  <c r="T987"/>
  <c r="R987"/>
  <c r="Q987"/>
  <c r="S987"/>
  <c r="V986"/>
  <c r="W986" s="1"/>
  <c r="P988"/>
  <c r="Y988" s="1"/>
  <c r="T704" l="1"/>
  <c r="S704" s="1"/>
  <c r="U703"/>
  <c r="R704"/>
  <c r="Q704" s="1"/>
  <c r="V703"/>
  <c r="W703" s="1"/>
  <c r="P705"/>
  <c r="Y704"/>
  <c r="U987"/>
  <c r="T988"/>
  <c r="R988"/>
  <c r="Q988"/>
  <c r="S988"/>
  <c r="V987"/>
  <c r="W987" s="1"/>
  <c r="P989"/>
  <c r="Y989" s="1"/>
  <c r="P706" l="1"/>
  <c r="Y705"/>
  <c r="U988"/>
  <c r="T989"/>
  <c r="R989"/>
  <c r="S989"/>
  <c r="Q989"/>
  <c r="V988"/>
  <c r="W988" s="1"/>
  <c r="P990"/>
  <c r="Y990" s="1"/>
  <c r="Q706" l="1"/>
  <c r="S706"/>
  <c r="P707"/>
  <c r="U989"/>
  <c r="T990"/>
  <c r="R990"/>
  <c r="Q990"/>
  <c r="S990"/>
  <c r="V989"/>
  <c r="W989" s="1"/>
  <c r="P991"/>
  <c r="Y991" s="1"/>
  <c r="Y707" l="1"/>
  <c r="S707"/>
  <c r="Q707"/>
  <c r="P708"/>
  <c r="U706"/>
  <c r="R707"/>
  <c r="T707"/>
  <c r="Q991"/>
  <c r="S991"/>
  <c r="U990"/>
  <c r="T991"/>
  <c r="R991"/>
  <c r="V990"/>
  <c r="W990" s="1"/>
  <c r="P992"/>
  <c r="Y992" s="1"/>
  <c r="U707" l="1"/>
  <c r="V707"/>
  <c r="W707" s="1"/>
  <c r="R708"/>
  <c r="Q708" s="1"/>
  <c r="T708"/>
  <c r="S708" s="1"/>
  <c r="P709"/>
  <c r="Y708"/>
  <c r="U991"/>
  <c r="T992"/>
  <c r="S992" s="1"/>
  <c r="R992"/>
  <c r="Q992" s="1"/>
  <c r="P993"/>
  <c r="Y993" s="1"/>
  <c r="V991"/>
  <c r="W991" s="1"/>
  <c r="P710" l="1"/>
  <c r="Y709"/>
  <c r="P994"/>
  <c r="P711" l="1"/>
  <c r="Q710"/>
  <c r="S710"/>
  <c r="S994"/>
  <c r="Q994"/>
  <c r="P995"/>
  <c r="Y995" s="1"/>
  <c r="Y711" l="1"/>
  <c r="P712"/>
  <c r="S711"/>
  <c r="Q711"/>
  <c r="T711"/>
  <c r="R711"/>
  <c r="U710"/>
  <c r="S995"/>
  <c r="Q995"/>
  <c r="U994"/>
  <c r="T995"/>
  <c r="R995"/>
  <c r="P996"/>
  <c r="Y996" s="1"/>
  <c r="P713" l="1"/>
  <c r="Y712"/>
  <c r="R712"/>
  <c r="Q712" s="1"/>
  <c r="T712"/>
  <c r="S712" s="1"/>
  <c r="U711"/>
  <c r="V711"/>
  <c r="W711" s="1"/>
  <c r="Q996"/>
  <c r="S996"/>
  <c r="U995"/>
  <c r="T996"/>
  <c r="R996"/>
  <c r="V995"/>
  <c r="W995" s="1"/>
  <c r="P997"/>
  <c r="Y997" s="1"/>
  <c r="P714" l="1"/>
  <c r="Y713"/>
  <c r="S997"/>
  <c r="Q997"/>
  <c r="U996"/>
  <c r="R997"/>
  <c r="T997"/>
  <c r="V996"/>
  <c r="W996" s="1"/>
  <c r="P998"/>
  <c r="Y998" s="1"/>
  <c r="Q714" l="1"/>
  <c r="S714"/>
  <c r="P715"/>
  <c r="U997"/>
  <c r="R998"/>
  <c r="T998"/>
  <c r="S998"/>
  <c r="Q998"/>
  <c r="V998"/>
  <c r="W998" s="1"/>
  <c r="V997"/>
  <c r="W997" s="1"/>
  <c r="P999"/>
  <c r="Y999" s="1"/>
  <c r="Y715" l="1"/>
  <c r="S715"/>
  <c r="Q715"/>
  <c r="P716"/>
  <c r="R715"/>
  <c r="T715"/>
  <c r="U714"/>
  <c r="S999"/>
  <c r="Q999"/>
  <c r="U998"/>
  <c r="T999"/>
  <c r="R999"/>
  <c r="P1000"/>
  <c r="Y1000" s="1"/>
  <c r="Y716" l="1"/>
  <c r="S716"/>
  <c r="Q716"/>
  <c r="P717"/>
  <c r="R716"/>
  <c r="U715"/>
  <c r="V715"/>
  <c r="W715" s="1"/>
  <c r="T716"/>
  <c r="S1000"/>
  <c r="Q1000"/>
  <c r="U999"/>
  <c r="R1000"/>
  <c r="T1000"/>
  <c r="V999"/>
  <c r="W999" s="1"/>
  <c r="P1001"/>
  <c r="Y1001" s="1"/>
  <c r="R717" l="1"/>
  <c r="V716"/>
  <c r="W716" s="1"/>
  <c r="U716"/>
  <c r="T717"/>
  <c r="Y717"/>
  <c r="Q717"/>
  <c r="S717"/>
  <c r="P718"/>
  <c r="U1000"/>
  <c r="T1001"/>
  <c r="R1001"/>
  <c r="S1001"/>
  <c r="Q1001"/>
  <c r="V1000"/>
  <c r="W1000" s="1"/>
  <c r="U1001" l="1"/>
  <c r="R718"/>
  <c r="U717"/>
  <c r="T718"/>
  <c r="V717"/>
  <c r="W717" s="1"/>
  <c r="Y718"/>
  <c r="Q718"/>
  <c r="S718"/>
  <c r="P719"/>
  <c r="V1001"/>
  <c r="W1001" s="1"/>
  <c r="Y719" l="1"/>
  <c r="Q719"/>
  <c r="S719"/>
  <c r="P720"/>
  <c r="R719"/>
  <c r="T719"/>
  <c r="U718"/>
  <c r="V718"/>
  <c r="W718" s="1"/>
  <c r="V719" l="1"/>
  <c r="W719" s="1"/>
  <c r="R720"/>
  <c r="T720"/>
  <c r="U719"/>
  <c r="Y720"/>
  <c r="Q720"/>
  <c r="S720"/>
  <c r="P721"/>
  <c r="T721" l="1"/>
  <c r="V720"/>
  <c r="W720" s="1"/>
  <c r="R721"/>
  <c r="U720"/>
  <c r="Y721"/>
  <c r="S721"/>
  <c r="Q721"/>
  <c r="P722"/>
  <c r="V113"/>
  <c r="W113" s="1"/>
  <c r="V451"/>
  <c r="W451" s="1"/>
  <c r="V132"/>
  <c r="W132" s="1"/>
  <c r="V427"/>
  <c r="W427" s="1"/>
  <c r="V511"/>
  <c r="W511" s="1"/>
  <c r="V159"/>
  <c r="W159" s="1"/>
  <c r="V69"/>
  <c r="W69" s="1"/>
  <c r="V443"/>
  <c r="W443" s="1"/>
  <c r="V543"/>
  <c r="W543" s="1"/>
  <c r="V544"/>
  <c r="W544" s="1"/>
  <c r="T722" l="1"/>
  <c r="V721"/>
  <c r="W721" s="1"/>
  <c r="R722"/>
  <c r="U721"/>
  <c r="Y722"/>
  <c r="S722"/>
  <c r="Q722"/>
  <c r="P723"/>
  <c r="R542"/>
  <c r="T542"/>
  <c r="U541"/>
  <c r="R201"/>
  <c r="T201"/>
  <c r="U200"/>
  <c r="R584"/>
  <c r="T584"/>
  <c r="U583"/>
  <c r="R294"/>
  <c r="Q294" s="1"/>
  <c r="T295" s="1"/>
  <c r="T294"/>
  <c r="S294" s="1"/>
  <c r="U293"/>
  <c r="R539"/>
  <c r="T539"/>
  <c r="U538"/>
  <c r="R496"/>
  <c r="Q496" s="1"/>
  <c r="T496"/>
  <c r="S496" s="1"/>
  <c r="U495"/>
  <c r="R709"/>
  <c r="Q709" s="1"/>
  <c r="T709"/>
  <c r="U708"/>
  <c r="R713"/>
  <c r="T713"/>
  <c r="S713" s="1"/>
  <c r="U712"/>
  <c r="R39"/>
  <c r="Q39" s="1"/>
  <c r="T40" s="1"/>
  <c r="T39"/>
  <c r="S39" s="1"/>
  <c r="U38"/>
  <c r="R59"/>
  <c r="Q59" s="1"/>
  <c r="T59"/>
  <c r="S59" s="1"/>
  <c r="U58"/>
  <c r="R431"/>
  <c r="T431"/>
  <c r="U430"/>
  <c r="R340"/>
  <c r="T340"/>
  <c r="U339"/>
  <c r="R408"/>
  <c r="T408"/>
  <c r="U407"/>
  <c r="R230"/>
  <c r="T230"/>
  <c r="U229"/>
  <c r="R255"/>
  <c r="T255"/>
  <c r="U254"/>
  <c r="R373"/>
  <c r="Q373" s="1"/>
  <c r="T373"/>
  <c r="S373" s="1"/>
  <c r="U372"/>
  <c r="R405"/>
  <c r="T405"/>
  <c r="U404"/>
  <c r="R666"/>
  <c r="T666"/>
  <c r="U665"/>
  <c r="R448"/>
  <c r="Q448" s="1"/>
  <c r="T448"/>
  <c r="S448" s="1"/>
  <c r="U447"/>
  <c r="V201"/>
  <c r="W201" s="1"/>
  <c r="V583"/>
  <c r="W583" s="1"/>
  <c r="R425"/>
  <c r="T425"/>
  <c r="U424"/>
  <c r="R151"/>
  <c r="T151"/>
  <c r="U150"/>
  <c r="R184"/>
  <c r="T184"/>
  <c r="U183"/>
  <c r="R251"/>
  <c r="Q251" s="1"/>
  <c r="T251"/>
  <c r="S251" s="1"/>
  <c r="U250"/>
  <c r="R52"/>
  <c r="T52"/>
  <c r="U51"/>
  <c r="R677"/>
  <c r="T677"/>
  <c r="U676"/>
  <c r="R223"/>
  <c r="T223"/>
  <c r="U222"/>
  <c r="R588"/>
  <c r="T588"/>
  <c r="S588" s="1"/>
  <c r="U587"/>
  <c r="R385"/>
  <c r="T385"/>
  <c r="U384"/>
  <c r="R993"/>
  <c r="Q993" s="1"/>
  <c r="T993"/>
  <c r="S993" s="1"/>
  <c r="U992"/>
  <c r="R661"/>
  <c r="T661"/>
  <c r="U660"/>
  <c r="V340"/>
  <c r="W340" s="1"/>
  <c r="V255"/>
  <c r="W255" s="1"/>
  <c r="V666"/>
  <c r="W666" s="1"/>
  <c r="R262"/>
  <c r="T262"/>
  <c r="U261"/>
  <c r="R705"/>
  <c r="Q705" s="1"/>
  <c r="T705"/>
  <c r="S705" s="1"/>
  <c r="U704"/>
  <c r="R403"/>
  <c r="T403"/>
  <c r="U402"/>
  <c r="R197"/>
  <c r="T197"/>
  <c r="U196"/>
  <c r="R553"/>
  <c r="Q553" s="1"/>
  <c r="T553"/>
  <c r="S553" s="1"/>
  <c r="U552"/>
  <c r="R232"/>
  <c r="Q232" s="1"/>
  <c r="T232"/>
  <c r="S232" s="1"/>
  <c r="U231"/>
  <c r="R689"/>
  <c r="Q689" s="1"/>
  <c r="T690" s="1"/>
  <c r="T689"/>
  <c r="S689" s="1"/>
  <c r="U688"/>
  <c r="R172"/>
  <c r="Q172" s="1"/>
  <c r="T172"/>
  <c r="S172" s="1"/>
  <c r="U171"/>
  <c r="R329"/>
  <c r="Q329" s="1"/>
  <c r="T329"/>
  <c r="S329" s="1"/>
  <c r="U328"/>
  <c r="R582"/>
  <c r="T582"/>
  <c r="U581"/>
  <c r="V660"/>
  <c r="W660" s="1"/>
  <c r="R379"/>
  <c r="Q379" s="1"/>
  <c r="T380" s="1"/>
  <c r="T379"/>
  <c r="S379" s="1"/>
  <c r="U378"/>
  <c r="R271"/>
  <c r="T271"/>
  <c r="U270"/>
  <c r="R569"/>
  <c r="Q569" s="1"/>
  <c r="T569"/>
  <c r="S569" s="1"/>
  <c r="U568"/>
  <c r="R491"/>
  <c r="T491"/>
  <c r="U490"/>
  <c r="R307"/>
  <c r="T307"/>
  <c r="U306"/>
  <c r="R369"/>
  <c r="Q369" s="1"/>
  <c r="T370" s="1"/>
  <c r="T369"/>
  <c r="S369" s="1"/>
  <c r="U368"/>
  <c r="R608"/>
  <c r="T608"/>
  <c r="U607"/>
  <c r="R133"/>
  <c r="T133"/>
  <c r="U132"/>
  <c r="R679"/>
  <c r="T679"/>
  <c r="U678"/>
  <c r="R359"/>
  <c r="T359"/>
  <c r="S359" s="1"/>
  <c r="U358"/>
  <c r="R106"/>
  <c r="T106"/>
  <c r="U105"/>
  <c r="V402"/>
  <c r="W402" s="1"/>
  <c r="V197"/>
  <c r="W197" s="1"/>
  <c r="V328"/>
  <c r="W328" s="1"/>
  <c r="V688"/>
  <c r="W688" s="1"/>
  <c r="R146"/>
  <c r="T146"/>
  <c r="S146" s="1"/>
  <c r="U145"/>
  <c r="R617"/>
  <c r="Q617" s="1"/>
  <c r="T617"/>
  <c r="S617" s="1"/>
  <c r="U616"/>
  <c r="R461"/>
  <c r="T461"/>
  <c r="U460"/>
  <c r="R444"/>
  <c r="T444"/>
  <c r="U443"/>
  <c r="R512"/>
  <c r="T512"/>
  <c r="U511"/>
  <c r="R427"/>
  <c r="T427"/>
  <c r="U426"/>
  <c r="R65"/>
  <c r="T65"/>
  <c r="U64"/>
  <c r="R655"/>
  <c r="T655"/>
  <c r="U654"/>
  <c r="R135"/>
  <c r="Q135" s="1"/>
  <c r="T135"/>
  <c r="S135" s="1"/>
  <c r="U134"/>
  <c r="R356"/>
  <c r="T356"/>
  <c r="U355"/>
  <c r="R55"/>
  <c r="Q55" s="1"/>
  <c r="T55"/>
  <c r="S55" s="1"/>
  <c r="U54"/>
  <c r="V490"/>
  <c r="W490" s="1"/>
  <c r="V307"/>
  <c r="W307" s="1"/>
  <c r="R577"/>
  <c r="T577"/>
  <c r="S577" s="1"/>
  <c r="U576"/>
  <c r="R412"/>
  <c r="T412"/>
  <c r="U411"/>
  <c r="R544"/>
  <c r="T544"/>
  <c r="U543"/>
  <c r="R519"/>
  <c r="Q519" s="1"/>
  <c r="T520" s="1"/>
  <c r="T519"/>
  <c r="S519" s="1"/>
  <c r="U518"/>
  <c r="R160"/>
  <c r="T160"/>
  <c r="U159"/>
  <c r="R89"/>
  <c r="T89"/>
  <c r="U88"/>
  <c r="R319"/>
  <c r="T319"/>
  <c r="U318"/>
  <c r="R317"/>
  <c r="T317"/>
  <c r="U316"/>
  <c r="R671"/>
  <c r="Q671" s="1"/>
  <c r="T672" s="1"/>
  <c r="T671"/>
  <c r="S671" s="1"/>
  <c r="U670"/>
  <c r="V461"/>
  <c r="W461" s="1"/>
  <c r="V151"/>
  <c r="W151" s="1"/>
  <c r="V655"/>
  <c r="W655" s="1"/>
  <c r="V403"/>
  <c r="W403" s="1"/>
  <c r="R517"/>
  <c r="T517"/>
  <c r="U516"/>
  <c r="R70"/>
  <c r="T70"/>
  <c r="S70" s="1"/>
  <c r="U69"/>
  <c r="R633"/>
  <c r="Q633" s="1"/>
  <c r="T633"/>
  <c r="S633" s="1"/>
  <c r="U632"/>
  <c r="R564"/>
  <c r="T564"/>
  <c r="U563"/>
  <c r="R382"/>
  <c r="T382"/>
  <c r="U381"/>
  <c r="R451"/>
  <c r="T451"/>
  <c r="U450"/>
  <c r="R395"/>
  <c r="Q395" s="1"/>
  <c r="T396" s="1"/>
  <c r="T395"/>
  <c r="S395" s="1"/>
  <c r="U394"/>
  <c r="R481"/>
  <c r="T481"/>
  <c r="U480"/>
  <c r="R113"/>
  <c r="T113"/>
  <c r="U112"/>
  <c r="V460"/>
  <c r="W460" s="1"/>
  <c r="V552"/>
  <c r="W552" s="1"/>
  <c r="V230"/>
  <c r="W230" s="1"/>
  <c r="V306"/>
  <c r="W306" s="1"/>
  <c r="V491"/>
  <c r="W491" s="1"/>
  <c r="V495"/>
  <c r="W495" s="1"/>
  <c r="V64"/>
  <c r="W64" s="1"/>
  <c r="V710"/>
  <c r="W710" s="1"/>
  <c r="V450"/>
  <c r="W450" s="1"/>
  <c r="V231"/>
  <c r="W231" s="1"/>
  <c r="V88"/>
  <c r="W88" s="1"/>
  <c r="V677"/>
  <c r="W677" s="1"/>
  <c r="V200"/>
  <c r="W200" s="1"/>
  <c r="V518"/>
  <c r="W518" s="1"/>
  <c r="V384"/>
  <c r="W384" s="1"/>
  <c r="V368"/>
  <c r="W368" s="1"/>
  <c r="V678"/>
  <c r="W678" s="1"/>
  <c r="V517"/>
  <c r="W517" s="1"/>
  <c r="T374"/>
  <c r="V65"/>
  <c r="W65" s="1"/>
  <c r="V665"/>
  <c r="W665" s="1"/>
  <c r="V381"/>
  <c r="W381" s="1"/>
  <c r="V319"/>
  <c r="W319" s="1"/>
  <c r="V581"/>
  <c r="W581" s="1"/>
  <c r="V584"/>
  <c r="W584" s="1"/>
  <c r="V317"/>
  <c r="W317" s="1"/>
  <c r="V679"/>
  <c r="W679" s="1"/>
  <c r="V150"/>
  <c r="W150" s="1"/>
  <c r="V512"/>
  <c r="W512" s="1"/>
  <c r="V318"/>
  <c r="W318" s="1"/>
  <c r="V356"/>
  <c r="W356" s="1"/>
  <c r="V372"/>
  <c r="W372" s="1"/>
  <c r="V184"/>
  <c r="W184" s="1"/>
  <c r="V411"/>
  <c r="W411" s="1"/>
  <c r="V704"/>
  <c r="W704" s="1"/>
  <c r="V431"/>
  <c r="W431" s="1"/>
  <c r="V425"/>
  <c r="W425" s="1"/>
  <c r="V541"/>
  <c r="W541" s="1"/>
  <c r="V229"/>
  <c r="W229" s="1"/>
  <c r="V539"/>
  <c r="W539" s="1"/>
  <c r="V426"/>
  <c r="W426" s="1"/>
  <c r="V171"/>
  <c r="W171" s="1"/>
  <c r="V160"/>
  <c r="W160" s="1"/>
  <c r="V261"/>
  <c r="W261" s="1"/>
  <c r="V339"/>
  <c r="W339" s="1"/>
  <c r="T994"/>
  <c r="V496"/>
  <c r="W496" s="1"/>
  <c r="V355"/>
  <c r="W355" s="1"/>
  <c r="V59"/>
  <c r="W59" s="1"/>
  <c r="V608"/>
  <c r="W608" s="1"/>
  <c r="V447"/>
  <c r="W447" s="1"/>
  <c r="V134"/>
  <c r="W134" s="1"/>
  <c r="V89"/>
  <c r="W89" s="1"/>
  <c r="V54"/>
  <c r="W54" s="1"/>
  <c r="V293"/>
  <c r="W293" s="1"/>
  <c r="V112"/>
  <c r="W112" s="1"/>
  <c r="T618"/>
  <c r="V424"/>
  <c r="W424" s="1"/>
  <c r="V516"/>
  <c r="W516" s="1"/>
  <c r="V270"/>
  <c r="W270" s="1"/>
  <c r="V145"/>
  <c r="W145" s="1"/>
  <c r="V222"/>
  <c r="W222" s="1"/>
  <c r="V708"/>
  <c r="W708" s="1"/>
  <c r="V316"/>
  <c r="W316" s="1"/>
  <c r="V394"/>
  <c r="W394" s="1"/>
  <c r="V587"/>
  <c r="W587" s="1"/>
  <c r="V481"/>
  <c r="W481" s="1"/>
  <c r="V568"/>
  <c r="W568" s="1"/>
  <c r="V183"/>
  <c r="W183" s="1"/>
  <c r="V542"/>
  <c r="W542" s="1"/>
  <c r="V563"/>
  <c r="W563" s="1"/>
  <c r="V654"/>
  <c r="W654" s="1"/>
  <c r="V408"/>
  <c r="W408" s="1"/>
  <c r="T449"/>
  <c r="V105"/>
  <c r="W105" s="1"/>
  <c r="V616"/>
  <c r="W616" s="1"/>
  <c r="V582"/>
  <c r="W582" s="1"/>
  <c r="V250"/>
  <c r="W250" s="1"/>
  <c r="V382"/>
  <c r="W382" s="1"/>
  <c r="V576"/>
  <c r="W576" s="1"/>
  <c r="V661"/>
  <c r="W661" s="1"/>
  <c r="V670"/>
  <c r="W670" s="1"/>
  <c r="V412"/>
  <c r="W412" s="1"/>
  <c r="V378"/>
  <c r="W378" s="1"/>
  <c r="V271"/>
  <c r="W271" s="1"/>
  <c r="T252"/>
  <c r="V430"/>
  <c r="W430" s="1"/>
  <c r="V607"/>
  <c r="W607" s="1"/>
  <c r="V58"/>
  <c r="W58" s="1"/>
  <c r="V262"/>
  <c r="W262" s="1"/>
  <c r="V404"/>
  <c r="W404" s="1"/>
  <c r="V676"/>
  <c r="W676" s="1"/>
  <c r="V358"/>
  <c r="W358" s="1"/>
  <c r="V106"/>
  <c r="W106" s="1"/>
  <c r="V51"/>
  <c r="W51" s="1"/>
  <c r="V538"/>
  <c r="W538" s="1"/>
  <c r="T136"/>
  <c r="V133"/>
  <c r="W133" s="1"/>
  <c r="V480"/>
  <c r="W480" s="1"/>
  <c r="V444"/>
  <c r="W444" s="1"/>
  <c r="V38"/>
  <c r="W38" s="1"/>
  <c r="V564"/>
  <c r="W564" s="1"/>
  <c r="V407"/>
  <c r="W407" s="1"/>
  <c r="V405"/>
  <c r="W405" s="1"/>
  <c r="V223"/>
  <c r="W223" s="1"/>
  <c r="T233"/>
  <c r="V992"/>
  <c r="W992" s="1"/>
  <c r="V709"/>
  <c r="W709" s="1"/>
  <c r="V52"/>
  <c r="W52" s="1"/>
  <c r="V196"/>
  <c r="W196" s="1"/>
  <c r="V385"/>
  <c r="W385" s="1"/>
  <c r="V712"/>
  <c r="W712" s="1"/>
  <c r="V254"/>
  <c r="W254" s="1"/>
  <c r="V632"/>
  <c r="W632" s="1"/>
  <c r="U59" l="1"/>
  <c r="R60"/>
  <c r="Q60" s="1"/>
  <c r="T60"/>
  <c r="S60" s="1"/>
  <c r="V722"/>
  <c r="W722" s="1"/>
  <c r="R723"/>
  <c r="T723"/>
  <c r="U722"/>
  <c r="Y723"/>
  <c r="S723"/>
  <c r="P724"/>
  <c r="Q723"/>
  <c r="S709"/>
  <c r="U709" s="1"/>
  <c r="Q359"/>
  <c r="T360" s="1"/>
  <c r="Q577"/>
  <c r="T578" s="1"/>
  <c r="Q713"/>
  <c r="T714" s="1"/>
  <c r="Q146"/>
  <c r="T147" s="1"/>
  <c r="Q70"/>
  <c r="U70" s="1"/>
  <c r="U496"/>
  <c r="Q588"/>
  <c r="T589" s="1"/>
  <c r="R173"/>
  <c r="T173"/>
  <c r="V172"/>
  <c r="W172" s="1"/>
  <c r="V173"/>
  <c r="W173" s="1"/>
  <c r="R706"/>
  <c r="T706"/>
  <c r="V706"/>
  <c r="W706" s="1"/>
  <c r="V705"/>
  <c r="W705" s="1"/>
  <c r="R710"/>
  <c r="T710"/>
  <c r="U172"/>
  <c r="U705"/>
  <c r="U135"/>
  <c r="U617"/>
  <c r="T634"/>
  <c r="S634" s="1"/>
  <c r="U633"/>
  <c r="R330"/>
  <c r="Q330" s="1"/>
  <c r="T330"/>
  <c r="S330" s="1"/>
  <c r="U329"/>
  <c r="V329"/>
  <c r="W329" s="1"/>
  <c r="U395"/>
  <c r="U294"/>
  <c r="T554"/>
  <c r="S554" s="1"/>
  <c r="U553"/>
  <c r="U232"/>
  <c r="U993"/>
  <c r="U251"/>
  <c r="U373"/>
  <c r="T570"/>
  <c r="S570" s="1"/>
  <c r="U569"/>
  <c r="U369"/>
  <c r="U689"/>
  <c r="U448"/>
  <c r="R56"/>
  <c r="Q56" s="1"/>
  <c r="V56" s="1"/>
  <c r="T56"/>
  <c r="S56" s="1"/>
  <c r="U55"/>
  <c r="V55"/>
  <c r="W55" s="1"/>
  <c r="U671"/>
  <c r="U519"/>
  <c r="U379"/>
  <c r="R497"/>
  <c r="T497"/>
  <c r="V497"/>
  <c r="W497" s="1"/>
  <c r="U39"/>
  <c r="X38"/>
  <c r="R570"/>
  <c r="Q570" s="1"/>
  <c r="V569"/>
  <c r="W569" s="1"/>
  <c r="R136"/>
  <c r="V135"/>
  <c r="W135" s="1"/>
  <c r="V136"/>
  <c r="W136" s="1"/>
  <c r="R252"/>
  <c r="V252"/>
  <c r="W252" s="1"/>
  <c r="V251"/>
  <c r="W251" s="1"/>
  <c r="R690"/>
  <c r="V689"/>
  <c r="W689" s="1"/>
  <c r="V690"/>
  <c r="W690" s="1"/>
  <c r="R233"/>
  <c r="V232"/>
  <c r="W232" s="1"/>
  <c r="V233"/>
  <c r="W233" s="1"/>
  <c r="R520"/>
  <c r="V520"/>
  <c r="W520" s="1"/>
  <c r="V519"/>
  <c r="W519" s="1"/>
  <c r="R380"/>
  <c r="V379"/>
  <c r="W379" s="1"/>
  <c r="V380"/>
  <c r="W380" s="1"/>
  <c r="R40"/>
  <c r="V39"/>
  <c r="W39" s="1"/>
  <c r="V40"/>
  <c r="W40" s="1"/>
  <c r="R370"/>
  <c r="V369"/>
  <c r="W369" s="1"/>
  <c r="V370"/>
  <c r="W370" s="1"/>
  <c r="R449"/>
  <c r="V448"/>
  <c r="W448" s="1"/>
  <c r="V449"/>
  <c r="W449" s="1"/>
  <c r="R672"/>
  <c r="V671"/>
  <c r="W671" s="1"/>
  <c r="V672"/>
  <c r="W672" s="1"/>
  <c r="R618"/>
  <c r="V617"/>
  <c r="W617" s="1"/>
  <c r="V618"/>
  <c r="W618" s="1"/>
  <c r="R374"/>
  <c r="V373"/>
  <c r="W373" s="1"/>
  <c r="V374"/>
  <c r="W374" s="1"/>
  <c r="R634"/>
  <c r="V633"/>
  <c r="W633" s="1"/>
  <c r="R554"/>
  <c r="Q554" s="1"/>
  <c r="V553"/>
  <c r="W553" s="1"/>
  <c r="R994"/>
  <c r="V993"/>
  <c r="W993" s="1"/>
  <c r="V994"/>
  <c r="W994" s="1"/>
  <c r="R295"/>
  <c r="V294"/>
  <c r="W294" s="1"/>
  <c r="V295"/>
  <c r="W295" s="1"/>
  <c r="R396"/>
  <c r="V395"/>
  <c r="W395" s="1"/>
  <c r="V396"/>
  <c r="W396" s="1"/>
  <c r="V60" l="1"/>
  <c r="W60" s="1"/>
  <c r="R61"/>
  <c r="T61"/>
  <c r="U60"/>
  <c r="V61"/>
  <c r="W61" s="1"/>
  <c r="X43"/>
  <c r="Y724"/>
  <c r="S724"/>
  <c r="Q724"/>
  <c r="P725"/>
  <c r="R724"/>
  <c r="V723"/>
  <c r="W723" s="1"/>
  <c r="T724"/>
  <c r="U723"/>
  <c r="T71"/>
  <c r="U713"/>
  <c r="U577"/>
  <c r="U56"/>
  <c r="V146"/>
  <c r="W146" s="1"/>
  <c r="V147"/>
  <c r="W147" s="1"/>
  <c r="R147"/>
  <c r="V360"/>
  <c r="W360" s="1"/>
  <c r="V359"/>
  <c r="W359" s="1"/>
  <c r="R360"/>
  <c r="U554"/>
  <c r="U588"/>
  <c r="V589"/>
  <c r="W589" s="1"/>
  <c r="V588"/>
  <c r="W588" s="1"/>
  <c r="R589"/>
  <c r="V578"/>
  <c r="W578" s="1"/>
  <c r="V577"/>
  <c r="W577" s="1"/>
  <c r="R578"/>
  <c r="Q634"/>
  <c r="T635" s="1"/>
  <c r="U146"/>
  <c r="V713"/>
  <c r="W713" s="1"/>
  <c r="V714"/>
  <c r="W714" s="1"/>
  <c r="R714"/>
  <c r="T555"/>
  <c r="V70"/>
  <c r="W70" s="1"/>
  <c r="V71"/>
  <c r="W71" s="1"/>
  <c r="R71"/>
  <c r="U359"/>
  <c r="R331"/>
  <c r="T331"/>
  <c r="V330"/>
  <c r="W330" s="1"/>
  <c r="V331"/>
  <c r="W331" s="1"/>
  <c r="R57"/>
  <c r="T57"/>
  <c r="W56"/>
  <c r="V57"/>
  <c r="W57" s="1"/>
  <c r="T571"/>
  <c r="S571" s="1"/>
  <c r="U570"/>
  <c r="U330"/>
  <c r="X52"/>
  <c r="Y52" s="1"/>
  <c r="X53"/>
  <c r="X50"/>
  <c r="X42"/>
  <c r="X46"/>
  <c r="X40"/>
  <c r="Y40" s="1"/>
  <c r="X54"/>
  <c r="X49"/>
  <c r="X41"/>
  <c r="X44"/>
  <c r="X51"/>
  <c r="X39"/>
  <c r="X48"/>
  <c r="X45"/>
  <c r="X47"/>
  <c r="X55"/>
  <c r="R555"/>
  <c r="V554"/>
  <c r="W554" s="1"/>
  <c r="V555"/>
  <c r="W555" s="1"/>
  <c r="R571"/>
  <c r="Q571" s="1"/>
  <c r="V570"/>
  <c r="W570" s="1"/>
  <c r="X202" l="1"/>
  <c r="V724"/>
  <c r="W724" s="1"/>
  <c r="R725"/>
  <c r="T725"/>
  <c r="U724"/>
  <c r="X163"/>
  <c r="Y725"/>
  <c r="S725"/>
  <c r="Q725"/>
  <c r="P726"/>
  <c r="X215"/>
  <c r="R635"/>
  <c r="X157"/>
  <c r="V634"/>
  <c r="W634" s="1"/>
  <c r="V635"/>
  <c r="W635" s="1"/>
  <c r="X75"/>
  <c r="X156"/>
  <c r="X330"/>
  <c r="X154"/>
  <c r="X92"/>
  <c r="X336"/>
  <c r="X145"/>
  <c r="X132"/>
  <c r="X114"/>
  <c r="X532"/>
  <c r="X140"/>
  <c r="X505"/>
  <c r="X558"/>
  <c r="X197"/>
  <c r="Y197" s="1"/>
  <c r="X311"/>
  <c r="X460"/>
  <c r="X184"/>
  <c r="Y184" s="1"/>
  <c r="X74"/>
  <c r="X403"/>
  <c r="Y403" s="1"/>
  <c r="X401"/>
  <c r="X209"/>
  <c r="X162"/>
  <c r="X195"/>
  <c r="X510"/>
  <c r="X91"/>
  <c r="X526"/>
  <c r="X287"/>
  <c r="X129"/>
  <c r="X122"/>
  <c r="X528"/>
  <c r="X331"/>
  <c r="Y331" s="1"/>
  <c r="X305"/>
  <c r="X78"/>
  <c r="X79"/>
  <c r="X298"/>
  <c r="X387"/>
  <c r="X285"/>
  <c r="X73"/>
  <c r="X350"/>
  <c r="X371"/>
  <c r="X160"/>
  <c r="Y160" s="1"/>
  <c r="X513"/>
  <c r="X161"/>
  <c r="X56"/>
  <c r="X452"/>
  <c r="X164"/>
  <c r="X515"/>
  <c r="U571"/>
  <c r="U634"/>
  <c r="X479"/>
  <c r="X493"/>
  <c r="X564"/>
  <c r="Y564" s="1"/>
  <c r="T572"/>
  <c r="X199"/>
  <c r="X291"/>
  <c r="X70"/>
  <c r="X556"/>
  <c r="X187"/>
  <c r="X345"/>
  <c r="X200"/>
  <c r="X296"/>
  <c r="X173"/>
  <c r="Y173" s="1"/>
  <c r="X314"/>
  <c r="X274"/>
  <c r="X431"/>
  <c r="Y431" s="1"/>
  <c r="X313"/>
  <c r="X100"/>
  <c r="X267"/>
  <c r="X208"/>
  <c r="X196"/>
  <c r="X216"/>
  <c r="X484"/>
  <c r="X549"/>
  <c r="X158"/>
  <c r="X418"/>
  <c r="X186"/>
  <c r="X131"/>
  <c r="X519"/>
  <c r="X369"/>
  <c r="X419"/>
  <c r="X141"/>
  <c r="X63"/>
  <c r="X439"/>
  <c r="X151"/>
  <c r="Y151" s="1"/>
  <c r="X443"/>
  <c r="X310"/>
  <c r="X266"/>
  <c r="X414"/>
  <c r="X136"/>
  <c r="Y136" s="1"/>
  <c r="X103"/>
  <c r="X537"/>
  <c r="X411"/>
  <c r="X318"/>
  <c r="X120"/>
  <c r="X501"/>
  <c r="X382"/>
  <c r="Y382" s="1"/>
  <c r="X527"/>
  <c r="X445"/>
  <c r="X281"/>
  <c r="X109"/>
  <c r="X554"/>
  <c r="X468"/>
  <c r="X269"/>
  <c r="X229"/>
  <c r="X58"/>
  <c r="X440"/>
  <c r="X449"/>
  <c r="Y449" s="1"/>
  <c r="X189"/>
  <c r="X228"/>
  <c r="X395"/>
  <c r="X485"/>
  <c r="X57"/>
  <c r="Y57" s="1"/>
  <c r="X214"/>
  <c r="X374"/>
  <c r="Y374" s="1"/>
  <c r="X531"/>
  <c r="X456"/>
  <c r="X430"/>
  <c r="X512"/>
  <c r="Y512" s="1"/>
  <c r="X148"/>
  <c r="X222"/>
  <c r="X179"/>
  <c r="X494"/>
  <c r="X59"/>
  <c r="Y59" s="1"/>
  <c r="X322"/>
  <c r="X496"/>
  <c r="X106"/>
  <c r="Y106" s="1"/>
  <c r="X378"/>
  <c r="X205"/>
  <c r="X127"/>
  <c r="X407"/>
  <c r="X126"/>
  <c r="X312"/>
  <c r="X358"/>
  <c r="X249"/>
  <c r="X273"/>
  <c r="X406"/>
  <c r="X328"/>
  <c r="X415"/>
  <c r="X337"/>
  <c r="X511"/>
  <c r="X224"/>
  <c r="X82"/>
  <c r="X240"/>
  <c r="X465"/>
  <c r="X329"/>
  <c r="X486"/>
  <c r="X66"/>
  <c r="X368"/>
  <c r="X413"/>
  <c r="X377"/>
  <c r="X473"/>
  <c r="X433"/>
  <c r="X547"/>
  <c r="X252"/>
  <c r="Y252" s="1"/>
  <c r="X182"/>
  <c r="X254"/>
  <c r="X516"/>
  <c r="X475"/>
  <c r="X385"/>
  <c r="Y385" s="1"/>
  <c r="X394"/>
  <c r="X134"/>
  <c r="X568"/>
  <c r="X332"/>
  <c r="X446"/>
  <c r="X483"/>
  <c r="X546"/>
  <c r="X177"/>
  <c r="X87"/>
  <c r="X96"/>
  <c r="X270"/>
  <c r="X128"/>
  <c r="X239"/>
  <c r="X492"/>
  <c r="X60"/>
  <c r="X294"/>
  <c r="X278"/>
  <c r="X243"/>
  <c r="X101"/>
  <c r="X235"/>
  <c r="X450"/>
  <c r="X315"/>
  <c r="X105"/>
  <c r="X534"/>
  <c r="X257"/>
  <c r="X434"/>
  <c r="X364"/>
  <c r="X181"/>
  <c r="X234"/>
  <c r="X335"/>
  <c r="X218"/>
  <c r="X533"/>
  <c r="X409"/>
  <c r="X520"/>
  <c r="Y520" s="1"/>
  <c r="X288"/>
  <c r="X146"/>
  <c r="X376"/>
  <c r="X542"/>
  <c r="Y542" s="1"/>
  <c r="X524"/>
  <c r="X115"/>
  <c r="X489"/>
  <c r="X540"/>
  <c r="X498"/>
  <c r="X557"/>
  <c r="X530"/>
  <c r="X436"/>
  <c r="X302"/>
  <c r="X207"/>
  <c r="X280"/>
  <c r="X341"/>
  <c r="X451"/>
  <c r="Y451" s="1"/>
  <c r="X170"/>
  <c r="X84"/>
  <c r="X539"/>
  <c r="Y539" s="1"/>
  <c r="X85"/>
  <c r="X354"/>
  <c r="X89"/>
  <c r="Y89" s="1"/>
  <c r="X251"/>
  <c r="X62"/>
  <c r="X343"/>
  <c r="X201"/>
  <c r="Y201" s="1"/>
  <c r="X223"/>
  <c r="Y223" s="1"/>
  <c r="X180"/>
  <c r="X171"/>
  <c r="X172"/>
  <c r="X309"/>
  <c r="X246"/>
  <c r="X159"/>
  <c r="X412"/>
  <c r="Y412" s="1"/>
  <c r="X203"/>
  <c r="X352"/>
  <c r="X185"/>
  <c r="X219"/>
  <c r="X397"/>
  <c r="X319"/>
  <c r="Y319" s="1"/>
  <c r="X307"/>
  <c r="Y307" s="1"/>
  <c r="X165"/>
  <c r="X308"/>
  <c r="X174"/>
  <c r="X426"/>
  <c r="X340"/>
  <c r="Y340" s="1"/>
  <c r="X198"/>
  <c r="X356"/>
  <c r="Y356" s="1"/>
  <c r="X459"/>
  <c r="X453"/>
  <c r="X361"/>
  <c r="X399"/>
  <c r="X507"/>
  <c r="X81"/>
  <c r="X83"/>
  <c r="X135"/>
  <c r="X529"/>
  <c r="X326"/>
  <c r="X72"/>
  <c r="X282"/>
  <c r="X502"/>
  <c r="X428"/>
  <c r="X236"/>
  <c r="X61"/>
  <c r="Y61" s="1"/>
  <c r="X442"/>
  <c r="X283"/>
  <c r="X555"/>
  <c r="Y555" s="1"/>
  <c r="X462"/>
  <c r="X391"/>
  <c r="X77"/>
  <c r="X500"/>
  <c r="X366"/>
  <c r="X444"/>
  <c r="Y444" s="1"/>
  <c r="X481"/>
  <c r="Y481" s="1"/>
  <c r="X123"/>
  <c r="X400"/>
  <c r="X567"/>
  <c r="X65"/>
  <c r="Y65" s="1"/>
  <c r="X427"/>
  <c r="Y427" s="1"/>
  <c r="X259"/>
  <c r="X518"/>
  <c r="X99"/>
  <c r="X390"/>
  <c r="X487"/>
  <c r="X226"/>
  <c r="X124"/>
  <c r="X563"/>
  <c r="X421"/>
  <c r="X258"/>
  <c r="X306"/>
  <c r="X344"/>
  <c r="X277"/>
  <c r="X348"/>
  <c r="X324"/>
  <c r="X80"/>
  <c r="X552"/>
  <c r="X474"/>
  <c r="X142"/>
  <c r="X166"/>
  <c r="X284"/>
  <c r="X327"/>
  <c r="X480"/>
  <c r="X338"/>
  <c r="X463"/>
  <c r="X472"/>
  <c r="X111"/>
  <c r="X437"/>
  <c r="X320"/>
  <c r="X514"/>
  <c r="X506"/>
  <c r="X76"/>
  <c r="Y76" s="1"/>
  <c r="X316"/>
  <c r="X94"/>
  <c r="X323"/>
  <c r="X210"/>
  <c r="X204"/>
  <c r="X569"/>
  <c r="Y569" s="1"/>
  <c r="X360"/>
  <c r="Y360" s="1"/>
  <c r="X149"/>
  <c r="X545"/>
  <c r="X155"/>
  <c r="X504"/>
  <c r="X242"/>
  <c r="X333"/>
  <c r="X416"/>
  <c r="X295"/>
  <c r="Y295" s="1"/>
  <c r="X217"/>
  <c r="X370"/>
  <c r="Y370" s="1"/>
  <c r="X429"/>
  <c r="X353"/>
  <c r="X206"/>
  <c r="X64"/>
  <c r="X372"/>
  <c r="X238"/>
  <c r="X88"/>
  <c r="X522"/>
  <c r="X349"/>
  <c r="X116"/>
  <c r="X233"/>
  <c r="Y233" s="1"/>
  <c r="X168"/>
  <c r="X133"/>
  <c r="Y133" s="1"/>
  <c r="X108"/>
  <c r="X550"/>
  <c r="X125"/>
  <c r="X559"/>
  <c r="X299"/>
  <c r="X263"/>
  <c r="X260"/>
  <c r="X121"/>
  <c r="X167"/>
  <c r="X379"/>
  <c r="X491"/>
  <c r="Y491" s="1"/>
  <c r="X130"/>
  <c r="X455"/>
  <c r="X342"/>
  <c r="X264"/>
  <c r="X244"/>
  <c r="X110"/>
  <c r="X261"/>
  <c r="X119"/>
  <c r="X435"/>
  <c r="X293"/>
  <c r="X143"/>
  <c r="X396"/>
  <c r="Y396" s="1"/>
  <c r="X253"/>
  <c r="X153"/>
  <c r="X464"/>
  <c r="X241"/>
  <c r="X250"/>
  <c r="X424"/>
  <c r="X346"/>
  <c r="X188"/>
  <c r="X118"/>
  <c r="X570"/>
  <c r="X393"/>
  <c r="X150"/>
  <c r="X365"/>
  <c r="X321"/>
  <c r="X68"/>
  <c r="X375"/>
  <c r="X386"/>
  <c r="X478"/>
  <c r="X95"/>
  <c r="X422"/>
  <c r="X561"/>
  <c r="X359"/>
  <c r="X508"/>
  <c r="X438"/>
  <c r="X525"/>
  <c r="X447"/>
  <c r="X562"/>
  <c r="X334"/>
  <c r="X192"/>
  <c r="X97"/>
  <c r="X86"/>
  <c r="X351"/>
  <c r="X152"/>
  <c r="X230"/>
  <c r="Y230" s="1"/>
  <c r="X477"/>
  <c r="X495"/>
  <c r="X112"/>
  <c r="X245"/>
  <c r="X248"/>
  <c r="X138"/>
  <c r="X265"/>
  <c r="X448"/>
  <c r="X275"/>
  <c r="X362"/>
  <c r="X276"/>
  <c r="X536"/>
  <c r="X300"/>
  <c r="X388"/>
  <c r="X517"/>
  <c r="Y517" s="1"/>
  <c r="X380"/>
  <c r="Y380" s="1"/>
  <c r="X289"/>
  <c r="X211"/>
  <c r="X213"/>
  <c r="X560"/>
  <c r="X482"/>
  <c r="X497"/>
  <c r="Y497" s="1"/>
  <c r="X303"/>
  <c r="X272"/>
  <c r="X425"/>
  <c r="Y425" s="1"/>
  <c r="X476"/>
  <c r="X408"/>
  <c r="Y408" s="1"/>
  <c r="X417"/>
  <c r="X339"/>
  <c r="X363"/>
  <c r="X191"/>
  <c r="X183"/>
  <c r="X367"/>
  <c r="X304"/>
  <c r="X461"/>
  <c r="Y461" s="1"/>
  <c r="X383"/>
  <c r="X470"/>
  <c r="X392"/>
  <c r="X566"/>
  <c r="X279"/>
  <c r="X137"/>
  <c r="X69"/>
  <c r="X384"/>
  <c r="X107"/>
  <c r="X541"/>
  <c r="X104"/>
  <c r="X423"/>
  <c r="X176"/>
  <c r="X432"/>
  <c r="X297"/>
  <c r="X71"/>
  <c r="Y71" s="1"/>
  <c r="X488"/>
  <c r="X410"/>
  <c r="X178"/>
  <c r="X237"/>
  <c r="X441"/>
  <c r="X347"/>
  <c r="X457"/>
  <c r="X466"/>
  <c r="X490"/>
  <c r="X404"/>
  <c r="X317"/>
  <c r="Y317" s="1"/>
  <c r="X381"/>
  <c r="X543"/>
  <c r="X220"/>
  <c r="X98"/>
  <c r="X565"/>
  <c r="X247"/>
  <c r="X521"/>
  <c r="X113"/>
  <c r="Y113" s="1"/>
  <c r="X405"/>
  <c r="Y405" s="1"/>
  <c r="X454"/>
  <c r="X255"/>
  <c r="Y255" s="1"/>
  <c r="X286"/>
  <c r="X221"/>
  <c r="X469"/>
  <c r="X212"/>
  <c r="X471"/>
  <c r="X509"/>
  <c r="X523"/>
  <c r="X193"/>
  <c r="X231"/>
  <c r="X271"/>
  <c r="Y271" s="1"/>
  <c r="X292"/>
  <c r="X90"/>
  <c r="X503"/>
  <c r="X93"/>
  <c r="X102"/>
  <c r="X268"/>
  <c r="X538"/>
  <c r="X67"/>
  <c r="X144"/>
  <c r="X325"/>
  <c r="X548"/>
  <c r="X373"/>
  <c r="X544"/>
  <c r="Y544" s="1"/>
  <c r="X402"/>
  <c r="X553"/>
  <c r="X499"/>
  <c r="X357"/>
  <c r="X262"/>
  <c r="Y262" s="1"/>
  <c r="X355"/>
  <c r="X535"/>
  <c r="X551"/>
  <c r="X225"/>
  <c r="X147"/>
  <c r="Y147" s="1"/>
  <c r="X117"/>
  <c r="X290"/>
  <c r="X398"/>
  <c r="X256"/>
  <c r="X232"/>
  <c r="X420"/>
  <c r="X175"/>
  <c r="X227"/>
  <c r="X301"/>
  <c r="X139"/>
  <c r="X169"/>
  <c r="X458"/>
  <c r="X194"/>
  <c r="X389"/>
  <c r="X467"/>
  <c r="X190"/>
  <c r="R572"/>
  <c r="V571"/>
  <c r="W571" s="1"/>
  <c r="X609" s="1"/>
  <c r="V572"/>
  <c r="W572" s="1"/>
  <c r="Y726" l="1"/>
  <c r="Q726"/>
  <c r="S726"/>
  <c r="P727"/>
  <c r="V725"/>
  <c r="W725" s="1"/>
  <c r="R726"/>
  <c r="T726"/>
  <c r="U725"/>
  <c r="X724"/>
  <c r="X686"/>
  <c r="X717"/>
  <c r="X677"/>
  <c r="Y677" s="1"/>
  <c r="X693"/>
  <c r="X634"/>
  <c r="X587"/>
  <c r="X584"/>
  <c r="Y584" s="1"/>
  <c r="X654"/>
  <c r="X592"/>
  <c r="X703"/>
  <c r="X618"/>
  <c r="Y618" s="1"/>
  <c r="X690"/>
  <c r="Y690" s="1"/>
  <c r="X681"/>
  <c r="X708"/>
  <c r="X575"/>
  <c r="X641"/>
  <c r="X674"/>
  <c r="X666"/>
  <c r="Y666" s="1"/>
  <c r="X688"/>
  <c r="X670"/>
  <c r="X704"/>
  <c r="X585"/>
  <c r="X673"/>
  <c r="X645"/>
  <c r="X660"/>
  <c r="X627"/>
  <c r="X640"/>
  <c r="X700"/>
  <c r="X675"/>
  <c r="X643"/>
  <c r="X638"/>
  <c r="X682"/>
  <c r="X600"/>
  <c r="X606"/>
  <c r="X605"/>
  <c r="X698"/>
  <c r="X678"/>
  <c r="X623"/>
  <c r="X665"/>
  <c r="X658"/>
  <c r="X624"/>
  <c r="X715"/>
  <c r="X689"/>
  <c r="X610"/>
  <c r="X625"/>
  <c r="X701"/>
  <c r="X596"/>
  <c r="X721"/>
  <c r="X712"/>
  <c r="X628"/>
  <c r="X632"/>
  <c r="X656"/>
  <c r="X617"/>
  <c r="X579"/>
  <c r="X652"/>
  <c r="X615"/>
  <c r="X571"/>
  <c r="X649"/>
  <c r="X622"/>
  <c r="X626"/>
  <c r="X620"/>
  <c r="X639"/>
  <c r="X662"/>
  <c r="X676"/>
  <c r="X647"/>
  <c r="X646"/>
  <c r="X679"/>
  <c r="Y679" s="1"/>
  <c r="X594"/>
  <c r="X709"/>
  <c r="X597"/>
  <c r="X614"/>
  <c r="X672"/>
  <c r="Y672" s="1"/>
  <c r="X650"/>
  <c r="X580"/>
  <c r="X711"/>
  <c r="X589"/>
  <c r="Y589" s="1"/>
  <c r="X612"/>
  <c r="X635"/>
  <c r="Y635" s="1"/>
  <c r="X691"/>
  <c r="X707"/>
  <c r="X663"/>
  <c r="X697"/>
  <c r="X582"/>
  <c r="Y582" s="1"/>
  <c r="X599"/>
  <c r="X590"/>
  <c r="X577"/>
  <c r="X581"/>
  <c r="X722"/>
  <c r="X699"/>
  <c r="X598"/>
  <c r="X706"/>
  <c r="Y706" s="1"/>
  <c r="X669"/>
  <c r="X651"/>
  <c r="X631"/>
  <c r="X684"/>
  <c r="X719"/>
  <c r="X683"/>
  <c r="X695"/>
  <c r="X692"/>
  <c r="X694"/>
  <c r="X595"/>
  <c r="X659"/>
  <c r="X586"/>
  <c r="X648"/>
  <c r="X687"/>
  <c r="X664"/>
  <c r="X644"/>
  <c r="X696"/>
  <c r="X637"/>
  <c r="X613"/>
  <c r="X705"/>
  <c r="X636"/>
  <c r="X591"/>
  <c r="X661"/>
  <c r="Y661" s="1"/>
  <c r="X601"/>
  <c r="X583"/>
  <c r="X718"/>
  <c r="X607"/>
  <c r="X593"/>
  <c r="X642"/>
  <c r="X611"/>
  <c r="X710"/>
  <c r="Y710" s="1"/>
  <c r="X630"/>
  <c r="X608"/>
  <c r="Y608" s="1"/>
  <c r="X578"/>
  <c r="Y578" s="1"/>
  <c r="X720"/>
  <c r="X573"/>
  <c r="X685"/>
  <c r="X616"/>
  <c r="X588"/>
  <c r="X572"/>
  <c r="Y572" s="1"/>
  <c r="X619"/>
  <c r="X576"/>
  <c r="X671"/>
  <c r="X629"/>
  <c r="X602"/>
  <c r="X603"/>
  <c r="X716"/>
  <c r="X668"/>
  <c r="X574"/>
  <c r="X604"/>
  <c r="X680"/>
  <c r="X725"/>
  <c r="X667"/>
  <c r="X621"/>
  <c r="X713"/>
  <c r="X702"/>
  <c r="X714"/>
  <c r="Y714" s="1"/>
  <c r="X653"/>
  <c r="X657"/>
  <c r="X723"/>
  <c r="X655"/>
  <c r="Y655" s="1"/>
  <c r="X633"/>
  <c r="V726" l="1"/>
  <c r="W726" s="1"/>
  <c r="R727"/>
  <c r="T727"/>
  <c r="U726"/>
  <c r="Y727"/>
  <c r="P728"/>
  <c r="Q727"/>
  <c r="S727"/>
  <c r="X726" l="1"/>
  <c r="Y728"/>
  <c r="Q728"/>
  <c r="S728"/>
  <c r="P729"/>
  <c r="V727"/>
  <c r="W727" s="1"/>
  <c r="T728"/>
  <c r="U727"/>
  <c r="R728"/>
  <c r="X727" l="1"/>
  <c r="Y729"/>
  <c r="Q729"/>
  <c r="P730"/>
  <c r="S729"/>
  <c r="V728"/>
  <c r="W728" s="1"/>
  <c r="R729"/>
  <c r="T729"/>
  <c r="U728"/>
  <c r="X728" l="1"/>
  <c r="T730"/>
  <c r="U729"/>
  <c r="V729"/>
  <c r="W729" s="1"/>
  <c r="R730"/>
  <c r="Y730"/>
  <c r="Q730"/>
  <c r="P731"/>
  <c r="S730"/>
  <c r="X729"/>
  <c r="U730" l="1"/>
  <c r="V730"/>
  <c r="W730" s="1"/>
  <c r="R731"/>
  <c r="T731"/>
  <c r="Y731"/>
  <c r="S731"/>
  <c r="Q731"/>
  <c r="P732"/>
  <c r="Y732" l="1"/>
  <c r="S732"/>
  <c r="Q732"/>
  <c r="P733"/>
  <c r="X730"/>
  <c r="R732"/>
  <c r="U731"/>
  <c r="V731"/>
  <c r="W731" s="1"/>
  <c r="T732"/>
  <c r="R733" l="1"/>
  <c r="T733"/>
  <c r="U732"/>
  <c r="V732"/>
  <c r="W732" s="1"/>
  <c r="X731"/>
  <c r="Y733"/>
  <c r="S733"/>
  <c r="P734"/>
  <c r="Q733"/>
  <c r="X732"/>
  <c r="Y734" l="1"/>
  <c r="Q734"/>
  <c r="P735"/>
  <c r="S734"/>
  <c r="U733"/>
  <c r="V733"/>
  <c r="W733" s="1"/>
  <c r="T734"/>
  <c r="R734"/>
  <c r="X733" l="1"/>
  <c r="V734"/>
  <c r="W734" s="1"/>
  <c r="T735"/>
  <c r="R735"/>
  <c r="U734"/>
  <c r="Y735"/>
  <c r="S735"/>
  <c r="Q735"/>
  <c r="P736"/>
  <c r="V735" l="1"/>
  <c r="W735" s="1"/>
  <c r="R736"/>
  <c r="U735"/>
  <c r="T736"/>
  <c r="X734"/>
  <c r="Y736"/>
  <c r="S736"/>
  <c r="Q736"/>
  <c r="P737"/>
  <c r="X735" l="1"/>
  <c r="Y737"/>
  <c r="Q737"/>
  <c r="P738"/>
  <c r="S737"/>
  <c r="V736"/>
  <c r="W736" s="1"/>
  <c r="R737"/>
  <c r="U736"/>
  <c r="T737"/>
  <c r="X736" l="1"/>
  <c r="V737"/>
  <c r="W737" s="1"/>
  <c r="T738"/>
  <c r="R738"/>
  <c r="U737"/>
  <c r="Y738"/>
  <c r="S738"/>
  <c r="P739"/>
  <c r="Q738"/>
  <c r="X737" l="1"/>
  <c r="Y739"/>
  <c r="S739"/>
  <c r="Q739"/>
  <c r="P740"/>
  <c r="U738"/>
  <c r="V738"/>
  <c r="W738" s="1"/>
  <c r="R739"/>
  <c r="T739"/>
  <c r="V739" l="1"/>
  <c r="W739" s="1"/>
  <c r="R740"/>
  <c r="U739"/>
  <c r="T740"/>
  <c r="Y740"/>
  <c r="S740"/>
  <c r="P741"/>
  <c r="Q740"/>
  <c r="X738"/>
  <c r="X739" l="1"/>
  <c r="Y741"/>
  <c r="S741"/>
  <c r="P742"/>
  <c r="Q741"/>
  <c r="V740"/>
  <c r="W740" s="1"/>
  <c r="T741"/>
  <c r="U740"/>
  <c r="R741"/>
  <c r="Y742" l="1"/>
  <c r="S742"/>
  <c r="Q742"/>
  <c r="P743"/>
  <c r="T742"/>
  <c r="R742"/>
  <c r="U741"/>
  <c r="V741"/>
  <c r="W741" s="1"/>
  <c r="X740"/>
  <c r="P744" l="1"/>
  <c r="Y743"/>
  <c r="T743"/>
  <c r="S743" s="1"/>
  <c r="V742"/>
  <c r="W742" s="1"/>
  <c r="U742"/>
  <c r="R743"/>
  <c r="Q743" s="1"/>
  <c r="X741"/>
  <c r="P745" l="1"/>
  <c r="S744"/>
  <c r="Q744"/>
  <c r="X742"/>
  <c r="R744"/>
  <c r="V743"/>
  <c r="W743" s="1"/>
  <c r="U743"/>
  <c r="T744"/>
  <c r="Y745" l="1"/>
  <c r="S745"/>
  <c r="Q745"/>
  <c r="P746"/>
  <c r="X743"/>
  <c r="T745"/>
  <c r="U744"/>
  <c r="R745"/>
  <c r="V744"/>
  <c r="W744" s="1"/>
  <c r="Y746" l="1"/>
  <c r="S746"/>
  <c r="Q746"/>
  <c r="P747"/>
  <c r="X744"/>
  <c r="Y744" s="1"/>
  <c r="T746"/>
  <c r="V745"/>
  <c r="W745" s="1"/>
  <c r="R746"/>
  <c r="U745"/>
  <c r="Y747" l="1"/>
  <c r="Q747"/>
  <c r="P748"/>
  <c r="S747"/>
  <c r="R747"/>
  <c r="V746"/>
  <c r="W746" s="1"/>
  <c r="X746" s="1"/>
  <c r="T747"/>
  <c r="U746"/>
  <c r="X745"/>
  <c r="R748" l="1"/>
  <c r="V747"/>
  <c r="W747" s="1"/>
  <c r="T748"/>
  <c r="U747"/>
  <c r="Y748"/>
  <c r="Q748"/>
  <c r="P749"/>
  <c r="S748"/>
  <c r="X747" l="1"/>
  <c r="R749"/>
  <c r="T749"/>
  <c r="V748"/>
  <c r="W748" s="1"/>
  <c r="X748" s="1"/>
  <c r="U748"/>
  <c r="Y749"/>
  <c r="Q749"/>
  <c r="S749"/>
  <c r="P750"/>
  <c r="Y750" l="1"/>
  <c r="Q750"/>
  <c r="S750"/>
  <c r="P751"/>
  <c r="V749"/>
  <c r="W749" s="1"/>
  <c r="X749" s="1"/>
  <c r="U749"/>
  <c r="T750"/>
  <c r="R750"/>
  <c r="V750" l="1"/>
  <c r="W750" s="1"/>
  <c r="X750" s="1"/>
  <c r="R751"/>
  <c r="T751"/>
  <c r="U750"/>
  <c r="Y751"/>
  <c r="P752"/>
  <c r="Q751"/>
  <c r="S751"/>
  <c r="R752" l="1"/>
  <c r="V751"/>
  <c r="W751" s="1"/>
  <c r="X751" s="1"/>
  <c r="T752"/>
  <c r="U751"/>
  <c r="Y752"/>
  <c r="S752"/>
  <c r="Q752"/>
  <c r="P753"/>
  <c r="V752" l="1"/>
  <c r="W752" s="1"/>
  <c r="R753"/>
  <c r="T753"/>
  <c r="U752"/>
  <c r="Y753"/>
  <c r="Q753"/>
  <c r="P754"/>
  <c r="S753"/>
  <c r="X752" l="1"/>
  <c r="Y754"/>
  <c r="Q754"/>
  <c r="P755"/>
  <c r="S754"/>
  <c r="V753"/>
  <c r="W753" s="1"/>
  <c r="X753" s="1"/>
  <c r="R754"/>
  <c r="T754"/>
  <c r="U753"/>
  <c r="U754" l="1"/>
  <c r="R755"/>
  <c r="V754"/>
  <c r="W754" s="1"/>
  <c r="T755"/>
  <c r="Y755"/>
  <c r="S755"/>
  <c r="P756"/>
  <c r="Q755"/>
  <c r="Y756" l="1"/>
  <c r="Q756"/>
  <c r="P757"/>
  <c r="S756"/>
  <c r="V755"/>
  <c r="W755" s="1"/>
  <c r="R756"/>
  <c r="T756"/>
  <c r="U755"/>
  <c r="X754"/>
  <c r="V756" l="1"/>
  <c r="W756" s="1"/>
  <c r="R757"/>
  <c r="T757"/>
  <c r="U756"/>
  <c r="Y757"/>
  <c r="S757"/>
  <c r="P758"/>
  <c r="Q757"/>
  <c r="X755"/>
  <c r="X756" l="1"/>
  <c r="Y758"/>
  <c r="Q758"/>
  <c r="S758"/>
  <c r="P759"/>
  <c r="T758"/>
  <c r="U757"/>
  <c r="V757"/>
  <c r="W757" s="1"/>
  <c r="R758"/>
  <c r="X757" l="1"/>
  <c r="U758"/>
  <c r="R759"/>
  <c r="Q759" s="1"/>
  <c r="V758"/>
  <c r="W758" s="1"/>
  <c r="T759"/>
  <c r="S759" s="1"/>
  <c r="P760"/>
  <c r="Y759"/>
  <c r="X758" l="1"/>
  <c r="U759"/>
  <c r="T760"/>
  <c r="R760"/>
  <c r="V759"/>
  <c r="W759" s="1"/>
  <c r="Q760"/>
  <c r="S760"/>
  <c r="P761"/>
  <c r="Y761" l="1"/>
  <c r="Q761"/>
  <c r="S761"/>
  <c r="P762"/>
  <c r="X759"/>
  <c r="U760"/>
  <c r="R761"/>
  <c r="T761"/>
  <c r="V760"/>
  <c r="W760" s="1"/>
  <c r="X760" s="1"/>
  <c r="Y760" s="1"/>
  <c r="R762" l="1"/>
  <c r="T762"/>
  <c r="U761"/>
  <c r="V761"/>
  <c r="W761" s="1"/>
  <c r="X761" s="1"/>
  <c r="Y762"/>
  <c r="Q762"/>
  <c r="S762"/>
  <c r="P763"/>
  <c r="T763" l="1"/>
  <c r="R763"/>
  <c r="V762"/>
  <c r="W762" s="1"/>
  <c r="X762" s="1"/>
  <c r="U762"/>
  <c r="Y763"/>
  <c r="S763"/>
  <c r="Q763"/>
  <c r="P764"/>
  <c r="V763" l="1"/>
  <c r="W763" s="1"/>
  <c r="X763" s="1"/>
  <c r="R764"/>
  <c r="U763"/>
  <c r="T764"/>
  <c r="Y764"/>
  <c r="Q764"/>
  <c r="S764"/>
  <c r="P765"/>
  <c r="V764" l="1"/>
  <c r="W764" s="1"/>
  <c r="X764" s="1"/>
  <c r="R765"/>
  <c r="T765"/>
  <c r="U764"/>
  <c r="Y765"/>
  <c r="S765"/>
  <c r="P766"/>
  <c r="Q765"/>
  <c r="Y766" l="1"/>
  <c r="Q766"/>
  <c r="S766"/>
  <c r="P767"/>
  <c r="R766"/>
  <c r="T766"/>
  <c r="V765"/>
  <c r="W765" s="1"/>
  <c r="X765" s="1"/>
  <c r="U765"/>
  <c r="T767" l="1"/>
  <c r="R767"/>
  <c r="V766"/>
  <c r="W766" s="1"/>
  <c r="X766" s="1"/>
  <c r="U766"/>
  <c r="Y767"/>
  <c r="Q767"/>
  <c r="S767"/>
  <c r="P768"/>
  <c r="R768" l="1"/>
  <c r="T768"/>
  <c r="U767"/>
  <c r="V767"/>
  <c r="W767" s="1"/>
  <c r="X767" s="1"/>
  <c r="Y768"/>
  <c r="S768"/>
  <c r="P769"/>
  <c r="Q768"/>
  <c r="Y769" l="1"/>
  <c r="Q769"/>
  <c r="S769"/>
  <c r="P770"/>
  <c r="R769"/>
  <c r="T769"/>
  <c r="U768"/>
  <c r="V768"/>
  <c r="W768" s="1"/>
  <c r="X768" s="1"/>
  <c r="V769" l="1"/>
  <c r="W769" s="1"/>
  <c r="X769" s="1"/>
  <c r="R770"/>
  <c r="T770"/>
  <c r="U769"/>
  <c r="Y770"/>
  <c r="S770"/>
  <c r="P771"/>
  <c r="Q770"/>
  <c r="Y771" l="1"/>
  <c r="S771"/>
  <c r="Q771"/>
  <c r="P772"/>
  <c r="U770"/>
  <c r="R771"/>
  <c r="T771"/>
  <c r="V770"/>
  <c r="W770" s="1"/>
  <c r="X770" s="1"/>
  <c r="Y772" l="1"/>
  <c r="P773"/>
  <c r="Q772"/>
  <c r="S772"/>
  <c r="R772"/>
  <c r="U771"/>
  <c r="V771"/>
  <c r="W771" s="1"/>
  <c r="X771" s="1"/>
  <c r="T772"/>
  <c r="V772" l="1"/>
  <c r="W772" s="1"/>
  <c r="X772" s="1"/>
  <c r="R773"/>
  <c r="T773"/>
  <c r="U772"/>
  <c r="Y773"/>
  <c r="S773"/>
  <c r="P774"/>
  <c r="Q773"/>
  <c r="Y774" l="1"/>
  <c r="Q774"/>
  <c r="S774"/>
  <c r="P775"/>
  <c r="R774"/>
  <c r="T774"/>
  <c r="U773"/>
  <c r="V773"/>
  <c r="W773" s="1"/>
  <c r="X773" s="1"/>
  <c r="R775" l="1"/>
  <c r="Q775" s="1"/>
  <c r="T775"/>
  <c r="S775" s="1"/>
  <c r="V774"/>
  <c r="W774" s="1"/>
  <c r="X774" s="1"/>
  <c r="U774"/>
  <c r="P776"/>
  <c r="Y775"/>
  <c r="U775" l="1"/>
  <c r="T776"/>
  <c r="V775"/>
  <c r="W775" s="1"/>
  <c r="X775" s="1"/>
  <c r="R776"/>
  <c r="Q776"/>
  <c r="S776"/>
  <c r="P777"/>
  <c r="T777" l="1"/>
  <c r="U776"/>
  <c r="R777"/>
  <c r="V776"/>
  <c r="W776" s="1"/>
  <c r="X776" s="1"/>
  <c r="Y776" s="1"/>
  <c r="Y777"/>
  <c r="Q777"/>
  <c r="S777"/>
  <c r="P778"/>
  <c r="R778" l="1"/>
  <c r="T778"/>
  <c r="U777"/>
  <c r="V777"/>
  <c r="W777" s="1"/>
  <c r="X777" s="1"/>
  <c r="Y778"/>
  <c r="Q778"/>
  <c r="S778"/>
  <c r="P779"/>
  <c r="R779" l="1"/>
  <c r="V778"/>
  <c r="W778" s="1"/>
  <c r="X778" s="1"/>
  <c r="T779"/>
  <c r="U778"/>
  <c r="Y779"/>
  <c r="Q779"/>
  <c r="S779"/>
  <c r="P780"/>
  <c r="T780" l="1"/>
  <c r="U779"/>
  <c r="V779"/>
  <c r="W779" s="1"/>
  <c r="X779" s="1"/>
  <c r="R780"/>
  <c r="Y780"/>
  <c r="Q780"/>
  <c r="S780"/>
  <c r="P781"/>
  <c r="U780" l="1"/>
  <c r="R781"/>
  <c r="V780"/>
  <c r="W780" s="1"/>
  <c r="X780" s="1"/>
  <c r="T781"/>
  <c r="Y781"/>
  <c r="S781"/>
  <c r="Q781"/>
  <c r="P782"/>
  <c r="V781" l="1"/>
  <c r="W781" s="1"/>
  <c r="X781" s="1"/>
  <c r="T782"/>
  <c r="R782"/>
  <c r="U781"/>
  <c r="Y782"/>
  <c r="P783"/>
  <c r="Q782"/>
  <c r="S782"/>
  <c r="R783" l="1"/>
  <c r="V782"/>
  <c r="W782" s="1"/>
  <c r="X782" s="1"/>
  <c r="T783"/>
  <c r="U782"/>
  <c r="Y783"/>
  <c r="S783"/>
  <c r="P784"/>
  <c r="Q783"/>
  <c r="Y784" l="1"/>
  <c r="S784"/>
  <c r="Q784"/>
  <c r="P785"/>
  <c r="V783"/>
  <c r="W783" s="1"/>
  <c r="X783" s="1"/>
  <c r="R784"/>
  <c r="T784"/>
  <c r="U783"/>
  <c r="T785" l="1"/>
  <c r="U784"/>
  <c r="R785"/>
  <c r="V784"/>
  <c r="W784" s="1"/>
  <c r="X784" s="1"/>
  <c r="Y785"/>
  <c r="S785"/>
  <c r="Q785"/>
  <c r="P786"/>
  <c r="R786" l="1"/>
  <c r="T786"/>
  <c r="U785"/>
  <c r="V785"/>
  <c r="W785" s="1"/>
  <c r="X785" s="1"/>
  <c r="Y786"/>
  <c r="Q786"/>
  <c r="S786"/>
  <c r="P787"/>
  <c r="V786" l="1"/>
  <c r="W786" s="1"/>
  <c r="X786" s="1"/>
  <c r="R787"/>
  <c r="T787"/>
  <c r="U786"/>
  <c r="Y787"/>
  <c r="Q787"/>
  <c r="P788"/>
  <c r="S787"/>
  <c r="Y788" l="1"/>
  <c r="Q788"/>
  <c r="P789"/>
  <c r="S788"/>
  <c r="V787"/>
  <c r="W787" s="1"/>
  <c r="X787" s="1"/>
  <c r="R788"/>
  <c r="T788"/>
  <c r="U787"/>
  <c r="V788" l="1"/>
  <c r="W788" s="1"/>
  <c r="X788" s="1"/>
  <c r="T789"/>
  <c r="R789"/>
  <c r="U788"/>
  <c r="Y789"/>
  <c r="S789"/>
  <c r="Q789"/>
  <c r="P790"/>
  <c r="U789" l="1"/>
  <c r="V789"/>
  <c r="W789" s="1"/>
  <c r="X789" s="1"/>
  <c r="R790"/>
  <c r="T790"/>
  <c r="Y790"/>
  <c r="S790"/>
  <c r="Q790"/>
  <c r="P791"/>
  <c r="R791" l="1"/>
  <c r="V790"/>
  <c r="W790" s="1"/>
  <c r="X790" s="1"/>
  <c r="U790"/>
  <c r="T791"/>
  <c r="Y791"/>
  <c r="S791"/>
  <c r="P792"/>
  <c r="Q791"/>
  <c r="Y792" l="1"/>
  <c r="Q792"/>
  <c r="S792"/>
  <c r="P793"/>
  <c r="R792"/>
  <c r="V791"/>
  <c r="W791" s="1"/>
  <c r="X791" s="1"/>
  <c r="T792"/>
  <c r="U791"/>
  <c r="Y793" l="1"/>
  <c r="Q793"/>
  <c r="S793"/>
  <c r="P794"/>
  <c r="T793"/>
  <c r="U792"/>
  <c r="R793"/>
  <c r="V792"/>
  <c r="W792" s="1"/>
  <c r="X792" s="1"/>
  <c r="R794" l="1"/>
  <c r="T794"/>
  <c r="U793"/>
  <c r="V793"/>
  <c r="W793" s="1"/>
  <c r="X793" s="1"/>
  <c r="Y794"/>
  <c r="S794"/>
  <c r="Q794"/>
  <c r="P795"/>
  <c r="U794" l="1"/>
  <c r="R795"/>
  <c r="Q795" s="1"/>
  <c r="V794"/>
  <c r="W794" s="1"/>
  <c r="X794" s="1"/>
  <c r="T795"/>
  <c r="S795" s="1"/>
  <c r="P796"/>
  <c r="Y795"/>
  <c r="R796" l="1"/>
  <c r="Q796" s="1"/>
  <c r="V795"/>
  <c r="W795" s="1"/>
  <c r="X795" s="1"/>
  <c r="U795"/>
  <c r="T796"/>
  <c r="S796" s="1"/>
  <c r="P797"/>
  <c r="Y796"/>
  <c r="V796" l="1"/>
  <c r="W796" s="1"/>
  <c r="X796" s="1"/>
  <c r="T797"/>
  <c r="R797"/>
  <c r="U796"/>
  <c r="S797"/>
  <c r="Q797"/>
  <c r="P798"/>
  <c r="T798" l="1"/>
  <c r="R798"/>
  <c r="U797"/>
  <c r="V797"/>
  <c r="W797" s="1"/>
  <c r="X797" s="1"/>
  <c r="Y797" s="1"/>
  <c r="Y798"/>
  <c r="P799"/>
  <c r="S798"/>
  <c r="Q798"/>
  <c r="Y799" l="1"/>
  <c r="Q799"/>
  <c r="S799"/>
  <c r="P800"/>
  <c r="R799"/>
  <c r="V798"/>
  <c r="W798" s="1"/>
  <c r="X798" s="1"/>
  <c r="T799"/>
  <c r="U798"/>
  <c r="Y800" l="1"/>
  <c r="S800"/>
  <c r="Q800"/>
  <c r="P801"/>
  <c r="T800"/>
  <c r="U799"/>
  <c r="R800"/>
  <c r="V799"/>
  <c r="W799" s="1"/>
  <c r="X799" s="1"/>
  <c r="Y801" l="1"/>
  <c r="Q801"/>
  <c r="S801"/>
  <c r="P802"/>
  <c r="U800"/>
  <c r="R801"/>
  <c r="T801"/>
  <c r="V800"/>
  <c r="W800" s="1"/>
  <c r="X800" s="1"/>
  <c r="R802" l="1"/>
  <c r="T802"/>
  <c r="U801"/>
  <c r="V801"/>
  <c r="W801" s="1"/>
  <c r="X801" s="1"/>
  <c r="Y802"/>
  <c r="Q802"/>
  <c r="S802"/>
  <c r="P803"/>
  <c r="U802" l="1"/>
  <c r="R803"/>
  <c r="V802"/>
  <c r="W802" s="1"/>
  <c r="X802" s="1"/>
  <c r="T803"/>
  <c r="Y803"/>
  <c r="S803"/>
  <c r="Q803"/>
  <c r="P804"/>
  <c r="V803" l="1"/>
  <c r="W803" s="1"/>
  <c r="X803" s="1"/>
  <c r="R804"/>
  <c r="U803"/>
  <c r="T804"/>
  <c r="Y804"/>
  <c r="P805"/>
  <c r="Q804"/>
  <c r="S804"/>
  <c r="Y805" l="1"/>
  <c r="S805"/>
  <c r="Q805"/>
  <c r="P806"/>
  <c r="R805"/>
  <c r="U804"/>
  <c r="V804"/>
  <c r="W804" s="1"/>
  <c r="X804" s="1"/>
  <c r="T805"/>
  <c r="R806" l="1"/>
  <c r="U805"/>
  <c r="V805"/>
  <c r="W805" s="1"/>
  <c r="X805" s="1"/>
  <c r="T806"/>
  <c r="Y806"/>
  <c r="S806"/>
  <c r="Q806"/>
  <c r="P807"/>
  <c r="V806" l="1"/>
  <c r="W806" s="1"/>
  <c r="X806" s="1"/>
  <c r="R807"/>
  <c r="T807"/>
  <c r="U806"/>
  <c r="Y807"/>
  <c r="Q807"/>
  <c r="P808"/>
  <c r="S807"/>
  <c r="P809" l="1"/>
  <c r="Y808"/>
  <c r="U807"/>
  <c r="V807"/>
  <c r="W807" s="1"/>
  <c r="X807" s="1"/>
  <c r="T808"/>
  <c r="S808" s="1"/>
  <c r="R808"/>
  <c r="Q808" s="1"/>
  <c r="Q809" l="1"/>
  <c r="S809"/>
  <c r="P810"/>
  <c r="U808"/>
  <c r="T809"/>
  <c r="V808"/>
  <c r="W808" s="1"/>
  <c r="X808" s="1"/>
  <c r="R809"/>
  <c r="U809" l="1"/>
  <c r="T810"/>
  <c r="R810"/>
  <c r="V809"/>
  <c r="W809" s="1"/>
  <c r="X809" s="1"/>
  <c r="Y809" s="1"/>
  <c r="Y810"/>
  <c r="Q810"/>
  <c r="S810"/>
  <c r="P811"/>
  <c r="V810" l="1"/>
  <c r="W810" s="1"/>
  <c r="X810" s="1"/>
  <c r="R811"/>
  <c r="T811"/>
  <c r="U810"/>
  <c r="Y811"/>
  <c r="S811"/>
  <c r="Q811"/>
  <c r="P812"/>
  <c r="R812" l="1"/>
  <c r="V811"/>
  <c r="W811" s="1"/>
  <c r="X811" s="1"/>
  <c r="T812"/>
  <c r="U811"/>
  <c r="Y812"/>
  <c r="S812"/>
  <c r="P813"/>
  <c r="Q812"/>
  <c r="P814" l="1"/>
  <c r="Y813"/>
  <c r="R813"/>
  <c r="Q813" s="1"/>
  <c r="U812"/>
  <c r="V812"/>
  <c r="W812" s="1"/>
  <c r="X812" s="1"/>
  <c r="T813"/>
  <c r="S813" s="1"/>
  <c r="Q814" l="1"/>
  <c r="P815"/>
  <c r="S814"/>
  <c r="T814"/>
  <c r="R814"/>
  <c r="V813"/>
  <c r="W813" s="1"/>
  <c r="X813" s="1"/>
  <c r="U813"/>
  <c r="R815" l="1"/>
  <c r="T815"/>
  <c r="U814"/>
  <c r="V814"/>
  <c r="W814" s="1"/>
  <c r="X814" s="1"/>
  <c r="Y814" s="1"/>
  <c r="Y815"/>
  <c r="S815"/>
  <c r="Q815"/>
  <c r="P816"/>
  <c r="R816" l="1"/>
  <c r="V815"/>
  <c r="W815" s="1"/>
  <c r="X815" s="1"/>
  <c r="T816"/>
  <c r="U815"/>
  <c r="Y816"/>
  <c r="Q816"/>
  <c r="P817"/>
  <c r="S816"/>
  <c r="Y817" l="1"/>
  <c r="Q817"/>
  <c r="P818"/>
  <c r="S817"/>
  <c r="R817"/>
  <c r="U816"/>
  <c r="V816"/>
  <c r="W816" s="1"/>
  <c r="X816" s="1"/>
  <c r="T817"/>
  <c r="R818" l="1"/>
  <c r="T818"/>
  <c r="U817"/>
  <c r="V817"/>
  <c r="W817" s="1"/>
  <c r="X817" s="1"/>
  <c r="Y818"/>
  <c r="S818"/>
  <c r="P819"/>
  <c r="Q818"/>
  <c r="Y819" l="1"/>
  <c r="Q819"/>
  <c r="P820"/>
  <c r="S819"/>
  <c r="T819"/>
  <c r="V818"/>
  <c r="W818" s="1"/>
  <c r="X818" s="1"/>
  <c r="R819"/>
  <c r="U818"/>
  <c r="V819" l="1"/>
  <c r="W819" s="1"/>
  <c r="X819" s="1"/>
  <c r="T820"/>
  <c r="R820"/>
  <c r="U819"/>
  <c r="Y820"/>
  <c r="Q820"/>
  <c r="S820"/>
  <c r="P821"/>
  <c r="V820" l="1"/>
  <c r="W820" s="1"/>
  <c r="X820" s="1"/>
  <c r="T821"/>
  <c r="R821"/>
  <c r="U820"/>
  <c r="Y821"/>
  <c r="P822"/>
  <c r="Q821"/>
  <c r="S821"/>
  <c r="Y822" l="1"/>
  <c r="Q822"/>
  <c r="S822"/>
  <c r="P823"/>
  <c r="V821"/>
  <c r="W821" s="1"/>
  <c r="X821" s="1"/>
  <c r="R822"/>
  <c r="U821"/>
  <c r="T822"/>
  <c r="V822" l="1"/>
  <c r="W822" s="1"/>
  <c r="X822" s="1"/>
  <c r="R823"/>
  <c r="T823"/>
  <c r="U822"/>
  <c r="Y823"/>
  <c r="Q823"/>
  <c r="P824"/>
  <c r="S823"/>
  <c r="Y824" l="1"/>
  <c r="S824"/>
  <c r="P825"/>
  <c r="Q824"/>
  <c r="V823"/>
  <c r="W823" s="1"/>
  <c r="X823" s="1"/>
  <c r="U823"/>
  <c r="R824"/>
  <c r="T824"/>
  <c r="Y825" l="1"/>
  <c r="Q825"/>
  <c r="P826"/>
  <c r="S825"/>
  <c r="V824"/>
  <c r="W824" s="1"/>
  <c r="X824" s="1"/>
  <c r="R825"/>
  <c r="U824"/>
  <c r="T825"/>
  <c r="R826" l="1"/>
  <c r="T826"/>
  <c r="V825"/>
  <c r="W825" s="1"/>
  <c r="X825" s="1"/>
  <c r="U825"/>
  <c r="Y826"/>
  <c r="S826"/>
  <c r="P827"/>
  <c r="Q826"/>
  <c r="Y827" l="1"/>
  <c r="Q827"/>
  <c r="S827"/>
  <c r="P828"/>
  <c r="R827"/>
  <c r="V826"/>
  <c r="W826" s="1"/>
  <c r="X826" s="1"/>
  <c r="T827"/>
  <c r="U826"/>
  <c r="T828" l="1"/>
  <c r="U827"/>
  <c r="R828"/>
  <c r="V827"/>
  <c r="W827" s="1"/>
  <c r="X827" s="1"/>
  <c r="Y828"/>
  <c r="Q828"/>
  <c r="S828"/>
  <c r="P829"/>
  <c r="U828" l="1"/>
  <c r="T829"/>
  <c r="V828"/>
  <c r="W828" s="1"/>
  <c r="X828" s="1"/>
  <c r="R829"/>
  <c r="Y829"/>
  <c r="Q829"/>
  <c r="S829"/>
  <c r="P830"/>
  <c r="U829" l="1"/>
  <c r="V829"/>
  <c r="W829" s="1"/>
  <c r="X829" s="1"/>
  <c r="T830"/>
  <c r="R830"/>
  <c r="Y830"/>
  <c r="P831"/>
  <c r="Q830"/>
  <c r="S830"/>
  <c r="Y831" l="1"/>
  <c r="S831"/>
  <c r="P832"/>
  <c r="Q831"/>
  <c r="V830"/>
  <c r="W830" s="1"/>
  <c r="X830" s="1"/>
  <c r="R831"/>
  <c r="T831"/>
  <c r="U830"/>
  <c r="R832" l="1"/>
  <c r="V831"/>
  <c r="W831" s="1"/>
  <c r="X831" s="1"/>
  <c r="T832"/>
  <c r="U831"/>
  <c r="Y832"/>
  <c r="Q832"/>
  <c r="P833"/>
  <c r="S832"/>
  <c r="Y833" l="1"/>
  <c r="Q833"/>
  <c r="S833"/>
  <c r="P834"/>
  <c r="R833"/>
  <c r="V832"/>
  <c r="W832" s="1"/>
  <c r="X832" s="1"/>
  <c r="T833"/>
  <c r="U832"/>
  <c r="Y834" l="1"/>
  <c r="S834"/>
  <c r="P835"/>
  <c r="Q834"/>
  <c r="R834"/>
  <c r="V833"/>
  <c r="W833" s="1"/>
  <c r="X833" s="1"/>
  <c r="T834"/>
  <c r="U833"/>
  <c r="Y835" l="1"/>
  <c r="S835"/>
  <c r="Q835"/>
  <c r="P836"/>
  <c r="R835"/>
  <c r="T835"/>
  <c r="U834"/>
  <c r="V834"/>
  <c r="W834" s="1"/>
  <c r="X834" s="1"/>
  <c r="R836" l="1"/>
  <c r="V835"/>
  <c r="W835" s="1"/>
  <c r="X835" s="1"/>
  <c r="T836"/>
  <c r="U835"/>
  <c r="Y836"/>
  <c r="S836"/>
  <c r="P837"/>
  <c r="Q836"/>
  <c r="Y837" l="1"/>
  <c r="S837"/>
  <c r="P838"/>
  <c r="Q837"/>
  <c r="V836"/>
  <c r="W836" s="1"/>
  <c r="X836" s="1"/>
  <c r="R837"/>
  <c r="T837"/>
  <c r="U836"/>
  <c r="V837" l="1"/>
  <c r="W837" s="1"/>
  <c r="X837" s="1"/>
  <c r="R838"/>
  <c r="T838"/>
  <c r="U837"/>
  <c r="Y838"/>
  <c r="S838"/>
  <c r="P839"/>
  <c r="Q838"/>
  <c r="Y839" l="1"/>
  <c r="Q839"/>
  <c r="S839"/>
  <c r="P840"/>
  <c r="U838"/>
  <c r="R839"/>
  <c r="V838"/>
  <c r="W838" s="1"/>
  <c r="X838" s="1"/>
  <c r="T839"/>
  <c r="Y840" l="1"/>
  <c r="P841"/>
  <c r="Q840"/>
  <c r="S840"/>
  <c r="V839"/>
  <c r="W839" s="1"/>
  <c r="X839" s="1"/>
  <c r="T840"/>
  <c r="R840"/>
  <c r="U839"/>
  <c r="Y841" l="1"/>
  <c r="Q841"/>
  <c r="P842"/>
  <c r="S841"/>
  <c r="R841"/>
  <c r="T841"/>
  <c r="V840"/>
  <c r="W840" s="1"/>
  <c r="X840" s="1"/>
  <c r="U840"/>
  <c r="V841" l="1"/>
  <c r="W841" s="1"/>
  <c r="X841" s="1"/>
  <c r="R842"/>
  <c r="T842"/>
  <c r="U841"/>
  <c r="Y842"/>
  <c r="S842"/>
  <c r="P843"/>
  <c r="Q842"/>
  <c r="Y843" l="1"/>
  <c r="Q843"/>
  <c r="S843"/>
  <c r="P844"/>
  <c r="R843"/>
  <c r="V842"/>
  <c r="W842" s="1"/>
  <c r="X842" s="1"/>
  <c r="T843"/>
  <c r="U842"/>
  <c r="V843" l="1"/>
  <c r="W843" s="1"/>
  <c r="X843" s="1"/>
  <c r="R844"/>
  <c r="T844"/>
  <c r="U843"/>
  <c r="Y844"/>
  <c r="P845"/>
  <c r="Q844"/>
  <c r="S844"/>
  <c r="U844" l="1"/>
  <c r="V844"/>
  <c r="W844" s="1"/>
  <c r="X844" s="1"/>
  <c r="R845"/>
  <c r="T845"/>
  <c r="Y845"/>
  <c r="Q845"/>
  <c r="S845"/>
  <c r="P846"/>
  <c r="V845" l="1"/>
  <c r="W845" s="1"/>
  <c r="X845" s="1"/>
  <c r="T846"/>
  <c r="R846"/>
  <c r="U845"/>
  <c r="Y846"/>
  <c r="Q846"/>
  <c r="S846"/>
  <c r="P847"/>
  <c r="V846" l="1"/>
  <c r="W846" s="1"/>
  <c r="X846" s="1"/>
  <c r="R847"/>
  <c r="T847"/>
  <c r="U846"/>
  <c r="Y847"/>
  <c r="Q847"/>
  <c r="S847"/>
  <c r="P848"/>
  <c r="T848" l="1"/>
  <c r="R848"/>
  <c r="U847"/>
  <c r="V847"/>
  <c r="W847" s="1"/>
  <c r="X847" s="1"/>
  <c r="Y848"/>
  <c r="Q848"/>
  <c r="P849"/>
  <c r="S848"/>
  <c r="Y849" l="1"/>
  <c r="Q849"/>
  <c r="P850"/>
  <c r="S849"/>
  <c r="T849"/>
  <c r="R849"/>
  <c r="U848"/>
  <c r="V848"/>
  <c r="W848" s="1"/>
  <c r="X848" s="1"/>
  <c r="R850" l="1"/>
  <c r="V849"/>
  <c r="W849" s="1"/>
  <c r="X849" s="1"/>
  <c r="T850"/>
  <c r="U849"/>
  <c r="Y850"/>
  <c r="S850"/>
  <c r="P851"/>
  <c r="Q850"/>
  <c r="Y851" l="1"/>
  <c r="S851"/>
  <c r="Q851"/>
  <c r="P852"/>
  <c r="V850"/>
  <c r="W850" s="1"/>
  <c r="X850" s="1"/>
  <c r="R851"/>
  <c r="T851"/>
  <c r="U850"/>
  <c r="R852" l="1"/>
  <c r="U851"/>
  <c r="T852"/>
  <c r="V851"/>
  <c r="W851" s="1"/>
  <c r="X851" s="1"/>
  <c r="Y852"/>
  <c r="Q852"/>
  <c r="S852"/>
  <c r="P853"/>
  <c r="V852" l="1"/>
  <c r="W852" s="1"/>
  <c r="X852" s="1"/>
  <c r="T853"/>
  <c r="R853"/>
  <c r="U852"/>
  <c r="Y853"/>
  <c r="S853"/>
  <c r="P854"/>
  <c r="Q853"/>
  <c r="Y854" l="1"/>
  <c r="Q854"/>
  <c r="P855"/>
  <c r="S854"/>
  <c r="V853"/>
  <c r="W853" s="1"/>
  <c r="X853" s="1"/>
  <c r="R854"/>
  <c r="T854"/>
  <c r="U853"/>
  <c r="V854" l="1"/>
  <c r="W854" s="1"/>
  <c r="X854" s="1"/>
  <c r="T855"/>
  <c r="U854"/>
  <c r="R855"/>
  <c r="Y855"/>
  <c r="S855"/>
  <c r="P856"/>
  <c r="Q855"/>
  <c r="Y856" l="1"/>
  <c r="Q856"/>
  <c r="S856"/>
  <c r="P857"/>
  <c r="U855"/>
  <c r="R856"/>
  <c r="T856"/>
  <c r="V855"/>
  <c r="W855" s="1"/>
  <c r="X855" s="1"/>
  <c r="Y857" l="1"/>
  <c r="S857"/>
  <c r="P858"/>
  <c r="Q857"/>
  <c r="U856"/>
  <c r="R857"/>
  <c r="V856"/>
  <c r="W856" s="1"/>
  <c r="X856" s="1"/>
  <c r="T857"/>
  <c r="Y858" l="1"/>
  <c r="Q858"/>
  <c r="S858"/>
  <c r="P859"/>
  <c r="R858"/>
  <c r="T858"/>
  <c r="U857"/>
  <c r="V857"/>
  <c r="W857" s="1"/>
  <c r="X857" s="1"/>
  <c r="Y859" l="1"/>
  <c r="S859"/>
  <c r="P860"/>
  <c r="Q859"/>
  <c r="R859"/>
  <c r="U858"/>
  <c r="V858"/>
  <c r="W858" s="1"/>
  <c r="X858" s="1"/>
  <c r="T859"/>
  <c r="R860" l="1"/>
  <c r="T860"/>
  <c r="U859"/>
  <c r="V859"/>
  <c r="W859" s="1"/>
  <c r="X859" s="1"/>
  <c r="Y860"/>
  <c r="P861"/>
  <c r="Q860"/>
  <c r="S860"/>
  <c r="V860" l="1"/>
  <c r="W860" s="1"/>
  <c r="X860" s="1"/>
  <c r="R861"/>
  <c r="T861"/>
  <c r="U860"/>
  <c r="Y861"/>
  <c r="Q861"/>
  <c r="P862"/>
  <c r="S861"/>
  <c r="Y862" l="1"/>
  <c r="Q862"/>
  <c r="S862"/>
  <c r="P863"/>
  <c r="R862"/>
  <c r="V861"/>
  <c r="W861" s="1"/>
  <c r="X861" s="1"/>
  <c r="T862"/>
  <c r="U861"/>
  <c r="T863" l="1"/>
  <c r="R863"/>
  <c r="U862"/>
  <c r="V862"/>
  <c r="W862" s="1"/>
  <c r="X862" s="1"/>
  <c r="Y863"/>
  <c r="S863"/>
  <c r="Q863"/>
  <c r="P864"/>
  <c r="R864" l="1"/>
  <c r="V863"/>
  <c r="W863" s="1"/>
  <c r="X863" s="1"/>
  <c r="T864"/>
  <c r="U863"/>
  <c r="Y864"/>
  <c r="Q864"/>
  <c r="S864"/>
  <c r="P865"/>
  <c r="V864" l="1"/>
  <c r="W864" s="1"/>
  <c r="X864" s="1"/>
  <c r="R865"/>
  <c r="T865"/>
  <c r="U864"/>
  <c r="Y865"/>
  <c r="S865"/>
  <c r="Q865"/>
  <c r="P866"/>
  <c r="R866" l="1"/>
  <c r="U865"/>
  <c r="V865"/>
  <c r="W865" s="1"/>
  <c r="X865" s="1"/>
  <c r="T866"/>
  <c r="Y866"/>
  <c r="Q866"/>
  <c r="S866"/>
  <c r="P867"/>
  <c r="V866" l="1"/>
  <c r="W866" s="1"/>
  <c r="X866" s="1"/>
  <c r="R867"/>
  <c r="U866"/>
  <c r="T867"/>
  <c r="Y867"/>
  <c r="P868"/>
  <c r="S867"/>
  <c r="Q867"/>
  <c r="Y868" l="1"/>
  <c r="Q868"/>
  <c r="S868"/>
  <c r="P869"/>
  <c r="T868"/>
  <c r="V867"/>
  <c r="W867" s="1"/>
  <c r="X867" s="1"/>
  <c r="R868"/>
  <c r="U867"/>
  <c r="Y869" l="1"/>
  <c r="Q869"/>
  <c r="S869"/>
  <c r="P870"/>
  <c r="V868"/>
  <c r="W868" s="1"/>
  <c r="X868" s="1"/>
  <c r="R869"/>
  <c r="T869"/>
  <c r="U868"/>
  <c r="V869" l="1"/>
  <c r="W869" s="1"/>
  <c r="X869" s="1"/>
  <c r="T870"/>
  <c r="U869"/>
  <c r="R870"/>
  <c r="Y870"/>
  <c r="Q870"/>
  <c r="P871"/>
  <c r="S870"/>
  <c r="Y871" l="1"/>
  <c r="S871"/>
  <c r="P872"/>
  <c r="Q871"/>
  <c r="V870"/>
  <c r="W870" s="1"/>
  <c r="X870" s="1"/>
  <c r="R871"/>
  <c r="T871"/>
  <c r="U870"/>
  <c r="V871" l="1"/>
  <c r="W871" s="1"/>
  <c r="X871" s="1"/>
  <c r="R872"/>
  <c r="T872"/>
  <c r="U871"/>
  <c r="Y872"/>
  <c r="Q872"/>
  <c r="S872"/>
  <c r="P873"/>
  <c r="V872" l="1"/>
  <c r="W872" s="1"/>
  <c r="X872" s="1"/>
  <c r="R873"/>
  <c r="U872"/>
  <c r="T873"/>
  <c r="Y873"/>
  <c r="S873"/>
  <c r="Q873"/>
  <c r="P874"/>
  <c r="R874" l="1"/>
  <c r="V873"/>
  <c r="W873" s="1"/>
  <c r="X873" s="1"/>
  <c r="T874"/>
  <c r="U873"/>
  <c r="Y874"/>
  <c r="Q874"/>
  <c r="S874"/>
  <c r="P875"/>
  <c r="T875" l="1"/>
  <c r="U874"/>
  <c r="R875"/>
  <c r="V874"/>
  <c r="W874" s="1"/>
  <c r="X874" s="1"/>
  <c r="Y875"/>
  <c r="Q875"/>
  <c r="S875"/>
  <c r="P876"/>
  <c r="U875" l="1"/>
  <c r="R876"/>
  <c r="V875"/>
  <c r="W875" s="1"/>
  <c r="X875" s="1"/>
  <c r="T876"/>
  <c r="Y876"/>
  <c r="Q876"/>
  <c r="S876"/>
  <c r="P877"/>
  <c r="U876" l="1"/>
  <c r="V876"/>
  <c r="W876" s="1"/>
  <c r="X876" s="1"/>
  <c r="T877"/>
  <c r="R877"/>
  <c r="Y877"/>
  <c r="S877"/>
  <c r="Q877"/>
  <c r="P878"/>
  <c r="R878" l="1"/>
  <c r="T878"/>
  <c r="U877"/>
  <c r="V877"/>
  <c r="W877" s="1"/>
  <c r="X877" s="1"/>
  <c r="Y878"/>
  <c r="P879"/>
  <c r="Q878"/>
  <c r="S878"/>
  <c r="R879" l="1"/>
  <c r="V878"/>
  <c r="W878" s="1"/>
  <c r="X878" s="1"/>
  <c r="T879"/>
  <c r="U878"/>
  <c r="Y879"/>
  <c r="Q879"/>
  <c r="S879"/>
  <c r="P880"/>
  <c r="V879" l="1"/>
  <c r="W879" s="1"/>
  <c r="X879" s="1"/>
  <c r="U879"/>
  <c r="R880"/>
  <c r="Q880" s="1"/>
  <c r="T880"/>
  <c r="S880" s="1"/>
  <c r="P881"/>
  <c r="Y880"/>
  <c r="R881" l="1"/>
  <c r="V880"/>
  <c r="W880" s="1"/>
  <c r="X880" s="1"/>
  <c r="U880"/>
  <c r="T881"/>
  <c r="S881"/>
  <c r="Q881"/>
  <c r="P882"/>
  <c r="T882" l="1"/>
  <c r="U881"/>
  <c r="R882"/>
  <c r="V881"/>
  <c r="W881" s="1"/>
  <c r="X881" s="1"/>
  <c r="Y881" s="1"/>
  <c r="Y882"/>
  <c r="S882"/>
  <c r="Q882"/>
  <c r="P883"/>
  <c r="V882" l="1"/>
  <c r="W882" s="1"/>
  <c r="X882" s="1"/>
  <c r="R883"/>
  <c r="T883"/>
  <c r="U882"/>
  <c r="Y883"/>
  <c r="S883"/>
  <c r="P884"/>
  <c r="Q883"/>
  <c r="Y884" l="1"/>
  <c r="P885"/>
  <c r="Q884"/>
  <c r="S884"/>
  <c r="V883"/>
  <c r="W883" s="1"/>
  <c r="X883" s="1"/>
  <c r="T884"/>
  <c r="R884"/>
  <c r="U883"/>
  <c r="R885" l="1"/>
  <c r="T885"/>
  <c r="V884"/>
  <c r="W884" s="1"/>
  <c r="X884" s="1"/>
  <c r="U884"/>
  <c r="Y885"/>
  <c r="Q885"/>
  <c r="S885"/>
  <c r="P886"/>
  <c r="V885" l="1"/>
  <c r="W885" s="1"/>
  <c r="X885" s="1"/>
  <c r="R886"/>
  <c r="T886"/>
  <c r="U885"/>
  <c r="Y886"/>
  <c r="S886"/>
  <c r="P887"/>
  <c r="Q886"/>
  <c r="Y887" l="1"/>
  <c r="Q887"/>
  <c r="S887"/>
  <c r="P888"/>
  <c r="T887"/>
  <c r="U886"/>
  <c r="V886"/>
  <c r="W886" s="1"/>
  <c r="X886" s="1"/>
  <c r="R887"/>
  <c r="U887" l="1"/>
  <c r="R888"/>
  <c r="V887"/>
  <c r="W887" s="1"/>
  <c r="X887" s="1"/>
  <c r="T888"/>
  <c r="Y888"/>
  <c r="S888"/>
  <c r="Q888"/>
  <c r="P889"/>
  <c r="U888" l="1"/>
  <c r="R889"/>
  <c r="T889"/>
  <c r="V888"/>
  <c r="W888" s="1"/>
  <c r="X888" s="1"/>
  <c r="Y889"/>
  <c r="S889"/>
  <c r="P890"/>
  <c r="Q889"/>
  <c r="P891" l="1"/>
  <c r="Y890"/>
  <c r="R890"/>
  <c r="Q890" s="1"/>
  <c r="T890"/>
  <c r="S890" s="1"/>
  <c r="U889"/>
  <c r="V889"/>
  <c r="W889" s="1"/>
  <c r="X889" s="1"/>
  <c r="Q891" l="1"/>
  <c r="P892"/>
  <c r="S891"/>
  <c r="R891"/>
  <c r="V890"/>
  <c r="W890" s="1"/>
  <c r="X890" s="1"/>
  <c r="U890"/>
  <c r="T891"/>
  <c r="R892" l="1"/>
  <c r="T892"/>
  <c r="U891"/>
  <c r="V891"/>
  <c r="W891" s="1"/>
  <c r="X891" s="1"/>
  <c r="Y891" s="1"/>
  <c r="Y892"/>
  <c r="P893"/>
  <c r="Q892"/>
  <c r="S892"/>
  <c r="R893" l="1"/>
  <c r="U892"/>
  <c r="V892"/>
  <c r="W892" s="1"/>
  <c r="X892" s="1"/>
  <c r="T893"/>
  <c r="Y893"/>
  <c r="Q893"/>
  <c r="S893"/>
  <c r="P894"/>
  <c r="R894" l="1"/>
  <c r="T894"/>
  <c r="U893"/>
  <c r="V893"/>
  <c r="W893" s="1"/>
  <c r="X893" s="1"/>
  <c r="Y894"/>
  <c r="S894"/>
  <c r="Q894"/>
  <c r="P895"/>
  <c r="V894" l="1"/>
  <c r="W894" s="1"/>
  <c r="X894" s="1"/>
  <c r="T895"/>
  <c r="R895"/>
  <c r="U894"/>
  <c r="Y895"/>
  <c r="Q895"/>
  <c r="S895"/>
  <c r="P896"/>
  <c r="V895" l="1"/>
  <c r="W895" s="1"/>
  <c r="X895" s="1"/>
  <c r="R896"/>
  <c r="T896"/>
  <c r="U895"/>
  <c r="Y896"/>
  <c r="P897"/>
  <c r="Q896"/>
  <c r="S896"/>
  <c r="Y897" l="1"/>
  <c r="S897"/>
  <c r="Q897"/>
  <c r="P898"/>
  <c r="R897"/>
  <c r="U896"/>
  <c r="V896"/>
  <c r="W896" s="1"/>
  <c r="X896" s="1"/>
  <c r="T897"/>
  <c r="P899" l="1"/>
  <c r="Y898"/>
  <c r="V897"/>
  <c r="W897" s="1"/>
  <c r="X897" s="1"/>
  <c r="R898"/>
  <c r="Q898" s="1"/>
  <c r="T898"/>
  <c r="S898" s="1"/>
  <c r="U897"/>
  <c r="T899" l="1"/>
  <c r="R899"/>
  <c r="V898"/>
  <c r="W898" s="1"/>
  <c r="X898" s="1"/>
  <c r="U898"/>
  <c r="P900"/>
  <c r="S899"/>
  <c r="Q899"/>
  <c r="Y900" l="1"/>
  <c r="Q900"/>
  <c r="S900"/>
  <c r="P901"/>
  <c r="R900"/>
  <c r="U899"/>
  <c r="T900"/>
  <c r="V899"/>
  <c r="W899" s="1"/>
  <c r="X899" s="1"/>
  <c r="Y899" s="1"/>
  <c r="Y901" l="1"/>
  <c r="Q901"/>
  <c r="S901"/>
  <c r="P902"/>
  <c r="U900"/>
  <c r="R901"/>
  <c r="V900"/>
  <c r="W900" s="1"/>
  <c r="X900" s="1"/>
  <c r="T901"/>
  <c r="R902" l="1"/>
  <c r="T902"/>
  <c r="U901"/>
  <c r="V901"/>
  <c r="W901" s="1"/>
  <c r="X901" s="1"/>
  <c r="Y902"/>
  <c r="Q902"/>
  <c r="S902"/>
  <c r="P903"/>
  <c r="U902" l="1"/>
  <c r="R903"/>
  <c r="V902"/>
  <c r="W902" s="1"/>
  <c r="X902" s="1"/>
  <c r="T903"/>
  <c r="Y903"/>
  <c r="Q903"/>
  <c r="S903"/>
  <c r="P904"/>
  <c r="R904" l="1"/>
  <c r="Q904" s="1"/>
  <c r="U903"/>
  <c r="V903"/>
  <c r="W903" s="1"/>
  <c r="X903" s="1"/>
  <c r="T904"/>
  <c r="S904" s="1"/>
  <c r="P905"/>
  <c r="Y904"/>
  <c r="U904" l="1"/>
  <c r="V904"/>
  <c r="W904" s="1"/>
  <c r="X904" s="1"/>
  <c r="T905"/>
  <c r="R905"/>
  <c r="Q905"/>
  <c r="P906"/>
  <c r="S905"/>
  <c r="Y906" l="1"/>
  <c r="Q906"/>
  <c r="S906"/>
  <c r="P907"/>
  <c r="R906"/>
  <c r="T906"/>
  <c r="U905"/>
  <c r="V905"/>
  <c r="W905" s="1"/>
  <c r="X905" s="1"/>
  <c r="Y905" s="1"/>
  <c r="Y907" l="1"/>
  <c r="Q907"/>
  <c r="S907"/>
  <c r="P908"/>
  <c r="R907"/>
  <c r="V906"/>
  <c r="W906" s="1"/>
  <c r="X906" s="1"/>
  <c r="T907"/>
  <c r="U906"/>
  <c r="R908" l="1"/>
  <c r="T908"/>
  <c r="U907"/>
  <c r="V907"/>
  <c r="W907" s="1"/>
  <c r="X907" s="1"/>
  <c r="Y908"/>
  <c r="S908"/>
  <c r="Q908"/>
  <c r="P909"/>
  <c r="R909" l="1"/>
  <c r="T909"/>
  <c r="U908"/>
  <c r="V908"/>
  <c r="W908" s="1"/>
  <c r="X908" s="1"/>
  <c r="Y909"/>
  <c r="S909"/>
  <c r="Q909"/>
  <c r="P910"/>
  <c r="R910" l="1"/>
  <c r="T910"/>
  <c r="U909"/>
  <c r="V909"/>
  <c r="W909" s="1"/>
  <c r="X909" s="1"/>
  <c r="Y910"/>
  <c r="S910"/>
  <c r="Q910"/>
  <c r="P911"/>
  <c r="R911" l="1"/>
  <c r="T911"/>
  <c r="U910"/>
  <c r="V910"/>
  <c r="W910" s="1"/>
  <c r="X910" s="1"/>
  <c r="Y911"/>
  <c r="Q911"/>
  <c r="P912"/>
  <c r="S911"/>
  <c r="Y912" l="1"/>
  <c r="S912"/>
  <c r="P913"/>
  <c r="Q912"/>
  <c r="R912"/>
  <c r="V911"/>
  <c r="W911" s="1"/>
  <c r="X911" s="1"/>
  <c r="U911"/>
  <c r="T912"/>
  <c r="Y913" l="1"/>
  <c r="Q913"/>
  <c r="P914"/>
  <c r="S913"/>
  <c r="V912"/>
  <c r="W912" s="1"/>
  <c r="X912" s="1"/>
  <c r="R913"/>
  <c r="T913"/>
  <c r="U912"/>
  <c r="Y914" l="1"/>
  <c r="Q914"/>
  <c r="S914"/>
  <c r="P915"/>
  <c r="R914"/>
  <c r="T914"/>
  <c r="U913"/>
  <c r="V913"/>
  <c r="W913" s="1"/>
  <c r="X913" s="1"/>
  <c r="V914" l="1"/>
  <c r="W914" s="1"/>
  <c r="X914" s="1"/>
  <c r="R915"/>
  <c r="T915"/>
  <c r="U914"/>
  <c r="Y915"/>
  <c r="Q915"/>
  <c r="S915"/>
  <c r="P916"/>
  <c r="V915" l="1"/>
  <c r="W915" s="1"/>
  <c r="X915" s="1"/>
  <c r="R916"/>
  <c r="Q916" s="1"/>
  <c r="T916"/>
  <c r="S916" s="1"/>
  <c r="U915"/>
  <c r="P917"/>
  <c r="Y916"/>
  <c r="U916" l="1"/>
  <c r="V916"/>
  <c r="W916" s="1"/>
  <c r="X916" s="1"/>
  <c r="T917"/>
  <c r="R917"/>
  <c r="P918"/>
  <c r="S917"/>
  <c r="Q917"/>
  <c r="Y918" l="1"/>
  <c r="S918"/>
  <c r="Q918"/>
  <c r="P919"/>
  <c r="R918"/>
  <c r="T918"/>
  <c r="U917"/>
  <c r="V917"/>
  <c r="W917" s="1"/>
  <c r="X917" s="1"/>
  <c r="Y917" s="1"/>
  <c r="Y919" l="1"/>
  <c r="Q919"/>
  <c r="S919"/>
  <c r="P920"/>
  <c r="R919"/>
  <c r="T919"/>
  <c r="U918"/>
  <c r="V918"/>
  <c r="W918" s="1"/>
  <c r="X918" s="1"/>
  <c r="R920" l="1"/>
  <c r="T920"/>
  <c r="V919"/>
  <c r="W919" s="1"/>
  <c r="X919" s="1"/>
  <c r="U919"/>
  <c r="Y920"/>
  <c r="S920"/>
  <c r="Q920"/>
  <c r="P921"/>
  <c r="V920" l="1"/>
  <c r="W920" s="1"/>
  <c r="X920" s="1"/>
  <c r="R921"/>
  <c r="T921"/>
  <c r="U920"/>
  <c r="Y921"/>
  <c r="S921"/>
  <c r="P922"/>
  <c r="Q921"/>
  <c r="Y922" l="1"/>
  <c r="S922"/>
  <c r="Q922"/>
  <c r="P923"/>
  <c r="R922"/>
  <c r="U921"/>
  <c r="V921"/>
  <c r="W921" s="1"/>
  <c r="X921" s="1"/>
  <c r="T922"/>
  <c r="V922" l="1"/>
  <c r="W922" s="1"/>
  <c r="X922" s="1"/>
  <c r="R923"/>
  <c r="T923"/>
  <c r="U922"/>
  <c r="Y923"/>
  <c r="S923"/>
  <c r="Q923"/>
  <c r="P924"/>
  <c r="R924" l="1"/>
  <c r="T924"/>
  <c r="V923"/>
  <c r="W923" s="1"/>
  <c r="X923" s="1"/>
  <c r="U923"/>
  <c r="Y924"/>
  <c r="Q924"/>
  <c r="S924"/>
  <c r="P925"/>
  <c r="R925" l="1"/>
  <c r="Q925" s="1"/>
  <c r="V924"/>
  <c r="W924" s="1"/>
  <c r="X924" s="1"/>
  <c r="T925"/>
  <c r="S925" s="1"/>
  <c r="U924"/>
  <c r="P926"/>
  <c r="Y925"/>
  <c r="T926" l="1"/>
  <c r="S926" s="1"/>
  <c r="R926"/>
  <c r="Q926" s="1"/>
  <c r="V925"/>
  <c r="W925" s="1"/>
  <c r="X925" s="1"/>
  <c r="U925"/>
  <c r="P927"/>
  <c r="Y926"/>
  <c r="V926" l="1"/>
  <c r="W926" s="1"/>
  <c r="X926" s="1"/>
  <c r="R927"/>
  <c r="Q927" s="1"/>
  <c r="U926"/>
  <c r="T927"/>
  <c r="S927" s="1"/>
  <c r="P928"/>
  <c r="Y927"/>
  <c r="T928" l="1"/>
  <c r="V927"/>
  <c r="W927" s="1"/>
  <c r="X927" s="1"/>
  <c r="R928"/>
  <c r="U927"/>
  <c r="Q928"/>
  <c r="P929"/>
  <c r="S928"/>
  <c r="Y929" l="1"/>
  <c r="Q929"/>
  <c r="S929"/>
  <c r="P930"/>
  <c r="R929"/>
  <c r="T929"/>
  <c r="U928"/>
  <c r="V928"/>
  <c r="W928" s="1"/>
  <c r="X928" s="1"/>
  <c r="Y928" s="1"/>
  <c r="R930" l="1"/>
  <c r="T930"/>
  <c r="U929"/>
  <c r="V929"/>
  <c r="W929" s="1"/>
  <c r="X929" s="1"/>
  <c r="Y930"/>
  <c r="Q930"/>
  <c r="S930"/>
  <c r="P931"/>
  <c r="T931" l="1"/>
  <c r="U930"/>
  <c r="V930"/>
  <c r="W930" s="1"/>
  <c r="X930" s="1"/>
  <c r="R931"/>
  <c r="Y931"/>
  <c r="Q931"/>
  <c r="P932"/>
  <c r="S931"/>
  <c r="Y932" l="1"/>
  <c r="S932"/>
  <c r="Q932"/>
  <c r="P933"/>
  <c r="V931"/>
  <c r="W931" s="1"/>
  <c r="X931" s="1"/>
  <c r="R932"/>
  <c r="T932"/>
  <c r="U931"/>
  <c r="Y933" l="1"/>
  <c r="S933"/>
  <c r="Q933"/>
  <c r="P934"/>
  <c r="T933"/>
  <c r="U932"/>
  <c r="R933"/>
  <c r="V932"/>
  <c r="W932" s="1"/>
  <c r="X932" s="1"/>
  <c r="V933" l="1"/>
  <c r="W933" s="1"/>
  <c r="X933" s="1"/>
  <c r="R934"/>
  <c r="T934"/>
  <c r="U933"/>
  <c r="Y934"/>
  <c r="P935"/>
  <c r="S934"/>
  <c r="Q934"/>
  <c r="Y935" l="1"/>
  <c r="P936"/>
  <c r="Q935"/>
  <c r="S935"/>
  <c r="V934"/>
  <c r="W934" s="1"/>
  <c r="X934" s="1"/>
  <c r="R935"/>
  <c r="T935"/>
  <c r="U934"/>
  <c r="Y936" l="1"/>
  <c r="S936"/>
  <c r="Q936"/>
  <c r="P937"/>
  <c r="U935"/>
  <c r="V935"/>
  <c r="W935" s="1"/>
  <c r="X935" s="1"/>
  <c r="R936"/>
  <c r="T936"/>
  <c r="Y937" l="1"/>
  <c r="S937"/>
  <c r="P938"/>
  <c r="Q937"/>
  <c r="V936"/>
  <c r="W936" s="1"/>
  <c r="X936" s="1"/>
  <c r="R937"/>
  <c r="T937"/>
  <c r="U936"/>
  <c r="Y938" l="1"/>
  <c r="Q938"/>
  <c r="S938"/>
  <c r="P939"/>
  <c r="R938"/>
  <c r="T938"/>
  <c r="U937"/>
  <c r="V937"/>
  <c r="W937" s="1"/>
  <c r="X937" s="1"/>
  <c r="T939" l="1"/>
  <c r="U938"/>
  <c r="V938"/>
  <c r="W938" s="1"/>
  <c r="X938" s="1"/>
  <c r="R939"/>
  <c r="Y939"/>
  <c r="P940"/>
  <c r="Q939"/>
  <c r="S939"/>
  <c r="R940" l="1"/>
  <c r="V939"/>
  <c r="W939" s="1"/>
  <c r="X939" s="1"/>
  <c r="T940"/>
  <c r="U939"/>
  <c r="Y940"/>
  <c r="S940"/>
  <c r="Q940"/>
  <c r="P941"/>
  <c r="U940" l="1"/>
  <c r="V940"/>
  <c r="W940" s="1"/>
  <c r="X940" s="1"/>
  <c r="T941"/>
  <c r="R941"/>
  <c r="Y941"/>
  <c r="S941"/>
  <c r="P942"/>
  <c r="Q941"/>
  <c r="Y942" l="1"/>
  <c r="S942"/>
  <c r="P943"/>
  <c r="Q942"/>
  <c r="V941"/>
  <c r="W941" s="1"/>
  <c r="X941" s="1"/>
  <c r="R942"/>
  <c r="T942"/>
  <c r="U941"/>
  <c r="V942" l="1"/>
  <c r="W942" s="1"/>
  <c r="X942" s="1"/>
  <c r="R943"/>
  <c r="T943"/>
  <c r="U942"/>
  <c r="Y943"/>
  <c r="P944"/>
  <c r="S943"/>
  <c r="Q943"/>
  <c r="Y944" l="1"/>
  <c r="S944"/>
  <c r="Q944"/>
  <c r="P945"/>
  <c r="U943"/>
  <c r="V943"/>
  <c r="W943" s="1"/>
  <c r="X943" s="1"/>
  <c r="R944"/>
  <c r="T944"/>
  <c r="V944" l="1"/>
  <c r="W944" s="1"/>
  <c r="X944" s="1"/>
  <c r="T945"/>
  <c r="R945"/>
  <c r="U944"/>
  <c r="Y945"/>
  <c r="S945"/>
  <c r="Q945"/>
  <c r="P946"/>
  <c r="U945" l="1"/>
  <c r="V945"/>
  <c r="W945" s="1"/>
  <c r="X945" s="1"/>
  <c r="R946"/>
  <c r="T946"/>
  <c r="Y946"/>
  <c r="Q946"/>
  <c r="P947"/>
  <c r="S946"/>
  <c r="V946" l="1"/>
  <c r="W946" s="1"/>
  <c r="X946" s="1"/>
  <c r="R947"/>
  <c r="T947"/>
  <c r="U946"/>
  <c r="Y947"/>
  <c r="S947"/>
  <c r="P948"/>
  <c r="Q947"/>
  <c r="Y948" l="1"/>
  <c r="Q948"/>
  <c r="S948"/>
  <c r="P949"/>
  <c r="V947"/>
  <c r="W947" s="1"/>
  <c r="X947" s="1"/>
  <c r="U947"/>
  <c r="R948"/>
  <c r="T948"/>
  <c r="R949" l="1"/>
  <c r="T949"/>
  <c r="U948"/>
  <c r="V948"/>
  <c r="W948" s="1"/>
  <c r="X948" s="1"/>
  <c r="Y949"/>
  <c r="Q949"/>
  <c r="S949"/>
  <c r="P950"/>
  <c r="R950" l="1"/>
  <c r="V949"/>
  <c r="W949" s="1"/>
  <c r="X949" s="1"/>
  <c r="T950"/>
  <c r="U949"/>
  <c r="Y950"/>
  <c r="Q950"/>
  <c r="S950"/>
  <c r="P951"/>
  <c r="V950" l="1"/>
  <c r="W950" s="1"/>
  <c r="X950" s="1"/>
  <c r="R951"/>
  <c r="T951"/>
  <c r="U950"/>
  <c r="Y951"/>
  <c r="S951"/>
  <c r="Q951"/>
  <c r="P952"/>
  <c r="V951" l="1"/>
  <c r="W951" s="1"/>
  <c r="X951" s="1"/>
  <c r="R952"/>
  <c r="T952"/>
  <c r="U951"/>
  <c r="Y952"/>
  <c r="Q952"/>
  <c r="S952"/>
  <c r="P953"/>
  <c r="U952" l="1"/>
  <c r="V952"/>
  <c r="W952" s="1"/>
  <c r="X952" s="1"/>
  <c r="R953"/>
  <c r="T953"/>
  <c r="Y953"/>
  <c r="Q953"/>
  <c r="S953"/>
  <c r="P954"/>
  <c r="V953" l="1"/>
  <c r="W953" s="1"/>
  <c r="X953" s="1"/>
  <c r="R954"/>
  <c r="T954"/>
  <c r="U953"/>
  <c r="Y954"/>
  <c r="S954"/>
  <c r="P955"/>
  <c r="Q954"/>
  <c r="Y955" l="1"/>
  <c r="P956"/>
  <c r="Q955"/>
  <c r="S955"/>
  <c r="V954"/>
  <c r="W954" s="1"/>
  <c r="X954" s="1"/>
  <c r="R955"/>
  <c r="T955"/>
  <c r="U954"/>
  <c r="Y956" l="1"/>
  <c r="Q956"/>
  <c r="S956"/>
  <c r="P957"/>
  <c r="V955"/>
  <c r="W955" s="1"/>
  <c r="X955" s="1"/>
  <c r="T956"/>
  <c r="R956"/>
  <c r="U955"/>
  <c r="T957" l="1"/>
  <c r="S957" s="1"/>
  <c r="V956"/>
  <c r="W956" s="1"/>
  <c r="X956" s="1"/>
  <c r="R957"/>
  <c r="Q957" s="1"/>
  <c r="U956"/>
  <c r="P958"/>
  <c r="Y957"/>
  <c r="Q958" l="1"/>
  <c r="S958"/>
  <c r="P959"/>
  <c r="U957"/>
  <c r="V957"/>
  <c r="W957" s="1"/>
  <c r="X957" s="1"/>
  <c r="R958"/>
  <c r="T958"/>
  <c r="V958" l="1"/>
  <c r="W958" s="1"/>
  <c r="X958" s="1"/>
  <c r="Y958" s="1"/>
  <c r="T959"/>
  <c r="U958"/>
  <c r="R959"/>
  <c r="Y959"/>
  <c r="S959"/>
  <c r="P960"/>
  <c r="Q959"/>
  <c r="U959" l="1"/>
  <c r="V959"/>
  <c r="W959" s="1"/>
  <c r="X959" s="1"/>
  <c r="R960"/>
  <c r="T960"/>
  <c r="Y960"/>
  <c r="S960"/>
  <c r="Q960"/>
  <c r="P961"/>
  <c r="U960" l="1"/>
  <c r="V960"/>
  <c r="W960" s="1"/>
  <c r="X960" s="1"/>
  <c r="T961"/>
  <c r="R961"/>
  <c r="Y961"/>
  <c r="S961"/>
  <c r="Q961"/>
  <c r="P962"/>
  <c r="V961" l="1"/>
  <c r="W961" s="1"/>
  <c r="X961" s="1"/>
  <c r="T962"/>
  <c r="R962"/>
  <c r="U961"/>
  <c r="Y962"/>
  <c r="S962"/>
  <c r="P963"/>
  <c r="Q962"/>
  <c r="Y963" l="1"/>
  <c r="P964"/>
  <c r="S963"/>
  <c r="Q963"/>
  <c r="T963"/>
  <c r="U962"/>
  <c r="V962"/>
  <c r="W962" s="1"/>
  <c r="X962" s="1"/>
  <c r="R963"/>
  <c r="Y964" l="1"/>
  <c r="Q964"/>
  <c r="S964"/>
  <c r="P965"/>
  <c r="T964"/>
  <c r="U963"/>
  <c r="V963"/>
  <c r="W963" s="1"/>
  <c r="X963" s="1"/>
  <c r="R964"/>
  <c r="Y965" l="1"/>
  <c r="Q965"/>
  <c r="S965"/>
  <c r="P966"/>
  <c r="U964"/>
  <c r="R965"/>
  <c r="T965"/>
  <c r="V964"/>
  <c r="W964" s="1"/>
  <c r="X964" s="1"/>
  <c r="Y966" l="1"/>
  <c r="P967"/>
  <c r="Q966"/>
  <c r="S966"/>
  <c r="V965"/>
  <c r="W965" s="1"/>
  <c r="X965" s="1"/>
  <c r="T966"/>
  <c r="R966"/>
  <c r="U965"/>
  <c r="P968" l="1"/>
  <c r="Y967"/>
  <c r="R967"/>
  <c r="Q967" s="1"/>
  <c r="T967"/>
  <c r="S967" s="1"/>
  <c r="V966"/>
  <c r="W966" s="1"/>
  <c r="X966" s="1"/>
  <c r="U966"/>
  <c r="P969" l="1"/>
  <c r="Y968"/>
  <c r="S968"/>
  <c r="U967"/>
  <c r="R968"/>
  <c r="Q968" s="1"/>
  <c r="V967"/>
  <c r="W967" s="1"/>
  <c r="X967" s="1"/>
  <c r="T968"/>
  <c r="P970" l="1"/>
  <c r="Q969"/>
  <c r="S969"/>
  <c r="V968"/>
  <c r="W968" s="1"/>
  <c r="X968" s="1"/>
  <c r="T969"/>
  <c r="R969"/>
  <c r="U968"/>
  <c r="T970" l="1"/>
  <c r="U969"/>
  <c r="R970"/>
  <c r="Y970"/>
  <c r="S970"/>
  <c r="Q970"/>
  <c r="P971"/>
  <c r="V969"/>
  <c r="W969" s="1"/>
  <c r="X969" s="1"/>
  <c r="Y969" s="1"/>
  <c r="V970" l="1"/>
  <c r="W970" s="1"/>
  <c r="X970" s="1"/>
  <c r="T971"/>
  <c r="R971"/>
  <c r="U970"/>
  <c r="Y971"/>
  <c r="S971"/>
  <c r="Q971"/>
  <c r="P972"/>
  <c r="V971" l="1"/>
  <c r="W971" s="1"/>
  <c r="X971" s="1"/>
  <c r="R972"/>
  <c r="T972"/>
  <c r="U971"/>
  <c r="Y972"/>
  <c r="S972"/>
  <c r="P973"/>
  <c r="Q972"/>
  <c r="Y973" l="1"/>
  <c r="S973"/>
  <c r="P974"/>
  <c r="Q973"/>
  <c r="T973"/>
  <c r="U972"/>
  <c r="V972"/>
  <c r="W972" s="1"/>
  <c r="X972" s="1"/>
  <c r="R973"/>
  <c r="Y974" l="1"/>
  <c r="Q974"/>
  <c r="P975"/>
  <c r="S974"/>
  <c r="V973"/>
  <c r="W973" s="1"/>
  <c r="X973" s="1"/>
  <c r="T974"/>
  <c r="R974"/>
  <c r="U973"/>
  <c r="R975" l="1"/>
  <c r="V974"/>
  <c r="W974" s="1"/>
  <c r="X974" s="1"/>
  <c r="T975"/>
  <c r="U974"/>
  <c r="Y975"/>
  <c r="S975"/>
  <c r="Q975"/>
  <c r="P976"/>
  <c r="Y976" l="1"/>
  <c r="S976"/>
  <c r="Q976"/>
  <c r="P977"/>
  <c r="R976"/>
  <c r="V975"/>
  <c r="W975" s="1"/>
  <c r="X975" s="1"/>
  <c r="T976"/>
  <c r="U975"/>
  <c r="R977" l="1"/>
  <c r="T977"/>
  <c r="U976"/>
  <c r="V976"/>
  <c r="W976" s="1"/>
  <c r="X976" s="1"/>
  <c r="Y977"/>
  <c r="S977"/>
  <c r="Q977"/>
  <c r="P978"/>
  <c r="V977" l="1"/>
  <c r="W977" s="1"/>
  <c r="X977" s="1"/>
  <c r="T978"/>
  <c r="R978"/>
  <c r="U977"/>
  <c r="Y978"/>
  <c r="Q978"/>
  <c r="P979"/>
  <c r="S978"/>
  <c r="Y979" l="1"/>
  <c r="Q979"/>
  <c r="S979"/>
  <c r="P980"/>
  <c r="R979"/>
  <c r="T979"/>
  <c r="U978"/>
  <c r="V978"/>
  <c r="W978" s="1"/>
  <c r="X978" s="1"/>
  <c r="Y980" l="1"/>
  <c r="S980"/>
  <c r="P981"/>
  <c r="Q980"/>
  <c r="V979"/>
  <c r="W979" s="1"/>
  <c r="X979" s="1"/>
  <c r="R980"/>
  <c r="T980"/>
  <c r="U979"/>
  <c r="Y981" l="1"/>
  <c r="Q981"/>
  <c r="S981"/>
  <c r="V980"/>
  <c r="W980" s="1"/>
  <c r="X980" s="1"/>
  <c r="R981"/>
  <c r="T981"/>
  <c r="U980"/>
  <c r="V981" l="1"/>
  <c r="W981" s="1"/>
  <c r="X981" s="1"/>
  <c r="T982"/>
  <c r="S982" s="1"/>
  <c r="R982"/>
  <c r="Q982" s="1"/>
  <c r="U981"/>
  <c r="V982" l="1"/>
  <c r="W982" s="1"/>
  <c r="X982" s="1"/>
  <c r="T983"/>
  <c r="V983"/>
  <c r="W983" s="1"/>
  <c r="U982"/>
  <c r="R983"/>
  <c r="X999" l="1"/>
  <c r="X1000"/>
  <c r="X993"/>
  <c r="X983"/>
  <c r="Y983" s="1"/>
  <c r="X991"/>
  <c r="X994"/>
  <c r="Y994" s="1"/>
  <c r="X990"/>
  <c r="X989"/>
  <c r="X997"/>
  <c r="X1001"/>
  <c r="X985"/>
  <c r="X995"/>
  <c r="W1002"/>
  <c r="X1002" s="1"/>
  <c r="X988"/>
  <c r="X987"/>
  <c r="X998"/>
  <c r="X996"/>
  <c r="X992"/>
  <c r="X984"/>
  <c r="X986"/>
</calcChain>
</file>

<file path=xl/sharedStrings.xml><?xml version="1.0" encoding="utf-8"?>
<sst xmlns="http://schemas.openxmlformats.org/spreadsheetml/2006/main" count="23" uniqueCount="23">
  <si>
    <t>%change</t>
  </si>
  <si>
    <t>%Change</t>
  </si>
  <si>
    <t>y-int</t>
  </si>
  <si>
    <t>slope</t>
  </si>
  <si>
    <t>std</t>
  </si>
  <si>
    <t>z-score</t>
  </si>
  <si>
    <t>pred</t>
  </si>
  <si>
    <t>R^2</t>
  </si>
  <si>
    <t>Signal</t>
  </si>
  <si>
    <t>1st-Xvar</t>
  </si>
  <si>
    <t>2nd-Yvar</t>
  </si>
  <si>
    <t>#x</t>
  </si>
  <si>
    <t>#y</t>
  </si>
  <si>
    <t>change</t>
  </si>
  <si>
    <t>dif</t>
  </si>
  <si>
    <t>stdif</t>
  </si>
  <si>
    <t>zdif</t>
  </si>
  <si>
    <t>AbsCon</t>
  </si>
  <si>
    <t>#x&gt;2</t>
  </si>
  <si>
    <t>#y&gt;2</t>
  </si>
  <si>
    <t>CashFlow</t>
  </si>
  <si>
    <t>pnl</t>
  </si>
  <si>
    <t>cash&amp;pnl</t>
  </si>
</sst>
</file>

<file path=xl/styles.xml><?xml version="1.0" encoding="utf-8"?>
<styleSheet xmlns="http://schemas.openxmlformats.org/spreadsheetml/2006/main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2" fontId="2" fillId="0" borderId="1" xfId="0" applyNumberFormat="1" applyFont="1" applyFill="1" applyBorder="1"/>
    <xf numFmtId="10" fontId="2" fillId="0" borderId="1" xfId="1" applyNumberFormat="1" applyFont="1" applyFill="1" applyBorder="1"/>
    <xf numFmtId="10" fontId="0" fillId="0" borderId="0" xfId="1" applyNumberFormat="1" applyFont="1"/>
    <xf numFmtId="10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3" xfId="0" applyBorder="1"/>
    <xf numFmtId="10" fontId="2" fillId="0" borderId="4" xfId="1" applyNumberFormat="1" applyFont="1" applyFill="1" applyBorder="1"/>
    <xf numFmtId="10" fontId="0" fillId="0" borderId="3" xfId="1" applyNumberFormat="1" applyFont="1" applyBorder="1"/>
    <xf numFmtId="10" fontId="0" fillId="0" borderId="3" xfId="0" applyNumberFormat="1" applyBorder="1"/>
    <xf numFmtId="164" fontId="0" fillId="0" borderId="0" xfId="1" applyNumberFormat="1" applyFont="1"/>
    <xf numFmtId="10" fontId="0" fillId="0" borderId="0" xfId="1" applyNumberFormat="1" applyFont="1" applyBorder="1"/>
    <xf numFmtId="2" fontId="0" fillId="0" borderId="0" xfId="0" applyNumberFormat="1" applyBorder="1"/>
    <xf numFmtId="164" fontId="0" fillId="0" borderId="0" xfId="0" applyNumberFormat="1" applyBorder="1"/>
    <xf numFmtId="0" fontId="3" fillId="0" borderId="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02"/>
  <sheetViews>
    <sheetView tabSelected="1" topLeftCell="H1" workbookViewId="0">
      <pane ySplit="1" topLeftCell="A32" activePane="bottomLeft" state="frozen"/>
      <selection pane="bottomLeft" activeCell="Q34" sqref="Q34"/>
    </sheetView>
  </sheetViews>
  <sheetFormatPr defaultRowHeight="15"/>
  <cols>
    <col min="9" max="9" width="7.7109375" bestFit="1" customWidth="1"/>
    <col min="10" max="10" width="6.5703125" bestFit="1" customWidth="1"/>
    <col min="11" max="11" width="7.85546875" bestFit="1" customWidth="1"/>
    <col min="14" max="14" width="0" hidden="1" customWidth="1"/>
    <col min="16" max="16" width="10.28515625" bestFit="1" customWidth="1"/>
    <col min="17" max="21" width="10.28515625" customWidth="1"/>
  </cols>
  <sheetData>
    <row r="1" spans="1:25">
      <c r="A1" t="s">
        <v>9</v>
      </c>
      <c r="B1" t="s">
        <v>0</v>
      </c>
      <c r="C1" t="s">
        <v>10</v>
      </c>
      <c r="D1" t="s">
        <v>1</v>
      </c>
      <c r="E1" t="s">
        <v>14</v>
      </c>
      <c r="F1" t="s">
        <v>15</v>
      </c>
      <c r="G1" t="s">
        <v>16</v>
      </c>
      <c r="H1" t="s">
        <v>2</v>
      </c>
      <c r="I1" t="s">
        <v>3</v>
      </c>
      <c r="J1" t="s">
        <v>4</v>
      </c>
      <c r="K1" t="s">
        <v>6</v>
      </c>
      <c r="L1" t="s">
        <v>5</v>
      </c>
      <c r="M1" t="s">
        <v>7</v>
      </c>
      <c r="P1" t="s">
        <v>8</v>
      </c>
      <c r="Q1" t="s">
        <v>11</v>
      </c>
      <c r="R1" t="s">
        <v>18</v>
      </c>
      <c r="S1" t="s">
        <v>12</v>
      </c>
      <c r="T1" t="s">
        <v>19</v>
      </c>
      <c r="U1" t="s">
        <v>17</v>
      </c>
      <c r="V1" t="s">
        <v>13</v>
      </c>
      <c r="W1" t="s">
        <v>20</v>
      </c>
      <c r="X1" t="s">
        <v>22</v>
      </c>
      <c r="Y1" t="s">
        <v>21</v>
      </c>
    </row>
    <row r="2" spans="1:25">
      <c r="A2">
        <v>100</v>
      </c>
      <c r="B2" s="1"/>
      <c r="C2">
        <v>100</v>
      </c>
    </row>
    <row r="3" spans="1:25">
      <c r="A3">
        <v>100.64434850000001</v>
      </c>
      <c r="B3" s="2">
        <f>(A3-A2)/A2</f>
        <v>6.4434850000000665E-3</v>
      </c>
      <c r="C3">
        <v>100.7670923</v>
      </c>
      <c r="D3" s="3">
        <f>(C3-C2)/C2</f>
        <v>7.6709230000000161E-3</v>
      </c>
      <c r="E3" s="3"/>
      <c r="F3" s="3"/>
      <c r="G3" s="3"/>
      <c r="H3" s="3"/>
      <c r="I3" s="5"/>
      <c r="J3" s="5"/>
    </row>
    <row r="4" spans="1:25">
      <c r="A4">
        <v>99.716605720000004</v>
      </c>
      <c r="B4" s="2">
        <f t="shared" ref="B4:B67" si="0">(A4-A3)/A3</f>
        <v>-9.2180315519654107E-3</v>
      </c>
      <c r="C4">
        <v>100.38410589999999</v>
      </c>
      <c r="D4" s="3">
        <f t="shared" ref="D4:D67" si="1">(C4-C3)/C3</f>
        <v>-3.80070905350523E-3</v>
      </c>
      <c r="E4" s="3"/>
      <c r="F4" s="3"/>
      <c r="G4" s="3"/>
      <c r="H4" s="3"/>
      <c r="I4" s="5"/>
      <c r="J4" s="5"/>
    </row>
    <row r="5" spans="1:25">
      <c r="A5">
        <v>101.5603788</v>
      </c>
      <c r="B5" s="2">
        <f t="shared" si="0"/>
        <v>1.8490130772975042E-2</v>
      </c>
      <c r="C5">
        <v>100.5829986</v>
      </c>
      <c r="D5" s="3">
        <f t="shared" si="1"/>
        <v>1.9813166458655667E-3</v>
      </c>
      <c r="E5" s="3"/>
      <c r="F5" s="3"/>
      <c r="G5" s="3"/>
      <c r="H5" s="3"/>
      <c r="I5" s="5"/>
      <c r="J5" s="5"/>
    </row>
    <row r="6" spans="1:25">
      <c r="A6">
        <v>100.0427816</v>
      </c>
      <c r="B6" s="2">
        <f t="shared" si="0"/>
        <v>-1.494280759811421E-2</v>
      </c>
      <c r="C6">
        <v>100.05265369999999</v>
      </c>
      <c r="D6" s="3">
        <f t="shared" si="1"/>
        <v>-5.2727091793026235E-3</v>
      </c>
      <c r="E6" s="3"/>
      <c r="F6" s="3"/>
      <c r="G6" s="3"/>
      <c r="H6" s="3"/>
      <c r="I6" s="5"/>
      <c r="J6" s="5"/>
    </row>
    <row r="7" spans="1:25">
      <c r="A7">
        <v>100.4952614</v>
      </c>
      <c r="B7" s="2">
        <f t="shared" si="0"/>
        <v>4.5228630468228219E-3</v>
      </c>
      <c r="C7">
        <v>101.9476032</v>
      </c>
      <c r="D7" s="3">
        <f t="shared" si="1"/>
        <v>1.8939522640567502E-2</v>
      </c>
      <c r="E7" s="3"/>
      <c r="F7" s="3"/>
      <c r="G7" s="3"/>
      <c r="H7" s="3"/>
      <c r="I7" s="5"/>
      <c r="J7" s="5"/>
    </row>
    <row r="8" spans="1:25">
      <c r="A8">
        <v>99.929735829999998</v>
      </c>
      <c r="B8" s="2">
        <f t="shared" si="0"/>
        <v>-5.6273854321255137E-3</v>
      </c>
      <c r="C8">
        <v>101.4667429</v>
      </c>
      <c r="D8" s="3">
        <f t="shared" si="1"/>
        <v>-4.7167396280681107E-3</v>
      </c>
      <c r="E8" s="3"/>
      <c r="F8" s="3"/>
      <c r="G8" s="3"/>
      <c r="H8" s="3"/>
      <c r="I8" s="5"/>
      <c r="J8" s="5"/>
    </row>
    <row r="9" spans="1:25">
      <c r="A9">
        <v>102.27354920000001</v>
      </c>
      <c r="B9" s="2">
        <f t="shared" si="0"/>
        <v>2.3454613889776422E-2</v>
      </c>
      <c r="C9">
        <v>104.2642074</v>
      </c>
      <c r="D9" s="3">
        <f t="shared" si="1"/>
        <v>2.7570260166496423E-2</v>
      </c>
      <c r="E9" s="3"/>
      <c r="F9" s="3"/>
      <c r="G9" s="3"/>
      <c r="H9" s="3"/>
      <c r="I9" s="5"/>
      <c r="J9" s="5"/>
    </row>
    <row r="10" spans="1:25">
      <c r="A10">
        <v>103.3291459</v>
      </c>
      <c r="B10" s="2">
        <f t="shared" si="0"/>
        <v>1.0321307007110253E-2</v>
      </c>
      <c r="C10">
        <v>105.5402352</v>
      </c>
      <c r="D10" s="3">
        <f t="shared" si="1"/>
        <v>1.2238406945392405E-2</v>
      </c>
      <c r="E10" s="3"/>
      <c r="F10" s="3"/>
      <c r="G10" s="3"/>
      <c r="H10" s="3"/>
      <c r="I10" s="5"/>
      <c r="J10" s="5"/>
    </row>
    <row r="11" spans="1:25">
      <c r="A11">
        <v>103.9380881</v>
      </c>
      <c r="B11" s="2">
        <f t="shared" si="0"/>
        <v>5.893227846761882E-3</v>
      </c>
      <c r="C11">
        <v>105.8791368</v>
      </c>
      <c r="D11" s="3">
        <f t="shared" si="1"/>
        <v>3.2111127984296912E-3</v>
      </c>
      <c r="E11" s="3"/>
      <c r="F11" s="3"/>
      <c r="G11" s="3"/>
      <c r="H11" s="3"/>
      <c r="I11" s="5"/>
      <c r="J11" s="5"/>
    </row>
    <row r="12" spans="1:25">
      <c r="A12">
        <v>103.90289970000001</v>
      </c>
      <c r="B12" s="2">
        <f t="shared" si="0"/>
        <v>-3.3855154201162919E-4</v>
      </c>
      <c r="C12">
        <v>107.2468334</v>
      </c>
      <c r="D12" s="3">
        <f t="shared" si="1"/>
        <v>1.2917526921129963E-2</v>
      </c>
      <c r="E12" s="3"/>
      <c r="F12" s="3"/>
      <c r="G12" s="3"/>
      <c r="H12" s="3"/>
      <c r="I12" s="5"/>
      <c r="J12" s="5"/>
    </row>
    <row r="13" spans="1:25">
      <c r="A13">
        <v>103.1114024</v>
      </c>
      <c r="B13" s="2">
        <f t="shared" si="0"/>
        <v>-7.617663244099078E-3</v>
      </c>
      <c r="C13">
        <v>106.2032987</v>
      </c>
      <c r="D13" s="3">
        <f t="shared" si="1"/>
        <v>-9.7302145612813504E-3</v>
      </c>
      <c r="E13" s="3"/>
      <c r="F13" s="3"/>
      <c r="G13" s="3"/>
      <c r="H13" s="3"/>
      <c r="I13" s="5"/>
      <c r="J13" s="5"/>
    </row>
    <row r="14" spans="1:25">
      <c r="A14">
        <v>103.25591489999999</v>
      </c>
      <c r="B14" s="2">
        <f t="shared" si="0"/>
        <v>1.4015181312284285E-3</v>
      </c>
      <c r="C14">
        <v>105.2987751</v>
      </c>
      <c r="D14" s="3">
        <f t="shared" si="1"/>
        <v>-8.5169068293733195E-3</v>
      </c>
      <c r="E14" s="3"/>
      <c r="F14" s="3"/>
      <c r="G14" s="3"/>
      <c r="H14" s="3"/>
      <c r="I14" s="5"/>
      <c r="J14" s="5"/>
    </row>
    <row r="15" spans="1:25">
      <c r="A15">
        <v>103.3447019</v>
      </c>
      <c r="B15" s="2">
        <f t="shared" si="0"/>
        <v>8.5987325845689265E-4</v>
      </c>
      <c r="C15">
        <v>106.05880809999999</v>
      </c>
      <c r="D15" s="3">
        <f t="shared" si="1"/>
        <v>7.2178712361868E-3</v>
      </c>
      <c r="E15" s="3"/>
      <c r="F15" s="3"/>
      <c r="G15" s="3"/>
      <c r="H15" s="3"/>
      <c r="I15" s="5"/>
      <c r="J15" s="5"/>
    </row>
    <row r="16" spans="1:25">
      <c r="A16">
        <v>101.756592</v>
      </c>
      <c r="B16" s="2">
        <f t="shared" si="0"/>
        <v>-1.5367114818684345E-2</v>
      </c>
      <c r="C16">
        <v>104.7684398</v>
      </c>
      <c r="D16" s="3">
        <f t="shared" si="1"/>
        <v>-1.2166535935264742E-2</v>
      </c>
      <c r="E16" s="3"/>
      <c r="F16" s="3"/>
      <c r="G16" s="3"/>
      <c r="H16" s="3"/>
      <c r="I16" s="5"/>
      <c r="J16" s="5"/>
    </row>
    <row r="17" spans="1:15">
      <c r="A17">
        <v>100.4423792</v>
      </c>
      <c r="B17" s="2">
        <f t="shared" si="0"/>
        <v>-1.2915259583379059E-2</v>
      </c>
      <c r="C17">
        <v>106.569813</v>
      </c>
      <c r="D17" s="3">
        <f t="shared" si="1"/>
        <v>1.7193853448984935E-2</v>
      </c>
      <c r="E17" s="3"/>
      <c r="F17" s="3"/>
      <c r="G17" s="3"/>
      <c r="H17" s="3"/>
      <c r="I17" s="5"/>
      <c r="J17" s="5"/>
    </row>
    <row r="18" spans="1:15">
      <c r="A18">
        <v>99.639267970000006</v>
      </c>
      <c r="B18" s="2">
        <f t="shared" si="0"/>
        <v>-7.9957408057892646E-3</v>
      </c>
      <c r="C18">
        <v>104.6833058</v>
      </c>
      <c r="D18" s="3">
        <f t="shared" si="1"/>
        <v>-1.7702078542635679E-2</v>
      </c>
      <c r="E18" s="3"/>
      <c r="F18" s="3"/>
      <c r="G18" s="3"/>
      <c r="H18" s="3"/>
      <c r="I18" s="5"/>
      <c r="J18" s="5"/>
    </row>
    <row r="19" spans="1:15">
      <c r="A19">
        <v>100.646006</v>
      </c>
      <c r="B19" s="2">
        <f t="shared" si="0"/>
        <v>1.0103828044010808E-2</v>
      </c>
      <c r="C19">
        <v>105.9533699</v>
      </c>
      <c r="D19" s="3">
        <f t="shared" si="1"/>
        <v>1.2132441656232059E-2</v>
      </c>
      <c r="E19" s="3"/>
      <c r="F19" s="3"/>
      <c r="G19" s="3"/>
      <c r="H19" s="3"/>
      <c r="I19" s="5"/>
      <c r="J19" s="5"/>
    </row>
    <row r="20" spans="1:15">
      <c r="A20">
        <v>97.618753249999997</v>
      </c>
      <c r="B20" s="2">
        <f t="shared" si="0"/>
        <v>-3.0078220391577211E-2</v>
      </c>
      <c r="C20">
        <v>104.37818969999999</v>
      </c>
      <c r="D20" s="3">
        <f t="shared" si="1"/>
        <v>-1.4866730538978407E-2</v>
      </c>
      <c r="E20" s="3"/>
      <c r="F20" s="3"/>
      <c r="G20" s="3"/>
      <c r="H20" s="3"/>
      <c r="I20" s="5"/>
      <c r="J20" s="5"/>
    </row>
    <row r="21" spans="1:15">
      <c r="A21">
        <v>98.156855620000002</v>
      </c>
      <c r="B21" s="2">
        <f t="shared" si="0"/>
        <v>5.512284802715448E-3</v>
      </c>
      <c r="C21">
        <v>102.6497682</v>
      </c>
      <c r="D21" s="3">
        <f t="shared" si="1"/>
        <v>-1.6559220896317155E-2</v>
      </c>
      <c r="E21" s="3"/>
      <c r="F21" s="3"/>
      <c r="G21" s="3"/>
      <c r="H21" s="3"/>
      <c r="I21" s="5"/>
      <c r="J21" s="5"/>
    </row>
    <row r="22" spans="1:15">
      <c r="A22">
        <v>96.427915040000002</v>
      </c>
      <c r="B22" s="2">
        <f t="shared" si="0"/>
        <v>-1.7614058326127946E-2</v>
      </c>
      <c r="C22">
        <v>100.1266193</v>
      </c>
      <c r="D22" s="3">
        <f t="shared" si="1"/>
        <v>-2.4580171433840562E-2</v>
      </c>
      <c r="E22" s="3"/>
      <c r="F22" s="3"/>
      <c r="G22" s="3"/>
      <c r="H22" s="3"/>
      <c r="I22" s="5"/>
      <c r="J22" s="5"/>
    </row>
    <row r="23" spans="1:15">
      <c r="A23">
        <v>96.474765559999994</v>
      </c>
      <c r="B23" s="2">
        <f t="shared" si="0"/>
        <v>4.8586055169354264E-4</v>
      </c>
      <c r="C23">
        <v>99.667850990000005</v>
      </c>
      <c r="D23" s="3">
        <f t="shared" si="1"/>
        <v>-4.5818815536499032E-3</v>
      </c>
      <c r="E23" s="3"/>
      <c r="F23" s="3"/>
      <c r="G23" s="3"/>
      <c r="H23" s="3"/>
      <c r="I23" s="5"/>
      <c r="J23" s="5"/>
    </row>
    <row r="24" spans="1:15">
      <c r="A24">
        <v>95.012371849999994</v>
      </c>
      <c r="B24" s="2">
        <f t="shared" si="0"/>
        <v>-1.5158302811220645E-2</v>
      </c>
      <c r="C24">
        <v>97.142954450000005</v>
      </c>
      <c r="D24" s="3">
        <f t="shared" si="1"/>
        <v>-2.5333109070981488E-2</v>
      </c>
      <c r="E24" s="3"/>
      <c r="F24" s="3"/>
      <c r="G24" s="3"/>
      <c r="H24" s="3"/>
      <c r="I24" s="5"/>
      <c r="J24" s="5"/>
    </row>
    <row r="25" spans="1:15">
      <c r="A25">
        <v>96.016908409999999</v>
      </c>
      <c r="B25" s="2">
        <f t="shared" si="0"/>
        <v>1.0572692170930216E-2</v>
      </c>
      <c r="C25">
        <v>97.905399869999997</v>
      </c>
      <c r="D25" s="3">
        <f t="shared" si="1"/>
        <v>7.8486949909725712E-3</v>
      </c>
      <c r="E25" s="3"/>
      <c r="F25" s="3"/>
      <c r="G25" s="3"/>
      <c r="H25" s="3"/>
      <c r="I25" s="5"/>
      <c r="J25" s="5"/>
    </row>
    <row r="26" spans="1:15">
      <c r="A26">
        <v>94.847628639999996</v>
      </c>
      <c r="B26" s="2">
        <f t="shared" si="0"/>
        <v>-1.2177852727845426E-2</v>
      </c>
      <c r="C26">
        <v>97.722536259999998</v>
      </c>
      <c r="D26" s="3">
        <f t="shared" si="1"/>
        <v>-1.867758164951135E-3</v>
      </c>
      <c r="E26" s="3"/>
      <c r="F26" s="3"/>
      <c r="G26" s="3"/>
      <c r="H26" s="3"/>
      <c r="I26" s="5"/>
      <c r="J26" s="5"/>
    </row>
    <row r="27" spans="1:15">
      <c r="A27">
        <v>95.975752470000003</v>
      </c>
      <c r="B27" s="2">
        <f t="shared" si="0"/>
        <v>1.1894064682227009E-2</v>
      </c>
      <c r="C27">
        <v>98.228576489999995</v>
      </c>
      <c r="D27" s="3">
        <f t="shared" si="1"/>
        <v>5.1783370486172074E-3</v>
      </c>
      <c r="E27" s="3"/>
      <c r="F27" s="3"/>
      <c r="G27" s="3"/>
      <c r="H27" s="3"/>
      <c r="I27" s="5"/>
      <c r="J27" s="5"/>
    </row>
    <row r="28" spans="1:15">
      <c r="A28">
        <v>96.438056709999998</v>
      </c>
      <c r="B28" s="2">
        <f t="shared" si="0"/>
        <v>4.816885808157651E-3</v>
      </c>
      <c r="C28">
        <v>97.104071160000004</v>
      </c>
      <c r="D28" s="3">
        <f t="shared" si="1"/>
        <v>-1.1447843083773787E-2</v>
      </c>
      <c r="E28" s="3"/>
      <c r="F28" s="3"/>
      <c r="G28" s="3"/>
      <c r="H28" s="3"/>
      <c r="I28" s="5"/>
      <c r="J28" s="5"/>
    </row>
    <row r="29" spans="1:15">
      <c r="A29">
        <v>95.704069450000006</v>
      </c>
      <c r="B29" s="2">
        <f t="shared" si="0"/>
        <v>-7.6109710734546818E-3</v>
      </c>
      <c r="C29">
        <v>96.827948460000002</v>
      </c>
      <c r="D29" s="3">
        <f t="shared" si="1"/>
        <v>-2.8435749057836098E-3</v>
      </c>
      <c r="E29" s="3"/>
      <c r="F29" s="3"/>
      <c r="G29" s="3"/>
      <c r="H29" s="3"/>
      <c r="I29" s="5"/>
      <c r="J29" s="5"/>
    </row>
    <row r="30" spans="1:15">
      <c r="A30">
        <v>95.457048369999995</v>
      </c>
      <c r="B30" s="2">
        <f t="shared" si="0"/>
        <v>-2.5810927520596703E-3</v>
      </c>
      <c r="C30">
        <v>96.259811880000001</v>
      </c>
      <c r="D30" s="3">
        <f t="shared" si="1"/>
        <v>-5.8674854629879956E-3</v>
      </c>
      <c r="E30" s="3"/>
      <c r="F30" s="3"/>
      <c r="G30" s="3"/>
      <c r="H30" s="3"/>
      <c r="I30" s="5"/>
      <c r="J30" s="5"/>
    </row>
    <row r="31" spans="1:15">
      <c r="A31">
        <v>93.274980659999997</v>
      </c>
      <c r="B31" s="2">
        <f t="shared" si="0"/>
        <v>-2.2859157571498652E-2</v>
      </c>
      <c r="C31">
        <v>95.965350020000002</v>
      </c>
      <c r="D31" s="3">
        <f t="shared" si="1"/>
        <v>-3.0590321573356312E-3</v>
      </c>
      <c r="E31" s="3"/>
      <c r="F31" s="3"/>
      <c r="G31" s="3"/>
      <c r="H31" s="3"/>
      <c r="I31" s="5"/>
      <c r="J31" s="5"/>
    </row>
    <row r="32" spans="1:15">
      <c r="A32">
        <v>94.477537530000006</v>
      </c>
      <c r="B32" s="2">
        <f t="shared" si="0"/>
        <v>1.2892598438411828E-2</v>
      </c>
      <c r="C32">
        <v>95.472075129999993</v>
      </c>
      <c r="D32" s="3">
        <f t="shared" si="1"/>
        <v>-5.1401353707062657E-3</v>
      </c>
      <c r="E32" s="3">
        <f>D32-K32</f>
        <v>-1.2081402267126153E-2</v>
      </c>
      <c r="F32" s="3"/>
      <c r="G32" s="3"/>
      <c r="H32" s="3">
        <f>yint($B$3:B32,$D$3:D32)</f>
        <v>-4.2791216505364319E-4</v>
      </c>
      <c r="I32" s="5">
        <f>MyReg($B$3:B32,$D$3:D32)</f>
        <v>0.57158214433469168</v>
      </c>
      <c r="J32" s="6">
        <f>STDEV($D$3:D32)</f>
        <v>1.2724663136800847E-2</v>
      </c>
      <c r="K32" s="4">
        <f>H32+B32*I32</f>
        <v>6.941266896419886E-3</v>
      </c>
      <c r="L32">
        <f>(D32-K32)/J32</f>
        <v>-0.9494477093217244</v>
      </c>
      <c r="M32">
        <f>RSQ($D$3:D32,$B$3:B32)</f>
        <v>0.32142257626681192</v>
      </c>
      <c r="N32">
        <v>0</v>
      </c>
      <c r="O32" t="str">
        <f>IF(L32&gt;1.5,"sellY",IF(L32&lt;-1.5,"buyY",""))</f>
        <v/>
      </c>
    </row>
    <row r="33" spans="1:25">
      <c r="A33">
        <v>93.884785640000004</v>
      </c>
      <c r="B33" s="2">
        <f t="shared" si="0"/>
        <v>-6.2739980898822902E-3</v>
      </c>
      <c r="C33">
        <v>95.072341699999996</v>
      </c>
      <c r="D33" s="3">
        <f t="shared" si="1"/>
        <v>-4.1869146497098639E-3</v>
      </c>
      <c r="E33" s="3">
        <f t="shared" ref="E33:E96" si="2">D33-K33</f>
        <v>-1.6662572733704313E-4</v>
      </c>
      <c r="F33" s="3">
        <f>STDEV($E$32:E33)</f>
        <v>8.4250192876072685E-3</v>
      </c>
      <c r="G33" s="14">
        <f>E33/F33</f>
        <v>-1.9777489124819008E-2</v>
      </c>
      <c r="H33" s="3">
        <f>yint($B$3:B33,$D$3:D33)</f>
        <v>-4.3317448915588391E-4</v>
      </c>
      <c r="I33" s="5">
        <f>MyReg($B$3:B33,$D$3:D33)</f>
        <v>0.57174299096483094</v>
      </c>
      <c r="J33" s="6">
        <f>STDEV($D$3:D33)</f>
        <v>1.2520335299674994E-2</v>
      </c>
      <c r="K33" s="4">
        <f t="shared" ref="K33:K96" si="3">H33+B33*I33</f>
        <v>-4.0202889223728208E-3</v>
      </c>
      <c r="L33">
        <f>(D33-K33)/F33</f>
        <v>-1.9777489124819008E-2</v>
      </c>
      <c r="M33">
        <f>RSQ($D$3:D33,$B$3:B33)</f>
        <v>0.32245094307301697</v>
      </c>
      <c r="N33">
        <v>1</v>
      </c>
      <c r="O33" t="str">
        <f t="shared" ref="O33:O96" si="4">IF(L33&gt;1.5,"sellY",IF(L33&lt;-1.5,"buyY",""))</f>
        <v/>
      </c>
      <c r="P33" t="str">
        <f>IF(AND(OR(O32="sellY",P32="sellhold"),L33&gt;0.5),"sellhold",IF(AND(OR(O32="sellY",P32="sellhold"),L33&lt;0.5),"close",IF(AND(OR(O32="buyY",P32="buyhold"),L33&lt;-0.5),"buyhold",IF(AND(OR(O32="buyY",P32="buyhold"),L33&gt;-0.5),"close",""))))</f>
        <v/>
      </c>
      <c r="Q33">
        <f>IF(O33="sellY",10+R33,IF(O33="buyY",-10+R33,IF(P33="sellhold",10+R33,IF(P33="buyhold",-10+R33,0))))</f>
        <v>0</v>
      </c>
      <c r="R33">
        <f>IF(AND(L33&gt;2.5,Q33&lt;15),10,IF(AND(L33&gt;2,Q33&lt;15),5,IF(AND(L33&lt;-2.5,Q33&gt;-15),-10,IF(AND(L33&lt;-2,Q33&gt;-15),-5,0))))</f>
        <v>0</v>
      </c>
      <c r="S33">
        <f>IF(O33="sellY",-10,IF(O33="buyY",10,IF(P33="sellhold",-10,IF(P33="buyhold",10,0))))</f>
        <v>0</v>
      </c>
      <c r="T33">
        <f>IF(AND(L33&gt;2.5,Q33&lt;15),-10,IF(AND(L33&gt;2,Q33&lt;15),-5,IF(AND(L33&lt;-2.5,Q33&gt;-15),10,IF(AND(L33&lt;-2,Q33&gt;-15),5,0))))</f>
        <v>0</v>
      </c>
      <c r="U33">
        <f>ABS(Q33)+ABS(S33)</f>
        <v>0</v>
      </c>
    </row>
    <row r="34" spans="1:25">
      <c r="A34">
        <v>93.355481240000003</v>
      </c>
      <c r="B34" s="2">
        <f t="shared" si="0"/>
        <v>-5.6378080472975862E-3</v>
      </c>
      <c r="C34">
        <v>96.259947780000005</v>
      </c>
      <c r="D34" s="3">
        <f t="shared" si="1"/>
        <v>1.2491604380036103E-2</v>
      </c>
      <c r="E34" s="3">
        <f t="shared" si="2"/>
        <v>1.5599424388119523E-2</v>
      </c>
      <c r="F34" s="3">
        <f>STDEV($E$32:E34)</f>
        <v>1.3884994301727054E-2</v>
      </c>
      <c r="G34" s="14">
        <f t="shared" ref="G34:G97" si="5">E34/F34</f>
        <v>1.1234735894835206</v>
      </c>
      <c r="H34" s="3">
        <f>yint($B$3:B34,$D$3:D34)</f>
        <v>4.5801560210942133E-5</v>
      </c>
      <c r="I34" s="5">
        <f>MyReg($B$3:B34,$D$3:D34)</f>
        <v>0.55937015624467956</v>
      </c>
      <c r="J34" s="6">
        <f>STDEV($D$3:D34)</f>
        <v>1.256447579867901E-2</v>
      </c>
      <c r="K34" s="4">
        <f t="shared" si="3"/>
        <v>-3.1078200080834205E-3</v>
      </c>
      <c r="L34">
        <f t="shared" ref="L34:L97" si="6">(D34-K34)/F34</f>
        <v>1.1234735894835206</v>
      </c>
      <c r="M34">
        <f>RSQ($D$3:D34,$B$3:B34)</f>
        <v>0.29743313587768805</v>
      </c>
      <c r="N34">
        <v>2</v>
      </c>
      <c r="O34" t="str">
        <f t="shared" si="4"/>
        <v/>
      </c>
      <c r="P34" t="str">
        <f>IF(AND(OR(O33="sellY",P33="sellhold"),L34&gt;0.5),"sellhold",IF(AND(OR(O33="sellY",P33="sellhold"),L34&lt;0.5,O34&lt;&gt;"buyY"),"close",IF(AND(OR(O33="sellY",P33="sellhold"),L34&lt;0.5,O34="buyY"),"close&amp;buy",IF(AND(OR(O33="buyY",P33="buyhold"),L34&lt;-0.5),"buyhold",IF(AND(OR(O33="buyY",P33="buyhold"),L34&gt;-0.5,O34&lt;&gt;"sellY"),"close",IF(AND(OR(O33="buyY",P33="buyhold"),L34&gt;-0.5,O34="sellY"),"close&amp;sell",""))))))</f>
        <v/>
      </c>
      <c r="Q34">
        <f>IF(O34="sellY",MAX(10+R34,Q33),IF(O34="buyY",MIN(-10+R34,Q33),IF(P34="sellhold",Q33+R34,IF(P34="buyhold",Q33+R34,0))))</f>
        <v>0</v>
      </c>
      <c r="R34">
        <f>IF(AND(L34&gt;2.5,Q33&lt;15),10,IF(AND(L34&gt;2,Q33&lt;15),5,IF(AND(L34&lt;-2.5,Q33&gt;-15),-10,IF(AND(L34&lt;-2,Q33&gt;-15),-5,0))))</f>
        <v>0</v>
      </c>
      <c r="S34">
        <f>IF(O34="sellY",MIN(-10+T34,S33),IF(O34="buyY",MAX(10+T34,S33),IF(P34="sellhold",S33+T34,IF(P34="buyhold",S33+T34,0))))</f>
        <v>0</v>
      </c>
      <c r="T34">
        <f>IF(AND(L34&gt;2.5,Q33&lt;15),-10,IF(AND(L34&gt;2,Q33&lt;15),-5,IF(AND(L34&lt;-2.5,Q33&gt;-15),10,IF(AND(L34&lt;-2,Q33&gt;-15),5,0))))</f>
        <v>0</v>
      </c>
      <c r="U34">
        <f t="shared" ref="U34:U97" si="7">ABS(Q34)+ABS(S34)</f>
        <v>0</v>
      </c>
      <c r="V34">
        <f>Q34-Q33</f>
        <v>0</v>
      </c>
      <c r="W34">
        <f>IF(ABS(V34)&gt;0,V34*(C34-A34),0)</f>
        <v>0</v>
      </c>
    </row>
    <row r="35" spans="1:25">
      <c r="A35">
        <v>93.758321870000003</v>
      </c>
      <c r="B35" s="2">
        <f t="shared" si="0"/>
        <v>4.3151256321454752E-3</v>
      </c>
      <c r="C35">
        <v>97.362787870000005</v>
      </c>
      <c r="D35" s="3">
        <f t="shared" si="1"/>
        <v>1.1456894746302144E-2</v>
      </c>
      <c r="E35" s="3">
        <f t="shared" si="2"/>
        <v>8.6510958046798238E-3</v>
      </c>
      <c r="F35" s="3">
        <f>STDEV($E$32:E35)</f>
        <v>1.1946500045240007E-2</v>
      </c>
      <c r="G35" s="14">
        <f t="shared" si="5"/>
        <v>0.72415316384875317</v>
      </c>
      <c r="H35" s="3">
        <f>yint($B$3:B35,$D$3:D35)</f>
        <v>3.4078108824968291E-4</v>
      </c>
      <c r="I35" s="5">
        <f>MyReg($B$3:B35,$D$3:D35)</f>
        <v>0.5712505413537714</v>
      </c>
      <c r="J35" s="6">
        <f>STDEV($D$3:D35)</f>
        <v>1.2558719840058697E-2</v>
      </c>
      <c r="K35" s="4">
        <f t="shared" si="3"/>
        <v>2.8057989416223205E-3</v>
      </c>
      <c r="L35">
        <f t="shared" si="6"/>
        <v>0.72415316384875317</v>
      </c>
      <c r="M35">
        <f>RSQ($D$3:D35,$B$3:B35)</f>
        <v>0.30334218928840312</v>
      </c>
      <c r="N35">
        <v>3</v>
      </c>
      <c r="O35" t="str">
        <f t="shared" si="4"/>
        <v/>
      </c>
      <c r="P35" t="str">
        <f t="shared" ref="P35:P98" si="8">IF(AND(OR(O34="sellY",P34="sellhold"),L35&gt;0.5),"sellhold",IF(AND(OR(O34="sellY",P34="sellhold"),L35&lt;0.5,O35&lt;&gt;"buyY"),"close",IF(AND(OR(O34="sellY",P34="sellhold"),L35&lt;0.5,O35="buyY"),"close&amp;buy",IF(AND(OR(O34="buyY",P34="buyhold"),L35&lt;-0.5),"buyhold",IF(AND(OR(O34="buyY",P34="buyhold"),L35&gt;-0.5,O35&lt;&gt;"sellY"),"close",IF(AND(OR(O34="buyY",P34="buyhold"),L35&gt;-0.5,O35="sellY"),"close&amp;sell",""))))))</f>
        <v/>
      </c>
      <c r="Q35">
        <f t="shared" ref="Q35:Q98" si="9">IF(O35="sellY",MAX(10+R35,Q34),IF(O35="buyY",MIN(-10+R35,Q34),IF(P35="sellhold",Q34+R35,IF(P35="buyhold",Q34+R35,0))))</f>
        <v>0</v>
      </c>
      <c r="R35">
        <f t="shared" ref="R35:R98" si="10">IF(AND(L35&gt;2.5,Q34&lt;15),10,IF(AND(L35&gt;2,Q34&lt;15),5,IF(AND(L35&lt;-2.5,Q34&gt;-15),-10,IF(AND(L35&lt;-2,Q34&gt;-15),-5,0))))</f>
        <v>0</v>
      </c>
      <c r="S35">
        <f t="shared" ref="S35:S98" si="11">IF(O35="sellY",MIN(-10+T35,S34),IF(O35="buyY",MAX(10+T35,S34),IF(P35="sellhold",S34+T35,IF(P35="buyhold",S34+T35,0))))</f>
        <v>0</v>
      </c>
      <c r="T35">
        <f t="shared" ref="T35:T98" si="12">IF(AND(L35&gt;2.5,Q34&lt;15),-10,IF(AND(L35&gt;2,Q34&lt;15),-5,IF(AND(L35&lt;-2.5,Q34&gt;-15),10,IF(AND(L35&lt;-2,Q34&gt;-15),5,0))))</f>
        <v>0</v>
      </c>
      <c r="U35">
        <f t="shared" si="7"/>
        <v>0</v>
      </c>
      <c r="V35">
        <f t="shared" ref="V35:V98" si="13">Q35-Q34</f>
        <v>0</v>
      </c>
      <c r="W35">
        <f t="shared" ref="W35:W53" si="14">IF(ABS(V35)&gt;0,V35*(C35-A35),0)</f>
        <v>0</v>
      </c>
      <c r="X35">
        <f>SUM($W$34:W35)</f>
        <v>0</v>
      </c>
      <c r="Y35">
        <f>IF(P35="close",X35,0)</f>
        <v>0</v>
      </c>
    </row>
    <row r="36" spans="1:25">
      <c r="A36">
        <v>94.957409200000001</v>
      </c>
      <c r="B36" s="2">
        <f t="shared" si="0"/>
        <v>1.2789129605610735E-2</v>
      </c>
      <c r="C36">
        <v>98.280232839999996</v>
      </c>
      <c r="D36" s="3">
        <f t="shared" si="1"/>
        <v>9.422952958423653E-3</v>
      </c>
      <c r="E36" s="3">
        <f t="shared" si="2"/>
        <v>1.6506487580398481E-3</v>
      </c>
      <c r="F36" s="3">
        <f>STDEV($E$32:E36)</f>
        <v>1.0363572435012729E-2</v>
      </c>
      <c r="G36" s="14">
        <f t="shared" si="5"/>
        <v>0.1592741082662989</v>
      </c>
      <c r="H36" s="3">
        <f>yint($B$3:B36,$D$3:D36)</f>
        <v>4.0050241719642932E-4</v>
      </c>
      <c r="I36" s="5">
        <f>MyReg($B$3:B36,$D$3:D36)</f>
        <v>0.57641153155202085</v>
      </c>
      <c r="J36" s="6">
        <f>STDEV($D$3:D36)</f>
        <v>1.2489022022788813E-2</v>
      </c>
      <c r="K36" s="4">
        <f t="shared" si="3"/>
        <v>7.7723042003838049E-3</v>
      </c>
      <c r="L36">
        <f t="shared" si="6"/>
        <v>0.1592741082662989</v>
      </c>
      <c r="M36">
        <f>RSQ($D$3:D36,$B$3:B36)</f>
        <v>0.31632224305111278</v>
      </c>
      <c r="N36">
        <v>4</v>
      </c>
      <c r="O36" t="str">
        <f t="shared" si="4"/>
        <v/>
      </c>
      <c r="P36" t="str">
        <f t="shared" si="8"/>
        <v/>
      </c>
      <c r="Q36">
        <f t="shared" si="9"/>
        <v>0</v>
      </c>
      <c r="R36">
        <f t="shared" si="10"/>
        <v>0</v>
      </c>
      <c r="S36">
        <f t="shared" si="11"/>
        <v>0</v>
      </c>
      <c r="T36">
        <f t="shared" si="12"/>
        <v>0</v>
      </c>
      <c r="U36">
        <f t="shared" si="7"/>
        <v>0</v>
      </c>
      <c r="V36">
        <f t="shared" si="13"/>
        <v>0</v>
      </c>
      <c r="W36">
        <f t="shared" si="14"/>
        <v>0</v>
      </c>
      <c r="X36">
        <f>SUM($W$34:W36)</f>
        <v>0</v>
      </c>
      <c r="Y36">
        <f t="shared" ref="Y36:Y99" si="15">IF(P36="close",X36,0)</f>
        <v>0</v>
      </c>
    </row>
    <row r="37" spans="1:25">
      <c r="A37">
        <v>94.096525869999994</v>
      </c>
      <c r="B37" s="2">
        <f t="shared" si="0"/>
        <v>-9.065994294208346E-3</v>
      </c>
      <c r="C37">
        <v>96.506741210000001</v>
      </c>
      <c r="D37" s="3">
        <f t="shared" si="1"/>
        <v>-1.8045252628646452E-2</v>
      </c>
      <c r="E37" s="3">
        <f t="shared" si="2"/>
        <v>-1.2696250526266911E-2</v>
      </c>
      <c r="F37" s="3">
        <f>STDEV($E$32:E37)</f>
        <v>1.1206590533560901E-2</v>
      </c>
      <c r="G37" s="14">
        <f t="shared" si="5"/>
        <v>-1.132927136781241</v>
      </c>
      <c r="H37" s="3">
        <f>yint($B$3:B37,$D$3:D37)</f>
        <v>5.5668334755327553E-5</v>
      </c>
      <c r="I37" s="5">
        <f>MyReg($B$3:B37,$D$3:D37)</f>
        <v>0.5961475665815883</v>
      </c>
      <c r="J37" s="6">
        <f>STDEV($D$3:D37)</f>
        <v>1.2658965261724112E-2</v>
      </c>
      <c r="K37" s="4">
        <f t="shared" si="3"/>
        <v>-5.3490021023795417E-3</v>
      </c>
      <c r="L37">
        <f t="shared" si="6"/>
        <v>-1.132927136781241</v>
      </c>
      <c r="M37">
        <f>RSQ($D$3:D37,$B$3:B37)</f>
        <v>0.32332154802542723</v>
      </c>
      <c r="N37">
        <v>5</v>
      </c>
      <c r="O37" t="str">
        <f t="shared" si="4"/>
        <v/>
      </c>
      <c r="P37" t="str">
        <f t="shared" si="8"/>
        <v/>
      </c>
      <c r="Q37">
        <f t="shared" si="9"/>
        <v>0</v>
      </c>
      <c r="R37">
        <f t="shared" si="10"/>
        <v>0</v>
      </c>
      <c r="S37">
        <f t="shared" si="11"/>
        <v>0</v>
      </c>
      <c r="T37">
        <f t="shared" si="12"/>
        <v>0</v>
      </c>
      <c r="U37">
        <f t="shared" si="7"/>
        <v>0</v>
      </c>
      <c r="V37">
        <f t="shared" si="13"/>
        <v>0</v>
      </c>
      <c r="W37">
        <f t="shared" si="14"/>
        <v>0</v>
      </c>
      <c r="X37">
        <f>SUM($W$34:W37)</f>
        <v>0</v>
      </c>
      <c r="Y37">
        <f t="shared" si="15"/>
        <v>0</v>
      </c>
    </row>
    <row r="38" spans="1:25">
      <c r="A38">
        <v>92.93265323</v>
      </c>
      <c r="B38" s="2">
        <f t="shared" si="0"/>
        <v>-1.2368922542453415E-2</v>
      </c>
      <c r="C38">
        <v>97.967598100000004</v>
      </c>
      <c r="D38" s="3">
        <f t="shared" si="1"/>
        <v>1.5137355916113234E-2</v>
      </c>
      <c r="E38" s="3">
        <f t="shared" si="2"/>
        <v>2.1351892986217164E-2</v>
      </c>
      <c r="F38" s="3">
        <f>STDEV($E$32:E38)</f>
        <v>1.2992926890403324E-2</v>
      </c>
      <c r="G38" s="14">
        <f t="shared" si="5"/>
        <v>1.6433474278984697</v>
      </c>
      <c r="H38" s="3">
        <f>yint($B$3:B38,$D$3:D38)</f>
        <v>5.889129772921859E-4</v>
      </c>
      <c r="I38" s="5">
        <f>MyReg($B$3:B38,$D$3:D38)</f>
        <v>0.5500438719738826</v>
      </c>
      <c r="J38" s="6">
        <f>STDEV($D$3:D38)</f>
        <v>1.2761217517477471E-2</v>
      </c>
      <c r="K38" s="4">
        <f t="shared" si="3"/>
        <v>-6.2145370701039305E-3</v>
      </c>
      <c r="L38">
        <f t="shared" si="6"/>
        <v>1.6433474278984697</v>
      </c>
      <c r="M38">
        <f>RSQ($D$3:D38,$B$3:B38)</f>
        <v>0.26902621409761091</v>
      </c>
      <c r="N38">
        <v>6</v>
      </c>
      <c r="O38" t="str">
        <f t="shared" si="4"/>
        <v>sellY</v>
      </c>
      <c r="P38" t="str">
        <f t="shared" si="8"/>
        <v/>
      </c>
      <c r="Q38">
        <f t="shared" si="9"/>
        <v>10</v>
      </c>
      <c r="R38">
        <f t="shared" si="10"/>
        <v>0</v>
      </c>
      <c r="S38">
        <f t="shared" si="11"/>
        <v>-10</v>
      </c>
      <c r="T38">
        <f t="shared" si="12"/>
        <v>0</v>
      </c>
      <c r="U38">
        <f t="shared" si="7"/>
        <v>20</v>
      </c>
      <c r="V38">
        <f t="shared" si="13"/>
        <v>10</v>
      </c>
      <c r="W38">
        <f t="shared" si="14"/>
        <v>50.349448700000039</v>
      </c>
      <c r="X38">
        <f>SUM($W$34:W38)</f>
        <v>50.349448700000039</v>
      </c>
      <c r="Y38">
        <f t="shared" si="15"/>
        <v>0</v>
      </c>
    </row>
    <row r="39" spans="1:25">
      <c r="A39">
        <v>91.528452150000007</v>
      </c>
      <c r="B39" s="2">
        <f t="shared" si="0"/>
        <v>-1.5109878295680647E-2</v>
      </c>
      <c r="C39">
        <v>98.750270979999996</v>
      </c>
      <c r="D39" s="3">
        <f t="shared" si="1"/>
        <v>7.9890994081643473E-3</v>
      </c>
      <c r="E39" s="3">
        <f t="shared" si="2"/>
        <v>1.4795734653473466E-2</v>
      </c>
      <c r="F39" s="3">
        <f>STDEV($E$32:E39)</f>
        <v>1.2710034864881615E-2</v>
      </c>
      <c r="G39" s="14">
        <f t="shared" si="5"/>
        <v>1.1640986677664222</v>
      </c>
      <c r="H39" s="3">
        <f>yint($B$3:B39,$D$3:D39)</f>
        <v>9.2455494045787223E-4</v>
      </c>
      <c r="I39" s="5">
        <f>MyReg($B$3:B39,$D$3:D39)</f>
        <v>0.51166462326682349</v>
      </c>
      <c r="J39" s="6">
        <f>STDEV($D$3:D39)</f>
        <v>1.2659726192446969E-2</v>
      </c>
      <c r="K39" s="4">
        <f t="shared" si="3"/>
        <v>-6.8066352453091186E-3</v>
      </c>
      <c r="L39">
        <f t="shared" si="6"/>
        <v>1.1640986677664222</v>
      </c>
      <c r="M39">
        <f>RSQ($D$3:D39,$B$3:B39)</f>
        <v>0.23760071232484284</v>
      </c>
      <c r="N39">
        <v>7</v>
      </c>
      <c r="O39" t="str">
        <f t="shared" si="4"/>
        <v/>
      </c>
      <c r="P39" t="str">
        <f t="shared" si="8"/>
        <v>sellhold</v>
      </c>
      <c r="Q39">
        <f t="shared" si="9"/>
        <v>10</v>
      </c>
      <c r="R39">
        <f t="shared" si="10"/>
        <v>0</v>
      </c>
      <c r="S39">
        <f t="shared" si="11"/>
        <v>-10</v>
      </c>
      <c r="T39">
        <f t="shared" si="12"/>
        <v>0</v>
      </c>
      <c r="U39">
        <f t="shared" si="7"/>
        <v>20</v>
      </c>
      <c r="V39">
        <f t="shared" si="13"/>
        <v>0</v>
      </c>
      <c r="W39">
        <f t="shared" si="14"/>
        <v>0</v>
      </c>
      <c r="X39">
        <f>SUM($W$34:W39)</f>
        <v>50.349448700000039</v>
      </c>
      <c r="Y39">
        <f t="shared" si="15"/>
        <v>0</v>
      </c>
    </row>
    <row r="40" spans="1:25">
      <c r="A40">
        <v>94.497027000000003</v>
      </c>
      <c r="B40" s="2">
        <f t="shared" si="0"/>
        <v>3.2433355751881311E-2</v>
      </c>
      <c r="C40">
        <v>99.73973316</v>
      </c>
      <c r="D40" s="3">
        <f t="shared" si="1"/>
        <v>1.0019842681752242E-2</v>
      </c>
      <c r="E40" s="3">
        <f t="shared" si="2"/>
        <v>-5.9632031249519865E-3</v>
      </c>
      <c r="F40" s="3">
        <f>STDEV($E$32:E40)</f>
        <v>1.2403196933721997E-2</v>
      </c>
      <c r="G40" s="14">
        <f t="shared" si="5"/>
        <v>-0.48077952457072909</v>
      </c>
      <c r="H40" s="3">
        <f>yint($B$3:B40,$D$3:D40)</f>
        <v>6.7162533184297987E-4</v>
      </c>
      <c r="I40" s="5">
        <f>MyReg($B$3:B40,$D$3:D40)</f>
        <v>0.47208869140755205</v>
      </c>
      <c r="J40" s="6">
        <f>STDEV($D$3:D40)</f>
        <v>1.2598372291129804E-2</v>
      </c>
      <c r="K40" s="4">
        <f t="shared" si="3"/>
        <v>1.5983045806704229E-2</v>
      </c>
      <c r="L40">
        <f t="shared" si="6"/>
        <v>-0.48077952457072909</v>
      </c>
      <c r="M40">
        <f>RSQ($D$3:D40,$B$3:B40)</f>
        <v>0.2433480368735336</v>
      </c>
      <c r="N40">
        <v>8</v>
      </c>
      <c r="O40" t="str">
        <f t="shared" si="4"/>
        <v/>
      </c>
      <c r="P40" t="str">
        <f t="shared" si="8"/>
        <v>close</v>
      </c>
      <c r="Q40">
        <f t="shared" si="9"/>
        <v>0</v>
      </c>
      <c r="R40">
        <f t="shared" si="10"/>
        <v>0</v>
      </c>
      <c r="S40">
        <f t="shared" si="11"/>
        <v>0</v>
      </c>
      <c r="T40">
        <f t="shared" si="12"/>
        <v>0</v>
      </c>
      <c r="U40">
        <f t="shared" si="7"/>
        <v>0</v>
      </c>
      <c r="V40">
        <f t="shared" si="13"/>
        <v>-10</v>
      </c>
      <c r="W40">
        <f t="shared" si="14"/>
        <v>-52.427061599999973</v>
      </c>
      <c r="X40">
        <f>SUM($W$34:W40)</f>
        <v>-2.0776128999999344</v>
      </c>
      <c r="Y40">
        <f t="shared" si="15"/>
        <v>-2.0776128999999344</v>
      </c>
    </row>
    <row r="41" spans="1:25">
      <c r="A41">
        <v>94.049215410000002</v>
      </c>
      <c r="B41" s="2">
        <f t="shared" si="0"/>
        <v>-4.738896071301805E-3</v>
      </c>
      <c r="C41">
        <v>100.2022577</v>
      </c>
      <c r="D41" s="3">
        <f t="shared" si="1"/>
        <v>4.6373147926717789E-3</v>
      </c>
      <c r="E41" s="3">
        <f t="shared" si="2"/>
        <v>6.0336249396741792E-3</v>
      </c>
      <c r="F41" s="3">
        <f>STDEV($E$32:E41)</f>
        <v>1.1722129439629551E-2</v>
      </c>
      <c r="G41" s="14">
        <f t="shared" si="5"/>
        <v>0.51472089356700168</v>
      </c>
      <c r="H41" s="3">
        <f>yint($B$3:B41,$D$3:D41)</f>
        <v>8.2599903014396231E-4</v>
      </c>
      <c r="I41" s="5">
        <f>MyReg($B$3:B41,$D$3:D41)</f>
        <v>0.46895081548726186</v>
      </c>
      <c r="J41" s="6">
        <f>STDEV($D$3:D41)</f>
        <v>1.2453573349954493E-2</v>
      </c>
      <c r="K41" s="4">
        <f t="shared" si="3"/>
        <v>-1.3963101470024003E-3</v>
      </c>
      <c r="L41">
        <f t="shared" si="6"/>
        <v>0.51472089356700168</v>
      </c>
      <c r="M41">
        <f>RSQ($D$3:D41,$B$3:B41)</f>
        <v>0.23967765593457746</v>
      </c>
      <c r="N41">
        <v>9</v>
      </c>
      <c r="O41" t="str">
        <f t="shared" si="4"/>
        <v/>
      </c>
      <c r="P41" t="str">
        <f t="shared" si="8"/>
        <v/>
      </c>
      <c r="Q41">
        <f t="shared" si="9"/>
        <v>0</v>
      </c>
      <c r="R41">
        <f t="shared" si="10"/>
        <v>0</v>
      </c>
      <c r="S41">
        <f t="shared" si="11"/>
        <v>0</v>
      </c>
      <c r="T41">
        <f t="shared" si="12"/>
        <v>0</v>
      </c>
      <c r="U41">
        <f t="shared" si="7"/>
        <v>0</v>
      </c>
      <c r="V41">
        <f t="shared" si="13"/>
        <v>0</v>
      </c>
      <c r="W41">
        <f t="shared" si="14"/>
        <v>0</v>
      </c>
      <c r="X41">
        <f>SUM($W$34:W41)</f>
        <v>-2.0776128999999344</v>
      </c>
      <c r="Y41">
        <f t="shared" si="15"/>
        <v>0</v>
      </c>
    </row>
    <row r="42" spans="1:25">
      <c r="A42">
        <v>93.629622409999996</v>
      </c>
      <c r="B42" s="2">
        <f t="shared" si="0"/>
        <v>-4.461419461829895E-3</v>
      </c>
      <c r="C42">
        <v>98.973756890000004</v>
      </c>
      <c r="D42" s="3">
        <f t="shared" si="1"/>
        <v>-1.2260210879460052E-2</v>
      </c>
      <c r="E42" s="3">
        <f t="shared" si="2"/>
        <v>-1.070482206542616E-2</v>
      </c>
      <c r="F42" s="3">
        <f>STDEV($E$32:E42)</f>
        <v>1.1940555623178105E-2</v>
      </c>
      <c r="G42" s="14">
        <f t="shared" si="5"/>
        <v>-0.89650954304394082</v>
      </c>
      <c r="H42" s="3">
        <f>yint($B$3:B42,$D$3:D42)</f>
        <v>5.5889424480322814E-4</v>
      </c>
      <c r="I42" s="5">
        <f>MyReg($B$3:B42,$D$3:D42)</f>
        <v>0.4739036705528526</v>
      </c>
      <c r="J42" s="6">
        <f>STDEV($D$3:D42)</f>
        <v>1.2447936952339927E-2</v>
      </c>
      <c r="K42" s="4">
        <f t="shared" si="3"/>
        <v>-1.5553888140338913E-3</v>
      </c>
      <c r="L42">
        <f t="shared" si="6"/>
        <v>-0.89650954304394082</v>
      </c>
      <c r="M42">
        <f>RSQ($D$3:D42,$B$3:B42)</f>
        <v>0.23902709134846881</v>
      </c>
      <c r="N42">
        <v>10</v>
      </c>
      <c r="O42" t="str">
        <f t="shared" si="4"/>
        <v/>
      </c>
      <c r="P42" t="str">
        <f t="shared" si="8"/>
        <v/>
      </c>
      <c r="Q42">
        <f t="shared" si="9"/>
        <v>0</v>
      </c>
      <c r="R42">
        <f t="shared" si="10"/>
        <v>0</v>
      </c>
      <c r="S42">
        <f t="shared" si="11"/>
        <v>0</v>
      </c>
      <c r="T42">
        <f t="shared" si="12"/>
        <v>0</v>
      </c>
      <c r="U42">
        <f t="shared" si="7"/>
        <v>0</v>
      </c>
      <c r="V42">
        <f t="shared" si="13"/>
        <v>0</v>
      </c>
      <c r="W42">
        <f t="shared" si="14"/>
        <v>0</v>
      </c>
      <c r="X42">
        <f>SUM($W$34:W42)</f>
        <v>-2.0776128999999344</v>
      </c>
      <c r="Y42">
        <f t="shared" si="15"/>
        <v>0</v>
      </c>
    </row>
    <row r="43" spans="1:25">
      <c r="A43">
        <v>91.272532080000005</v>
      </c>
      <c r="B43" s="2">
        <f t="shared" si="0"/>
        <v>-2.5174621763168033E-2</v>
      </c>
      <c r="C43">
        <v>97.415344660000002</v>
      </c>
      <c r="D43" s="3">
        <f t="shared" si="1"/>
        <v>-1.5745711580212419E-2</v>
      </c>
      <c r="E43" s="3">
        <f t="shared" si="2"/>
        <v>-3.9348385850891451E-3</v>
      </c>
      <c r="F43" s="3">
        <f>STDEV($E$32:E43)</f>
        <v>1.1531099262561739E-2</v>
      </c>
      <c r="G43" s="14">
        <f t="shared" si="5"/>
        <v>-0.34123707510388601</v>
      </c>
      <c r="H43" s="3">
        <f>yint($B$3:B43,$D$3:D43)</f>
        <v>4.8311350991365142E-4</v>
      </c>
      <c r="I43" s="5">
        <f>MyReg($B$3:B43,$D$3:D43)</f>
        <v>0.48834840978718325</v>
      </c>
      <c r="J43" s="6">
        <f>STDEV($D$3:D43)</f>
        <v>1.2529373317099376E-2</v>
      </c>
      <c r="K43" s="4">
        <f t="shared" si="3"/>
        <v>-1.1810872995123274E-2</v>
      </c>
      <c r="L43">
        <f t="shared" si="6"/>
        <v>-0.34123707510388601</v>
      </c>
      <c r="M43">
        <f>RSQ($D$3:D43,$B$3:B43)</f>
        <v>0.26492383757660326</v>
      </c>
      <c r="N43">
        <v>11</v>
      </c>
      <c r="O43" t="str">
        <f t="shared" si="4"/>
        <v/>
      </c>
      <c r="P43" t="str">
        <f t="shared" si="8"/>
        <v/>
      </c>
      <c r="Q43">
        <f t="shared" si="9"/>
        <v>0</v>
      </c>
      <c r="R43">
        <f t="shared" si="10"/>
        <v>0</v>
      </c>
      <c r="S43">
        <f t="shared" si="11"/>
        <v>0</v>
      </c>
      <c r="T43">
        <f t="shared" si="12"/>
        <v>0</v>
      </c>
      <c r="U43">
        <f t="shared" si="7"/>
        <v>0</v>
      </c>
      <c r="V43">
        <f t="shared" si="13"/>
        <v>0</v>
      </c>
      <c r="W43">
        <f t="shared" si="14"/>
        <v>0</v>
      </c>
      <c r="X43">
        <f>SUM($W$34:W43)</f>
        <v>-2.0776128999999344</v>
      </c>
      <c r="Y43">
        <f t="shared" si="15"/>
        <v>0</v>
      </c>
    </row>
    <row r="44" spans="1:25">
      <c r="A44">
        <v>89.940683300000003</v>
      </c>
      <c r="B44" s="2">
        <f t="shared" si="0"/>
        <v>-1.4591999911130343E-2</v>
      </c>
      <c r="C44">
        <v>97.486223730000006</v>
      </c>
      <c r="D44" s="3">
        <f t="shared" si="1"/>
        <v>7.2759656343039734E-4</v>
      </c>
      <c r="E44" s="3">
        <f t="shared" si="2"/>
        <v>7.0421649108642183E-3</v>
      </c>
      <c r="F44" s="3">
        <f>STDEV($E$32:E44)</f>
        <v>1.1132708914848286E-2</v>
      </c>
      <c r="G44" s="14">
        <f t="shared" si="5"/>
        <v>0.63256526014721437</v>
      </c>
      <c r="H44" s="3">
        <f>yint($B$3:B44,$D$3:D44)</f>
        <v>6.2797429027284699E-4</v>
      </c>
      <c r="I44" s="5">
        <f>MyReg($B$3:B44,$D$3:D44)</f>
        <v>0.47577732181941035</v>
      </c>
      <c r="J44" s="6">
        <f>STDEV($D$3:D44)</f>
        <v>1.2377232144620316E-2</v>
      </c>
      <c r="K44" s="4">
        <f t="shared" si="3"/>
        <v>-6.3145683474338209E-3</v>
      </c>
      <c r="L44">
        <f t="shared" si="6"/>
        <v>0.63256526014721437</v>
      </c>
      <c r="M44">
        <f>RSQ($D$3:D44,$B$3:B44)</f>
        <v>0.25685017303772067</v>
      </c>
      <c r="N44">
        <v>12</v>
      </c>
      <c r="O44" t="str">
        <f t="shared" si="4"/>
        <v/>
      </c>
      <c r="P44" t="str">
        <f t="shared" si="8"/>
        <v/>
      </c>
      <c r="Q44">
        <f t="shared" si="9"/>
        <v>0</v>
      </c>
      <c r="R44">
        <f t="shared" si="10"/>
        <v>0</v>
      </c>
      <c r="S44">
        <f t="shared" si="11"/>
        <v>0</v>
      </c>
      <c r="T44">
        <f t="shared" si="12"/>
        <v>0</v>
      </c>
      <c r="U44">
        <f t="shared" si="7"/>
        <v>0</v>
      </c>
      <c r="V44">
        <f t="shared" si="13"/>
        <v>0</v>
      </c>
      <c r="W44">
        <f t="shared" si="14"/>
        <v>0</v>
      </c>
      <c r="X44">
        <f>SUM($W$34:W44)</f>
        <v>-2.0776128999999344</v>
      </c>
      <c r="Y44">
        <f t="shared" si="15"/>
        <v>0</v>
      </c>
    </row>
    <row r="45" spans="1:25">
      <c r="A45">
        <v>90.144072660000006</v>
      </c>
      <c r="B45" s="2">
        <f t="shared" si="0"/>
        <v>2.2613721903978769E-3</v>
      </c>
      <c r="C45">
        <v>96.985257469999993</v>
      </c>
      <c r="D45" s="3">
        <f t="shared" si="1"/>
        <v>-5.1388415801959858E-3</v>
      </c>
      <c r="E45" s="3">
        <f t="shared" si="2"/>
        <v>-6.6634395921366957E-3</v>
      </c>
      <c r="F45" s="3">
        <f>STDEV($E$32:E45)</f>
        <v>1.0959500553133533E-2</v>
      </c>
      <c r="G45" s="14">
        <f t="shared" si="5"/>
        <v>-0.6080057717804932</v>
      </c>
      <c r="H45" s="3">
        <f>yint($B$3:B45,$D$3:D45)</f>
        <v>4.5862062386916333E-4</v>
      </c>
      <c r="I45" s="5">
        <f>MyReg($B$3:B45,$D$3:D45)</f>
        <v>0.47138520257649136</v>
      </c>
      <c r="J45" s="6">
        <f>STDEV($D$3:D45)</f>
        <v>1.2249167167603183E-2</v>
      </c>
      <c r="K45" s="4">
        <f t="shared" si="3"/>
        <v>1.5245980119407104E-3</v>
      </c>
      <c r="L45">
        <f t="shared" si="6"/>
        <v>-0.6080057717804932</v>
      </c>
      <c r="M45">
        <f>RSQ($D$3:D45,$B$3:B45)</f>
        <v>0.25206020286498926</v>
      </c>
      <c r="N45">
        <v>13</v>
      </c>
      <c r="O45" t="str">
        <f t="shared" si="4"/>
        <v/>
      </c>
      <c r="P45" t="str">
        <f t="shared" si="8"/>
        <v/>
      </c>
      <c r="Q45">
        <f t="shared" si="9"/>
        <v>0</v>
      </c>
      <c r="R45">
        <f t="shared" si="10"/>
        <v>0</v>
      </c>
      <c r="S45">
        <f t="shared" si="11"/>
        <v>0</v>
      </c>
      <c r="T45">
        <f t="shared" si="12"/>
        <v>0</v>
      </c>
      <c r="U45">
        <f t="shared" si="7"/>
        <v>0</v>
      </c>
      <c r="V45">
        <f t="shared" si="13"/>
        <v>0</v>
      </c>
      <c r="W45">
        <f t="shared" si="14"/>
        <v>0</v>
      </c>
      <c r="X45">
        <f>SUM($W$34:W45)</f>
        <v>-2.0776128999999344</v>
      </c>
      <c r="Y45">
        <f t="shared" si="15"/>
        <v>0</v>
      </c>
    </row>
    <row r="46" spans="1:25">
      <c r="A46">
        <v>89.777517529999997</v>
      </c>
      <c r="B46" s="2">
        <f t="shared" si="0"/>
        <v>-4.0663253742989798E-3</v>
      </c>
      <c r="C46">
        <v>97.931827229999996</v>
      </c>
      <c r="D46" s="3">
        <f t="shared" si="1"/>
        <v>9.7599344961557775E-3</v>
      </c>
      <c r="E46" s="3">
        <f t="shared" si="2"/>
        <v>1.0958629983453918E-2</v>
      </c>
      <c r="F46" s="3">
        <f>STDEV($E$32:E46)</f>
        <v>1.0831644710871689E-2</v>
      </c>
      <c r="G46" s="14">
        <f t="shared" si="5"/>
        <v>1.0117235448513904</v>
      </c>
      <c r="H46" s="3">
        <f>yint($B$3:B46,$D$3:D46)</f>
        <v>7.0726782528761291E-4</v>
      </c>
      <c r="I46" s="5">
        <f>MyReg($B$3:B46,$D$3:D46)</f>
        <v>0.46871884002010922</v>
      </c>
      <c r="J46" s="6">
        <f>STDEV($D$3:D46)</f>
        <v>1.2206968986485047E-2</v>
      </c>
      <c r="K46" s="4">
        <f t="shared" si="3"/>
        <v>-1.1986954872981413E-3</v>
      </c>
      <c r="L46">
        <f t="shared" si="6"/>
        <v>1.0117235448513904</v>
      </c>
      <c r="M46">
        <f>RSQ($D$3:D46,$B$3:B46)</f>
        <v>0.24520824219378312</v>
      </c>
      <c r="N46">
        <v>14</v>
      </c>
      <c r="O46" t="str">
        <f t="shared" si="4"/>
        <v/>
      </c>
      <c r="P46" t="str">
        <f t="shared" si="8"/>
        <v/>
      </c>
      <c r="Q46">
        <f t="shared" si="9"/>
        <v>0</v>
      </c>
      <c r="R46">
        <f t="shared" si="10"/>
        <v>0</v>
      </c>
      <c r="S46">
        <f t="shared" si="11"/>
        <v>0</v>
      </c>
      <c r="T46">
        <f t="shared" si="12"/>
        <v>0</v>
      </c>
      <c r="U46">
        <f t="shared" si="7"/>
        <v>0</v>
      </c>
      <c r="V46">
        <f t="shared" si="13"/>
        <v>0</v>
      </c>
      <c r="W46">
        <f t="shared" si="14"/>
        <v>0</v>
      </c>
      <c r="X46">
        <f>SUM($W$34:W46)</f>
        <v>-2.0776128999999344</v>
      </c>
      <c r="Y46">
        <f t="shared" si="15"/>
        <v>0</v>
      </c>
    </row>
    <row r="47" spans="1:25">
      <c r="A47">
        <v>91.770022850000004</v>
      </c>
      <c r="B47" s="2">
        <f t="shared" si="0"/>
        <v>2.2193811711648099E-2</v>
      </c>
      <c r="C47">
        <v>99.097076920000006</v>
      </c>
      <c r="D47" s="3">
        <f t="shared" si="1"/>
        <v>1.1898580093510733E-2</v>
      </c>
      <c r="E47" s="3">
        <f t="shared" si="2"/>
        <v>7.1237665291421469E-4</v>
      </c>
      <c r="F47" s="3">
        <f>STDEV($E$32:E47)</f>
        <v>1.0471496330786511E-2</v>
      </c>
      <c r="G47" s="14">
        <f t="shared" si="5"/>
        <v>6.8030072342173883E-2</v>
      </c>
      <c r="H47" s="3">
        <f>yint($B$3:B47,$D$3:D47)</f>
        <v>7.2924801190788369E-4</v>
      </c>
      <c r="I47" s="5">
        <f>MyReg($B$3:B47,$D$3:D47)</f>
        <v>0.47116536647918178</v>
      </c>
      <c r="J47" s="6">
        <f>STDEV($D$3:D47)</f>
        <v>1.2205974043533862E-2</v>
      </c>
      <c r="K47" s="4">
        <f t="shared" si="3"/>
        <v>1.1186203440596518E-2</v>
      </c>
      <c r="L47">
        <f t="shared" si="6"/>
        <v>6.8030072342173883E-2</v>
      </c>
      <c r="M47">
        <f>RSQ($D$3:D47,$B$3:B47)</f>
        <v>0.26215663808803935</v>
      </c>
      <c r="N47">
        <v>15</v>
      </c>
      <c r="O47" t="str">
        <f t="shared" si="4"/>
        <v/>
      </c>
      <c r="P47" t="str">
        <f t="shared" si="8"/>
        <v/>
      </c>
      <c r="Q47">
        <f t="shared" si="9"/>
        <v>0</v>
      </c>
      <c r="R47">
        <f t="shared" si="10"/>
        <v>0</v>
      </c>
      <c r="S47">
        <f t="shared" si="11"/>
        <v>0</v>
      </c>
      <c r="T47">
        <f t="shared" si="12"/>
        <v>0</v>
      </c>
      <c r="U47">
        <f t="shared" si="7"/>
        <v>0</v>
      </c>
      <c r="V47">
        <f t="shared" si="13"/>
        <v>0</v>
      </c>
      <c r="W47">
        <f t="shared" si="14"/>
        <v>0</v>
      </c>
      <c r="X47">
        <f>SUM($W$34:W47)</f>
        <v>-2.0776128999999344</v>
      </c>
      <c r="Y47">
        <f t="shared" si="15"/>
        <v>0</v>
      </c>
    </row>
    <row r="48" spans="1:25">
      <c r="A48">
        <v>90.099112779999999</v>
      </c>
      <c r="B48" s="2">
        <f t="shared" si="0"/>
        <v>-1.8207580407069768E-2</v>
      </c>
      <c r="C48">
        <v>99.022453600000006</v>
      </c>
      <c r="D48" s="3">
        <f t="shared" si="1"/>
        <v>-7.5303250428106173E-4</v>
      </c>
      <c r="E48" s="3">
        <f t="shared" si="2"/>
        <v>6.7143844158150312E-3</v>
      </c>
      <c r="F48" s="3">
        <f>STDEV($E$32:E48)</f>
        <v>1.0198935015934489E-2</v>
      </c>
      <c r="G48" s="14">
        <f t="shared" si="5"/>
        <v>0.65834171953490161</v>
      </c>
      <c r="H48" s="3">
        <f>yint($B$3:B48,$D$3:D48)</f>
        <v>8.5257793094110858E-4</v>
      </c>
      <c r="I48" s="5">
        <f>MyReg($B$3:B48,$D$3:D48)</f>
        <v>0.45695225093207087</v>
      </c>
      <c r="J48" s="6">
        <f>STDEV($D$3:D48)</f>
        <v>1.2069941274857028E-2</v>
      </c>
      <c r="K48" s="4">
        <f t="shared" si="3"/>
        <v>-7.4674169200960932E-3</v>
      </c>
      <c r="L48">
        <f t="shared" si="6"/>
        <v>0.65834171953490161</v>
      </c>
      <c r="M48">
        <f>RSQ($D$3:D48,$B$3:B48)</f>
        <v>0.25493135193695471</v>
      </c>
      <c r="N48">
        <v>16</v>
      </c>
      <c r="O48" t="str">
        <f t="shared" si="4"/>
        <v/>
      </c>
      <c r="P48" t="str">
        <f t="shared" si="8"/>
        <v/>
      </c>
      <c r="Q48">
        <f t="shared" si="9"/>
        <v>0</v>
      </c>
      <c r="R48">
        <f t="shared" si="10"/>
        <v>0</v>
      </c>
      <c r="S48">
        <f t="shared" si="11"/>
        <v>0</v>
      </c>
      <c r="T48">
        <f t="shared" si="12"/>
        <v>0</v>
      </c>
      <c r="U48">
        <f t="shared" si="7"/>
        <v>0</v>
      </c>
      <c r="V48">
        <f t="shared" si="13"/>
        <v>0</v>
      </c>
      <c r="W48">
        <f t="shared" si="14"/>
        <v>0</v>
      </c>
      <c r="X48">
        <f>SUM($W$34:W48)</f>
        <v>-2.0776128999999344</v>
      </c>
      <c r="Y48">
        <f t="shared" si="15"/>
        <v>0</v>
      </c>
    </row>
    <row r="49" spans="1:25">
      <c r="A49">
        <v>90.451956980000006</v>
      </c>
      <c r="B49" s="2">
        <f t="shared" si="0"/>
        <v>3.9161784074563111E-3</v>
      </c>
      <c r="C49">
        <v>98.7116063</v>
      </c>
      <c r="D49" s="3">
        <f t="shared" si="1"/>
        <v>-3.1391597430585785E-3</v>
      </c>
      <c r="E49" s="3">
        <f t="shared" si="2"/>
        <v>-5.6326675115598631E-3</v>
      </c>
      <c r="F49" s="3">
        <f>STDEV($E$32:E49)</f>
        <v>1.0075240580868835E-2</v>
      </c>
      <c r="G49" s="14">
        <f t="shared" si="5"/>
        <v>-0.5590603486189043</v>
      </c>
      <c r="H49" s="3">
        <f>yint($B$3:B49,$D$3:D49)</f>
        <v>7.2079373433085151E-4</v>
      </c>
      <c r="I49" s="5">
        <f>MyReg($B$3:B49,$D$3:D49)</f>
        <v>0.45266426851116559</v>
      </c>
      <c r="J49" s="6">
        <f>STDEV($D$3:D49)</f>
        <v>1.1946026584560406E-2</v>
      </c>
      <c r="K49" s="4">
        <f t="shared" si="3"/>
        <v>2.4935077685012842E-3</v>
      </c>
      <c r="L49">
        <f t="shared" si="6"/>
        <v>-0.5590603486189043</v>
      </c>
      <c r="M49">
        <f>RSQ($D$3:D49,$B$3:B49)</f>
        <v>0.25096852097395955</v>
      </c>
      <c r="N49">
        <v>17</v>
      </c>
      <c r="O49" t="str">
        <f t="shared" si="4"/>
        <v/>
      </c>
      <c r="P49" t="str">
        <f t="shared" si="8"/>
        <v/>
      </c>
      <c r="Q49">
        <f t="shared" si="9"/>
        <v>0</v>
      </c>
      <c r="R49">
        <f t="shared" si="10"/>
        <v>0</v>
      </c>
      <c r="S49">
        <f t="shared" si="11"/>
        <v>0</v>
      </c>
      <c r="T49">
        <f t="shared" si="12"/>
        <v>0</v>
      </c>
      <c r="U49">
        <f t="shared" si="7"/>
        <v>0</v>
      </c>
      <c r="V49">
        <f t="shared" si="13"/>
        <v>0</v>
      </c>
      <c r="W49">
        <f t="shared" si="14"/>
        <v>0</v>
      </c>
      <c r="X49">
        <f>SUM($W$34:W49)</f>
        <v>-2.0776128999999344</v>
      </c>
      <c r="Y49">
        <f t="shared" si="15"/>
        <v>0</v>
      </c>
    </row>
    <row r="50" spans="1:25">
      <c r="A50">
        <v>92.218630129999994</v>
      </c>
      <c r="B50" s="2">
        <f t="shared" si="0"/>
        <v>1.9531618872443198E-2</v>
      </c>
      <c r="C50">
        <v>100.6370616</v>
      </c>
      <c r="D50" s="3">
        <f t="shared" si="1"/>
        <v>1.9505865340173234E-2</v>
      </c>
      <c r="E50" s="3">
        <f t="shared" si="2"/>
        <v>9.214125892580742E-3</v>
      </c>
      <c r="F50" s="3">
        <f>STDEV($E$32:E50)</f>
        <v>9.9309726423187604E-3</v>
      </c>
      <c r="G50" s="14">
        <f t="shared" si="5"/>
        <v>0.92781706530100327</v>
      </c>
      <c r="H50" s="3">
        <f>yint($B$3:B50,$D$3:D50)</f>
        <v>9.6746866025379638E-4</v>
      </c>
      <c r="I50" s="5">
        <f>MyReg($B$3:B50,$D$3:D50)</f>
        <v>0.47739364812683999</v>
      </c>
      <c r="J50" s="6">
        <f>STDEV($D$3:D50)</f>
        <v>1.215590988327948E-2</v>
      </c>
      <c r="K50" s="4">
        <f t="shared" si="3"/>
        <v>1.0291739447592492E-2</v>
      </c>
      <c r="L50">
        <f t="shared" si="6"/>
        <v>0.92781706530100327</v>
      </c>
      <c r="M50">
        <f>RSQ($D$3:D50,$B$3:B50)</f>
        <v>0.27880925416680569</v>
      </c>
      <c r="N50">
        <v>18</v>
      </c>
      <c r="O50" t="str">
        <f t="shared" si="4"/>
        <v/>
      </c>
      <c r="P50" t="str">
        <f t="shared" si="8"/>
        <v/>
      </c>
      <c r="Q50">
        <f t="shared" si="9"/>
        <v>0</v>
      </c>
      <c r="R50">
        <f t="shared" si="10"/>
        <v>0</v>
      </c>
      <c r="S50">
        <f t="shared" si="11"/>
        <v>0</v>
      </c>
      <c r="T50">
        <f t="shared" si="12"/>
        <v>0</v>
      </c>
      <c r="U50">
        <f t="shared" si="7"/>
        <v>0</v>
      </c>
      <c r="V50">
        <f t="shared" si="13"/>
        <v>0</v>
      </c>
      <c r="W50">
        <f t="shared" si="14"/>
        <v>0</v>
      </c>
      <c r="X50">
        <f>SUM($W$34:W50)</f>
        <v>-2.0776128999999344</v>
      </c>
      <c r="Y50">
        <f t="shared" si="15"/>
        <v>0</v>
      </c>
    </row>
    <row r="51" spans="1:25">
      <c r="A51">
        <v>92.462383000000003</v>
      </c>
      <c r="B51" s="2">
        <f t="shared" si="0"/>
        <v>2.6432063635774233E-3</v>
      </c>
      <c r="C51">
        <v>99.170691189999999</v>
      </c>
      <c r="D51" s="3">
        <f t="shared" si="1"/>
        <v>-1.457087862748167E-2</v>
      </c>
      <c r="E51" s="3">
        <f t="shared" si="2"/>
        <v>-1.6423278474483962E-2</v>
      </c>
      <c r="F51" s="3">
        <f>STDEV($E$32:E51)</f>
        <v>1.05393588927009E-2</v>
      </c>
      <c r="G51" s="14">
        <f t="shared" si="5"/>
        <v>-1.5582805976801879</v>
      </c>
      <c r="H51" s="3">
        <f>yint($B$3:B51,$D$3:D51)</f>
        <v>6.122185716014813E-4</v>
      </c>
      <c r="I51" s="5">
        <f>MyReg($B$3:B51,$D$3:D51)</f>
        <v>0.46919578149104468</v>
      </c>
      <c r="J51" s="6">
        <f>STDEV($D$3:D51)</f>
        <v>1.2212417628403572E-2</v>
      </c>
      <c r="K51" s="4">
        <f t="shared" si="3"/>
        <v>1.8523998470022928E-3</v>
      </c>
      <c r="L51">
        <f t="shared" si="6"/>
        <v>-1.5582805976801879</v>
      </c>
      <c r="M51">
        <f>RSQ($D$3:D51,$B$3:B51)</f>
        <v>0.26181230801168531</v>
      </c>
      <c r="N51">
        <v>19</v>
      </c>
      <c r="O51" t="str">
        <f t="shared" si="4"/>
        <v>buyY</v>
      </c>
      <c r="P51" t="str">
        <f t="shared" si="8"/>
        <v/>
      </c>
      <c r="Q51">
        <f t="shared" si="9"/>
        <v>-10</v>
      </c>
      <c r="R51">
        <f t="shared" si="10"/>
        <v>0</v>
      </c>
      <c r="S51">
        <f t="shared" si="11"/>
        <v>10</v>
      </c>
      <c r="T51">
        <f t="shared" si="12"/>
        <v>0</v>
      </c>
      <c r="U51">
        <f t="shared" si="7"/>
        <v>20</v>
      </c>
      <c r="V51">
        <f t="shared" si="13"/>
        <v>-10</v>
      </c>
      <c r="W51">
        <f t="shared" si="14"/>
        <v>-67.083081899999968</v>
      </c>
      <c r="X51">
        <f>SUM($W$34:W51)</f>
        <v>-69.160694799999902</v>
      </c>
      <c r="Y51">
        <f t="shared" si="15"/>
        <v>0</v>
      </c>
    </row>
    <row r="52" spans="1:25">
      <c r="A52">
        <v>91.795651090000007</v>
      </c>
      <c r="B52" s="2">
        <f t="shared" si="0"/>
        <v>-7.2108449768160934E-3</v>
      </c>
      <c r="C52">
        <v>99.231381670000005</v>
      </c>
      <c r="D52" s="3">
        <f t="shared" si="1"/>
        <v>6.1198000408940387E-4</v>
      </c>
      <c r="E52" s="3">
        <f t="shared" si="2"/>
        <v>3.3030472221017718E-3</v>
      </c>
      <c r="F52" s="3">
        <f>STDEV($E$32:E52)</f>
        <v>1.0280686577213689E-2</v>
      </c>
      <c r="G52" s="14">
        <f t="shared" si="5"/>
        <v>0.32128663755032755</v>
      </c>
      <c r="H52" s="3">
        <f>yint($B$3:B52,$D$3:D52)</f>
        <v>6.7628600985964588E-4</v>
      </c>
      <c r="I52" s="5">
        <f>MyReg($B$3:B52,$D$3:D52)</f>
        <v>0.46698455433427566</v>
      </c>
      <c r="J52" s="6">
        <f>STDEV($D$3:D52)</f>
        <v>1.208757442256384E-2</v>
      </c>
      <c r="K52" s="4">
        <f t="shared" si="3"/>
        <v>-2.6910672180123678E-3</v>
      </c>
      <c r="L52">
        <f t="shared" si="6"/>
        <v>0.32128663755032755</v>
      </c>
      <c r="M52">
        <f>RSQ($D$3:D52,$B$3:B52)</f>
        <v>0.26030226722415362</v>
      </c>
      <c r="N52">
        <v>20</v>
      </c>
      <c r="O52" t="str">
        <f t="shared" si="4"/>
        <v/>
      </c>
      <c r="P52" t="str">
        <f t="shared" si="8"/>
        <v>close</v>
      </c>
      <c r="Q52">
        <f t="shared" si="9"/>
        <v>0</v>
      </c>
      <c r="R52">
        <f t="shared" si="10"/>
        <v>0</v>
      </c>
      <c r="S52">
        <f t="shared" si="11"/>
        <v>0</v>
      </c>
      <c r="T52">
        <f t="shared" si="12"/>
        <v>0</v>
      </c>
      <c r="U52">
        <f t="shared" si="7"/>
        <v>0</v>
      </c>
      <c r="V52">
        <f t="shared" si="13"/>
        <v>10</v>
      </c>
      <c r="W52">
        <f t="shared" si="14"/>
        <v>74.357305799999978</v>
      </c>
      <c r="X52">
        <f>SUM($W$34:W52)</f>
        <v>5.1966110000000754</v>
      </c>
      <c r="Y52">
        <f t="shared" si="15"/>
        <v>5.1966110000000754</v>
      </c>
    </row>
    <row r="53" spans="1:25">
      <c r="A53">
        <v>91.986704149999994</v>
      </c>
      <c r="B53" s="2">
        <f t="shared" si="0"/>
        <v>2.081286615775202E-3</v>
      </c>
      <c r="C53">
        <v>99.341360600000002</v>
      </c>
      <c r="D53" s="3">
        <f t="shared" si="1"/>
        <v>1.1083079581189199E-3</v>
      </c>
      <c r="E53" s="3">
        <f t="shared" si="2"/>
        <v>-5.2848739757461408E-4</v>
      </c>
      <c r="F53" s="3">
        <f>STDEV($E$32:E53)</f>
        <v>1.0042353794539091E-2</v>
      </c>
      <c r="G53" s="14">
        <f t="shared" si="5"/>
        <v>-5.2625849316521693E-2</v>
      </c>
      <c r="H53" s="3">
        <f>yint($B$3:B53,$D$3:D53)</f>
        <v>6.6534372625139874E-4</v>
      </c>
      <c r="I53" s="5">
        <f>MyReg($B$3:B53,$D$3:D53)</f>
        <v>0.46675533397417523</v>
      </c>
      <c r="J53" s="6">
        <f>STDEV($D$3:D53)</f>
        <v>1.1967250255696688E-2</v>
      </c>
      <c r="K53" s="4">
        <f t="shared" si="3"/>
        <v>1.636795355693534E-3</v>
      </c>
      <c r="L53">
        <f t="shared" si="6"/>
        <v>-5.2625849316521693E-2</v>
      </c>
      <c r="M53">
        <f>RSQ($D$3:D53,$B$3:B53)</f>
        <v>0.26040606962235996</v>
      </c>
      <c r="N53">
        <v>21</v>
      </c>
      <c r="O53" t="str">
        <f t="shared" si="4"/>
        <v/>
      </c>
      <c r="P53" t="str">
        <f t="shared" si="8"/>
        <v/>
      </c>
      <c r="Q53">
        <f t="shared" si="9"/>
        <v>0</v>
      </c>
      <c r="R53">
        <f t="shared" si="10"/>
        <v>0</v>
      </c>
      <c r="S53">
        <f t="shared" si="11"/>
        <v>0</v>
      </c>
      <c r="T53">
        <f t="shared" si="12"/>
        <v>0</v>
      </c>
      <c r="U53">
        <f t="shared" si="7"/>
        <v>0</v>
      </c>
      <c r="V53">
        <f t="shared" si="13"/>
        <v>0</v>
      </c>
      <c r="W53">
        <f t="shared" si="14"/>
        <v>0</v>
      </c>
      <c r="X53">
        <f>SUM($W$34:W53)</f>
        <v>5.1966110000000754</v>
      </c>
      <c r="Y53">
        <f t="shared" si="15"/>
        <v>0</v>
      </c>
    </row>
    <row r="54" spans="1:25">
      <c r="A54">
        <v>93.025177720000002</v>
      </c>
      <c r="B54" s="2">
        <f t="shared" si="0"/>
        <v>1.1289387739195435E-2</v>
      </c>
      <c r="C54">
        <v>95.816172609999995</v>
      </c>
      <c r="D54" s="3">
        <f t="shared" si="1"/>
        <v>-3.5485602056471194E-2</v>
      </c>
      <c r="E54" s="3">
        <f t="shared" si="2"/>
        <v>-3.9870346111881158E-2</v>
      </c>
      <c r="F54" s="3">
        <f>STDEV($E$32:E54)</f>
        <v>1.3053325838834921E-2</v>
      </c>
      <c r="G54" s="14">
        <f t="shared" si="5"/>
        <v>-3.0544205058654845</v>
      </c>
      <c r="H54" s="3">
        <f>yint($B$3:B54,$D$3:D54)</f>
        <v>-2.0930209582237615E-4</v>
      </c>
      <c r="I54" s="5">
        <f>MyReg($B$3:B54,$D$3:D54)</f>
        <v>0.40693492484825811</v>
      </c>
      <c r="J54" s="6">
        <f>STDEV($D$3:D54)</f>
        <v>1.2827391397302946E-2</v>
      </c>
      <c r="K54" s="4">
        <f t="shared" si="3"/>
        <v>4.3847440554099651E-3</v>
      </c>
      <c r="L54">
        <f t="shared" si="6"/>
        <v>-3.0544205058654845</v>
      </c>
      <c r="M54">
        <f>RSQ($D$3:D54,$B$3:B54)</f>
        <v>0.17209358867541519</v>
      </c>
      <c r="N54">
        <v>22</v>
      </c>
      <c r="O54" t="str">
        <f t="shared" si="4"/>
        <v>buyY</v>
      </c>
      <c r="P54" t="str">
        <f t="shared" si="8"/>
        <v/>
      </c>
      <c r="Q54">
        <f t="shared" si="9"/>
        <v>-20</v>
      </c>
      <c r="R54">
        <f t="shared" si="10"/>
        <v>-10</v>
      </c>
      <c r="S54">
        <f t="shared" si="11"/>
        <v>20</v>
      </c>
      <c r="T54">
        <f t="shared" si="12"/>
        <v>10</v>
      </c>
      <c r="U54">
        <f t="shared" si="7"/>
        <v>40</v>
      </c>
      <c r="V54">
        <f t="shared" si="13"/>
        <v>-20</v>
      </c>
      <c r="W54">
        <f>IF(ABS(V54)&gt;0,V54*(C54-A54),0)</f>
        <v>-55.819897799999865</v>
      </c>
      <c r="X54">
        <f>SUM($W$34:W54)</f>
        <v>-50.623286799999789</v>
      </c>
      <c r="Y54">
        <f t="shared" si="15"/>
        <v>0</v>
      </c>
    </row>
    <row r="55" spans="1:25">
      <c r="A55">
        <v>94.840581940000007</v>
      </c>
      <c r="B55" s="2">
        <f t="shared" si="0"/>
        <v>1.9515192171567344E-2</v>
      </c>
      <c r="C55">
        <v>94.335099240000005</v>
      </c>
      <c r="D55" s="3">
        <f t="shared" si="1"/>
        <v>-1.5457446583974861E-2</v>
      </c>
      <c r="E55" s="3">
        <f t="shared" si="2"/>
        <v>-2.1693985561800334E-2</v>
      </c>
      <c r="F55" s="3">
        <f>STDEV($E$32:E55)</f>
        <v>1.348768061294473E-2</v>
      </c>
      <c r="G55" s="14">
        <f t="shared" si="5"/>
        <v>-1.6084296614333859</v>
      </c>
      <c r="H55" s="3">
        <f>yint($B$3:B55,$D$3:D55)</f>
        <v>-6.941152428352965E-4</v>
      </c>
      <c r="I55" s="5">
        <f>MyReg($B$3:B55,$D$3:D55)</f>
        <v>0.35514147950632963</v>
      </c>
      <c r="J55" s="6">
        <f>STDEV($D$3:D55)</f>
        <v>1.2863289838193308E-2</v>
      </c>
      <c r="K55" s="4">
        <f t="shared" si="3"/>
        <v>6.2365389778254723E-3</v>
      </c>
      <c r="L55">
        <f t="shared" si="6"/>
        <v>-1.6084296614333859</v>
      </c>
      <c r="M55">
        <f>RSQ($D$3:D55,$B$3:B55)</f>
        <v>0.13407183993617749</v>
      </c>
      <c r="N55">
        <v>23</v>
      </c>
      <c r="O55" t="str">
        <f t="shared" si="4"/>
        <v>buyY</v>
      </c>
      <c r="P55" t="str">
        <f t="shared" si="8"/>
        <v>buyhold</v>
      </c>
      <c r="Q55">
        <f t="shared" si="9"/>
        <v>-20</v>
      </c>
      <c r="R55">
        <f t="shared" si="10"/>
        <v>0</v>
      </c>
      <c r="S55">
        <f t="shared" si="11"/>
        <v>20</v>
      </c>
      <c r="T55">
        <f t="shared" si="12"/>
        <v>0</v>
      </c>
      <c r="U55">
        <f t="shared" si="7"/>
        <v>40</v>
      </c>
      <c r="V55">
        <f t="shared" si="13"/>
        <v>0</v>
      </c>
      <c r="W55">
        <f t="shared" ref="W55:W75" si="16">IF(ABS(V55)&gt;0,V55*(C55-A55),0)</f>
        <v>0</v>
      </c>
      <c r="X55">
        <f>SUM($W$34:W55)</f>
        <v>-50.623286799999789</v>
      </c>
      <c r="Y55">
        <f t="shared" si="15"/>
        <v>0</v>
      </c>
    </row>
    <row r="56" spans="1:25">
      <c r="A56">
        <v>94.602950860000007</v>
      </c>
      <c r="B56" s="2">
        <f t="shared" si="0"/>
        <v>-2.5055843726300093E-3</v>
      </c>
      <c r="C56">
        <v>96.264833339999996</v>
      </c>
      <c r="D56" s="3">
        <f t="shared" si="1"/>
        <v>2.0456162293215077E-2</v>
      </c>
      <c r="E56" s="3">
        <f t="shared" si="2"/>
        <v>2.1626076309587027E-2</v>
      </c>
      <c r="F56" s="3">
        <f>STDEV($E$32:E56)</f>
        <v>1.3974818954911627E-2</v>
      </c>
      <c r="G56" s="14">
        <f t="shared" si="5"/>
        <v>1.5475031468644729</v>
      </c>
      <c r="H56" s="3">
        <f>yint($B$3:B56,$D$3:D56)</f>
        <v>-2.8951368344995329E-4</v>
      </c>
      <c r="I56" s="5">
        <f>MyReg($B$3:B56,$D$3:D56)</f>
        <v>0.35137524903935946</v>
      </c>
      <c r="J56" s="6">
        <f>STDEV($D$3:D56)</f>
        <v>1.3072187899094374E-2</v>
      </c>
      <c r="K56" s="4">
        <f t="shared" si="3"/>
        <v>-1.16991401637195E-3</v>
      </c>
      <c r="L56">
        <f t="shared" si="6"/>
        <v>1.5475031468644729</v>
      </c>
      <c r="M56">
        <f>RSQ($D$3:D56,$B$3:B56)</f>
        <v>0.12471834779483781</v>
      </c>
      <c r="N56">
        <v>24</v>
      </c>
      <c r="O56" t="str">
        <f t="shared" si="4"/>
        <v>sellY</v>
      </c>
      <c r="P56" t="str">
        <f t="shared" si="8"/>
        <v>close&amp;sell</v>
      </c>
      <c r="Q56">
        <f t="shared" si="9"/>
        <v>10</v>
      </c>
      <c r="R56">
        <f t="shared" si="10"/>
        <v>0</v>
      </c>
      <c r="S56">
        <f t="shared" si="11"/>
        <v>-10</v>
      </c>
      <c r="T56">
        <f t="shared" si="12"/>
        <v>0</v>
      </c>
      <c r="U56">
        <f t="shared" si="7"/>
        <v>20</v>
      </c>
      <c r="V56">
        <f>Q56-Q55</f>
        <v>30</v>
      </c>
      <c r="W56">
        <f t="shared" si="16"/>
        <v>49.856474399999655</v>
      </c>
      <c r="X56">
        <f>SUM($W$34:W56)</f>
        <v>-0.76681240000013418</v>
      </c>
      <c r="Y56">
        <f t="shared" si="15"/>
        <v>0</v>
      </c>
    </row>
    <row r="57" spans="1:25">
      <c r="A57">
        <v>93.241483700000003</v>
      </c>
      <c r="B57" s="2">
        <f t="shared" si="0"/>
        <v>-1.4391381533275818E-2</v>
      </c>
      <c r="C57">
        <v>96.30470425</v>
      </c>
      <c r="D57" s="3">
        <f t="shared" si="1"/>
        <v>4.1417939050685069E-4</v>
      </c>
      <c r="E57" s="3">
        <f t="shared" si="2"/>
        <v>5.5480367458161277E-3</v>
      </c>
      <c r="F57" s="3">
        <f>STDEV($E$32:E57)</f>
        <v>1.3741211784616578E-2</v>
      </c>
      <c r="G57" s="14">
        <f t="shared" si="5"/>
        <v>0.40375163652067497</v>
      </c>
      <c r="H57" s="3">
        <f>yint($B$3:B57,$D$3:D57)</f>
        <v>-1.9445713654635136E-4</v>
      </c>
      <c r="I57" s="5">
        <f>MyReg($B$3:B57,$D$3:D57)</f>
        <v>0.34321932243558562</v>
      </c>
      <c r="J57" s="6">
        <f>STDEV($D$3:D57)</f>
        <v>1.2951335125303609E-2</v>
      </c>
      <c r="K57" s="4">
        <f t="shared" si="3"/>
        <v>-5.1338573553092771E-3</v>
      </c>
      <c r="L57">
        <f t="shared" si="6"/>
        <v>0.40375163652067497</v>
      </c>
      <c r="M57">
        <f>RSQ($D$3:D57,$B$3:B57)</f>
        <v>0.12129156565324224</v>
      </c>
      <c r="N57">
        <v>25</v>
      </c>
      <c r="O57" t="str">
        <f t="shared" si="4"/>
        <v/>
      </c>
      <c r="P57" t="str">
        <f t="shared" si="8"/>
        <v>close</v>
      </c>
      <c r="Q57">
        <f t="shared" si="9"/>
        <v>0</v>
      </c>
      <c r="R57">
        <f t="shared" si="10"/>
        <v>0</v>
      </c>
      <c r="S57">
        <f t="shared" si="11"/>
        <v>0</v>
      </c>
      <c r="T57">
        <f t="shared" si="12"/>
        <v>0</v>
      </c>
      <c r="U57">
        <f t="shared" si="7"/>
        <v>0</v>
      </c>
      <c r="V57">
        <f t="shared" si="13"/>
        <v>-10</v>
      </c>
      <c r="W57">
        <f t="shared" si="16"/>
        <v>-30.632205499999969</v>
      </c>
      <c r="X57">
        <f>SUM($W$34:W57)</f>
        <v>-31.399017900000104</v>
      </c>
      <c r="Y57">
        <f t="shared" si="15"/>
        <v>-31.399017900000104</v>
      </c>
    </row>
    <row r="58" spans="1:25">
      <c r="A58">
        <v>94.007092279999995</v>
      </c>
      <c r="B58" s="2">
        <f t="shared" si="0"/>
        <v>8.2110295720229029E-3</v>
      </c>
      <c r="C58">
        <v>99.128091920000003</v>
      </c>
      <c r="D58" s="3">
        <f t="shared" si="1"/>
        <v>2.9317235248142122E-2</v>
      </c>
      <c r="E58" s="3">
        <f t="shared" si="2"/>
        <v>2.5975249601447037E-2</v>
      </c>
      <c r="F58" s="3">
        <f>STDEV($E$32:E58)</f>
        <v>1.4379923750889582E-2</v>
      </c>
      <c r="G58" s="14">
        <f t="shared" si="5"/>
        <v>1.8063551692921971</v>
      </c>
      <c r="H58" s="3">
        <f>yint($B$3:B58,$D$3:D58)</f>
        <v>3.088831797714483E-4</v>
      </c>
      <c r="I58" s="5">
        <f>MyReg($B$3:B58,$D$3:D58)</f>
        <v>0.3693936844726754</v>
      </c>
      <c r="J58" s="6">
        <f>STDEV($D$3:D58)</f>
        <v>1.3441431979742501E-2</v>
      </c>
      <c r="K58" s="4">
        <f t="shared" si="3"/>
        <v>3.3419856466950833E-3</v>
      </c>
      <c r="L58">
        <f t="shared" si="6"/>
        <v>1.8063551692921971</v>
      </c>
      <c r="M58">
        <f>RSQ($D$3:D58,$B$3:B58)</f>
        <v>0.12925749677426682</v>
      </c>
      <c r="N58">
        <v>26</v>
      </c>
      <c r="O58" t="str">
        <f t="shared" si="4"/>
        <v>sellY</v>
      </c>
      <c r="P58" t="str">
        <f t="shared" si="8"/>
        <v/>
      </c>
      <c r="Q58">
        <f t="shared" si="9"/>
        <v>10</v>
      </c>
      <c r="R58">
        <f t="shared" si="10"/>
        <v>0</v>
      </c>
      <c r="S58">
        <f t="shared" si="11"/>
        <v>-10</v>
      </c>
      <c r="T58">
        <f t="shared" si="12"/>
        <v>0</v>
      </c>
      <c r="U58">
        <f t="shared" si="7"/>
        <v>20</v>
      </c>
      <c r="V58">
        <f t="shared" si="13"/>
        <v>10</v>
      </c>
      <c r="W58">
        <f t="shared" si="16"/>
        <v>51.20999640000008</v>
      </c>
      <c r="X58">
        <f>SUM($W$34:W58)</f>
        <v>19.810978499999976</v>
      </c>
      <c r="Y58">
        <f t="shared" si="15"/>
        <v>0</v>
      </c>
    </row>
    <row r="59" spans="1:25">
      <c r="A59">
        <v>96.42809312</v>
      </c>
      <c r="B59" s="2">
        <f t="shared" si="0"/>
        <v>2.5753384997687805E-2</v>
      </c>
      <c r="C59">
        <v>97.874166900000006</v>
      </c>
      <c r="D59" s="3">
        <f t="shared" si="1"/>
        <v>-1.2649542583871787E-2</v>
      </c>
      <c r="E59" s="3">
        <f t="shared" si="2"/>
        <v>-2.0540691856689431E-2</v>
      </c>
      <c r="F59" s="3">
        <f>STDEV($E$32:E59)</f>
        <v>1.4678473352464406E-2</v>
      </c>
      <c r="G59" s="14">
        <f t="shared" si="5"/>
        <v>-1.399375218625226</v>
      </c>
      <c r="H59" s="3">
        <f>yint($B$3:B59,$D$3:D59)</f>
        <v>-1.1744357297602454E-4</v>
      </c>
      <c r="I59" s="5">
        <f>MyReg($B$3:B59,$D$3:D59)</f>
        <v>0.31097243513863115</v>
      </c>
      <c r="J59" s="6">
        <f>STDEV($D$3:D59)</f>
        <v>1.3424720868676474E-2</v>
      </c>
      <c r="K59" s="4">
        <f t="shared" si="3"/>
        <v>7.8911492728176436E-3</v>
      </c>
      <c r="L59">
        <f t="shared" si="6"/>
        <v>-1.399375218625226</v>
      </c>
      <c r="M59">
        <f>RSQ($D$3:D59,$B$3:B59)</f>
        <v>9.6940934868760001E-2</v>
      </c>
      <c r="N59">
        <v>27</v>
      </c>
      <c r="O59" t="str">
        <f t="shared" si="4"/>
        <v/>
      </c>
      <c r="P59" t="str">
        <f t="shared" si="8"/>
        <v>close</v>
      </c>
      <c r="Q59">
        <f t="shared" si="9"/>
        <v>0</v>
      </c>
      <c r="R59">
        <f t="shared" si="10"/>
        <v>0</v>
      </c>
      <c r="S59">
        <f t="shared" si="11"/>
        <v>0</v>
      </c>
      <c r="T59">
        <f t="shared" si="12"/>
        <v>0</v>
      </c>
      <c r="U59">
        <f t="shared" si="7"/>
        <v>0</v>
      </c>
      <c r="V59">
        <f t="shared" si="13"/>
        <v>-10</v>
      </c>
      <c r="W59">
        <f t="shared" si="16"/>
        <v>-14.460737800000061</v>
      </c>
      <c r="X59">
        <f>SUM($W$34:W59)</f>
        <v>5.3502406999999153</v>
      </c>
      <c r="Y59">
        <f t="shared" si="15"/>
        <v>5.3502406999999153</v>
      </c>
    </row>
    <row r="60" spans="1:25">
      <c r="A60">
        <v>98.154664639999993</v>
      </c>
      <c r="B60" s="2">
        <f t="shared" si="0"/>
        <v>1.7905274947741218E-2</v>
      </c>
      <c r="C60">
        <v>97.149951180000002</v>
      </c>
      <c r="D60" s="3">
        <f t="shared" si="1"/>
        <v>-7.3994573127753862E-3</v>
      </c>
      <c r="E60" s="3">
        <f t="shared" si="2"/>
        <v>-1.2224110260141412E-2</v>
      </c>
      <c r="F60" s="3">
        <f>STDEV($E$32:E60)</f>
        <v>1.4593976689034059E-2</v>
      </c>
      <c r="G60" s="14">
        <f t="shared" si="5"/>
        <v>-0.83761338808541685</v>
      </c>
      <c r="H60" s="3">
        <f>yint($B$3:B60,$D$3:D60)</f>
        <v>-3.4414896905000795E-4</v>
      </c>
      <c r="I60" s="5">
        <f>MyReg($B$3:B60,$D$3:D60)</f>
        <v>0.28867481407025741</v>
      </c>
      <c r="J60" s="6">
        <f>STDEV($D$3:D60)</f>
        <v>1.3339160581785189E-2</v>
      </c>
      <c r="K60" s="4">
        <f t="shared" si="3"/>
        <v>4.8246529473660264E-3</v>
      </c>
      <c r="L60">
        <f t="shared" si="6"/>
        <v>-0.83761338808541685</v>
      </c>
      <c r="M60">
        <f>RSQ($D$3:D60,$B$3:B60)</f>
        <v>8.587815100427823E-2</v>
      </c>
      <c r="N60">
        <v>28</v>
      </c>
      <c r="O60" t="str">
        <f t="shared" si="4"/>
        <v/>
      </c>
      <c r="P60" t="str">
        <f t="shared" si="8"/>
        <v/>
      </c>
      <c r="Q60">
        <f t="shared" si="9"/>
        <v>0</v>
      </c>
      <c r="R60">
        <f t="shared" si="10"/>
        <v>0</v>
      </c>
      <c r="S60">
        <f t="shared" si="11"/>
        <v>0</v>
      </c>
      <c r="T60">
        <f t="shared" si="12"/>
        <v>0</v>
      </c>
      <c r="U60">
        <f t="shared" si="7"/>
        <v>0</v>
      </c>
      <c r="V60">
        <f t="shared" si="13"/>
        <v>0</v>
      </c>
      <c r="W60">
        <f t="shared" si="16"/>
        <v>0</v>
      </c>
      <c r="X60">
        <f>SUM($W$34:W60)</f>
        <v>5.3502406999999153</v>
      </c>
      <c r="Y60">
        <f t="shared" si="15"/>
        <v>0</v>
      </c>
    </row>
    <row r="61" spans="1:25">
      <c r="A61">
        <v>99.017988720000005</v>
      </c>
      <c r="B61" s="2">
        <f t="shared" si="0"/>
        <v>8.7955481603081195E-3</v>
      </c>
      <c r="C61">
        <v>97.196584979999997</v>
      </c>
      <c r="D61" s="3">
        <f t="shared" si="1"/>
        <v>4.8001876926928849E-4</v>
      </c>
      <c r="E61" s="3">
        <f t="shared" si="2"/>
        <v>-1.6729985063804664E-3</v>
      </c>
      <c r="F61" s="3">
        <f>STDEV($E$32:E61)</f>
        <v>1.4342204699050461E-2</v>
      </c>
      <c r="G61" s="14">
        <f t="shared" si="5"/>
        <v>-0.11664862840029253</v>
      </c>
      <c r="H61" s="3">
        <f>yint($B$3:B61,$D$3:D61)</f>
        <v>-3.7332765410879427E-4</v>
      </c>
      <c r="I61" s="5">
        <f>MyReg($B$3:B61,$D$3:D61)</f>
        <v>0.28722995812350233</v>
      </c>
      <c r="J61" s="6">
        <f>STDEV($D$3:D61)</f>
        <v>1.3224176458628339E-2</v>
      </c>
      <c r="K61" s="4">
        <f t="shared" si="3"/>
        <v>2.1530172756497549E-3</v>
      </c>
      <c r="L61">
        <f t="shared" si="6"/>
        <v>-0.11664862840029253</v>
      </c>
      <c r="M61">
        <f>RSQ($D$3:D61,$B$3:B61)</f>
        <v>8.5665610193084205E-2</v>
      </c>
      <c r="N61">
        <v>29</v>
      </c>
      <c r="O61" t="str">
        <f t="shared" si="4"/>
        <v/>
      </c>
      <c r="P61" t="str">
        <f t="shared" si="8"/>
        <v/>
      </c>
      <c r="Q61">
        <f t="shared" si="9"/>
        <v>0</v>
      </c>
      <c r="R61">
        <f t="shared" si="10"/>
        <v>0</v>
      </c>
      <c r="S61">
        <f t="shared" si="11"/>
        <v>0</v>
      </c>
      <c r="T61">
        <f t="shared" si="12"/>
        <v>0</v>
      </c>
      <c r="U61">
        <f t="shared" si="7"/>
        <v>0</v>
      </c>
      <c r="V61">
        <f t="shared" si="13"/>
        <v>0</v>
      </c>
      <c r="W61">
        <f t="shared" si="16"/>
        <v>0</v>
      </c>
      <c r="X61">
        <f>SUM($W$34:W61)</f>
        <v>5.3502406999999153</v>
      </c>
      <c r="Y61">
        <f t="shared" si="15"/>
        <v>0</v>
      </c>
    </row>
    <row r="62" spans="1:25">
      <c r="A62">
        <v>98.855114929999999</v>
      </c>
      <c r="B62" s="2">
        <f t="shared" si="0"/>
        <v>-1.6448909143224023E-3</v>
      </c>
      <c r="C62">
        <v>96.799671520000004</v>
      </c>
      <c r="D62" s="3">
        <f t="shared" si="1"/>
        <v>-4.0836152842372558E-3</v>
      </c>
      <c r="E62" s="3">
        <f t="shared" si="2"/>
        <v>-3.183132344223696E-3</v>
      </c>
      <c r="F62" s="3">
        <f>STDEV($E$32:E62)</f>
        <v>1.4110079690355428E-2</v>
      </c>
      <c r="G62" s="14">
        <f t="shared" si="5"/>
        <v>-0.22559279706970342</v>
      </c>
      <c r="H62" s="3">
        <f>yint($B$3:B62,$D$3:D62)</f>
        <v>-4.2724207092838978E-4</v>
      </c>
      <c r="I62" s="5">
        <f>MyReg($B$3:B62,$D$3:D62)</f>
        <v>0.28770349751741275</v>
      </c>
      <c r="J62" s="6">
        <f>STDEV($D$3:D62)</f>
        <v>1.3120269296093041E-2</v>
      </c>
      <c r="K62" s="4">
        <f t="shared" si="3"/>
        <v>-9.0048294001355981E-4</v>
      </c>
      <c r="L62">
        <f t="shared" si="6"/>
        <v>-0.22559279706970342</v>
      </c>
      <c r="M62">
        <f>RSQ($D$3:D62,$B$3:B62)</f>
        <v>8.5854805781478902E-2</v>
      </c>
      <c r="N62">
        <v>30</v>
      </c>
      <c r="O62" t="str">
        <f t="shared" si="4"/>
        <v/>
      </c>
      <c r="P62" t="str">
        <f t="shared" si="8"/>
        <v/>
      </c>
      <c r="Q62">
        <f t="shared" si="9"/>
        <v>0</v>
      </c>
      <c r="R62">
        <f t="shared" si="10"/>
        <v>0</v>
      </c>
      <c r="S62">
        <f t="shared" si="11"/>
        <v>0</v>
      </c>
      <c r="T62">
        <f t="shared" si="12"/>
        <v>0</v>
      </c>
      <c r="U62">
        <f t="shared" si="7"/>
        <v>0</v>
      </c>
      <c r="V62">
        <f t="shared" si="13"/>
        <v>0</v>
      </c>
      <c r="W62">
        <f t="shared" si="16"/>
        <v>0</v>
      </c>
      <c r="X62">
        <f>SUM($W$34:W62)</f>
        <v>5.3502406999999153</v>
      </c>
      <c r="Y62">
        <f t="shared" si="15"/>
        <v>0</v>
      </c>
    </row>
    <row r="63" spans="1:25">
      <c r="A63">
        <v>97.278131860000002</v>
      </c>
      <c r="B63" s="2">
        <f t="shared" si="0"/>
        <v>-1.5952468125869562E-2</v>
      </c>
      <c r="C63">
        <v>96.708208459999994</v>
      </c>
      <c r="D63" s="3">
        <f t="shared" si="1"/>
        <v>-9.4486952862347354E-4</v>
      </c>
      <c r="E63" s="3">
        <f t="shared" si="2"/>
        <v>3.9134239192893114E-3</v>
      </c>
      <c r="F63" s="3">
        <f>STDEV($E$32:E63)</f>
        <v>1.3902318813165504E-2</v>
      </c>
      <c r="G63" s="14">
        <f t="shared" si="5"/>
        <v>0.2814943299662569</v>
      </c>
      <c r="H63" s="3">
        <f>yint($B$3:B63,$D$3:D63)</f>
        <v>-3.6263183217125745E-4</v>
      </c>
      <c r="I63" s="5">
        <f>MyReg($B$3:B63,$D$3:D63)</f>
        <v>0.28181605380869368</v>
      </c>
      <c r="J63" s="6">
        <f>STDEV($D$3:D63)</f>
        <v>1.3010624132883453E-2</v>
      </c>
      <c r="K63" s="4">
        <f t="shared" si="3"/>
        <v>-4.8582934479127846E-3</v>
      </c>
      <c r="L63">
        <f t="shared" si="6"/>
        <v>0.2814943299662569</v>
      </c>
      <c r="M63">
        <f>RSQ($D$3:D63,$B$3:B63)</f>
        <v>8.4306897042648279E-2</v>
      </c>
      <c r="N63">
        <v>31</v>
      </c>
      <c r="O63" t="str">
        <f t="shared" si="4"/>
        <v/>
      </c>
      <c r="P63" t="str">
        <f t="shared" si="8"/>
        <v/>
      </c>
      <c r="Q63">
        <f t="shared" si="9"/>
        <v>0</v>
      </c>
      <c r="R63">
        <f t="shared" si="10"/>
        <v>0</v>
      </c>
      <c r="S63">
        <f t="shared" si="11"/>
        <v>0</v>
      </c>
      <c r="T63">
        <f t="shared" si="12"/>
        <v>0</v>
      </c>
      <c r="U63">
        <f t="shared" si="7"/>
        <v>0</v>
      </c>
      <c r="V63">
        <f t="shared" si="13"/>
        <v>0</v>
      </c>
      <c r="W63">
        <f t="shared" si="16"/>
        <v>0</v>
      </c>
      <c r="X63">
        <f>SUM($W$34:W63)</f>
        <v>5.3502406999999153</v>
      </c>
      <c r="Y63">
        <f t="shared" si="15"/>
        <v>0</v>
      </c>
    </row>
    <row r="64" spans="1:25">
      <c r="A64">
        <v>95.962116129999998</v>
      </c>
      <c r="B64" s="2">
        <f t="shared" si="0"/>
        <v>-1.3528382020061581E-2</v>
      </c>
      <c r="C64">
        <v>93.415922469999998</v>
      </c>
      <c r="D64" s="3">
        <f t="shared" si="1"/>
        <v>-3.4043500985355718E-2</v>
      </c>
      <c r="E64" s="3">
        <f t="shared" si="2"/>
        <v>-2.8929103043847035E-2</v>
      </c>
      <c r="F64" s="3">
        <f>STDEV($E$32:E64)</f>
        <v>1.4560283769179231E-2</v>
      </c>
      <c r="G64" s="14">
        <f t="shared" si="5"/>
        <v>-1.9868502223207549</v>
      </c>
      <c r="H64" s="3">
        <f>yint($B$3:B64,$D$3:D64)</f>
        <v>-8.2402150187081539E-4</v>
      </c>
      <c r="I64" s="5">
        <f>MyReg($B$3:B64,$D$3:D64)</f>
        <v>0.31713891825907636</v>
      </c>
      <c r="J64" s="6">
        <f>STDEV($D$3:D64)</f>
        <v>1.3589952975795903E-2</v>
      </c>
      <c r="K64" s="4">
        <f t="shared" si="3"/>
        <v>-5.1143979415086832E-3</v>
      </c>
      <c r="L64">
        <f t="shared" si="6"/>
        <v>-1.9868502223207549</v>
      </c>
      <c r="M64">
        <f>RSQ($D$3:D64,$B$3:B64)</f>
        <v>9.7774805805367293E-2</v>
      </c>
      <c r="N64">
        <v>32</v>
      </c>
      <c r="O64" t="str">
        <f t="shared" si="4"/>
        <v>buyY</v>
      </c>
      <c r="P64" t="str">
        <f t="shared" si="8"/>
        <v/>
      </c>
      <c r="Q64">
        <f t="shared" si="9"/>
        <v>-10</v>
      </c>
      <c r="R64">
        <f t="shared" si="10"/>
        <v>0</v>
      </c>
      <c r="S64">
        <f t="shared" si="11"/>
        <v>10</v>
      </c>
      <c r="T64">
        <f t="shared" si="12"/>
        <v>0</v>
      </c>
      <c r="U64">
        <f t="shared" si="7"/>
        <v>20</v>
      </c>
      <c r="V64">
        <f t="shared" si="13"/>
        <v>-10</v>
      </c>
      <c r="W64">
        <f t="shared" si="16"/>
        <v>25.461936600000001</v>
      </c>
      <c r="X64">
        <f>SUM($W$34:W64)</f>
        <v>30.812177299999917</v>
      </c>
      <c r="Y64">
        <f t="shared" si="15"/>
        <v>0</v>
      </c>
    </row>
    <row r="65" spans="1:25">
      <c r="A65">
        <v>95.332025759999993</v>
      </c>
      <c r="B65" s="2">
        <f t="shared" si="0"/>
        <v>-6.5660324658370463E-3</v>
      </c>
      <c r="C65">
        <v>94.912155960000007</v>
      </c>
      <c r="D65" s="3">
        <f t="shared" si="1"/>
        <v>1.6016900014882537E-2</v>
      </c>
      <c r="E65" s="3">
        <f t="shared" si="2"/>
        <v>1.8563053285338089E-2</v>
      </c>
      <c r="F65" s="3">
        <f>STDEV($E$32:E65)</f>
        <v>1.4733393800081167E-2</v>
      </c>
      <c r="G65" s="14">
        <f t="shared" si="5"/>
        <v>1.2599305724955119</v>
      </c>
      <c r="H65" s="3">
        <f>yint($B$3:B65,$D$3:D65)</f>
        <v>-5.3046853610829846E-4</v>
      </c>
      <c r="I65" s="5">
        <f>MyReg($B$3:B65,$D$3:D65)</f>
        <v>0.30698671455476789</v>
      </c>
      <c r="J65" s="6">
        <f>STDEV($D$3:D65)</f>
        <v>1.3649472658833329E-2</v>
      </c>
      <c r="K65" s="4">
        <f t="shared" si="3"/>
        <v>-2.5461532704555544E-3</v>
      </c>
      <c r="L65">
        <f t="shared" si="6"/>
        <v>1.2599305724955119</v>
      </c>
      <c r="M65">
        <f>RSQ($D$3:D65,$B$3:B65)</f>
        <v>8.9641098995074012E-2</v>
      </c>
      <c r="N65">
        <v>33</v>
      </c>
      <c r="O65" t="str">
        <f t="shared" si="4"/>
        <v/>
      </c>
      <c r="P65" t="str">
        <f t="shared" si="8"/>
        <v>close</v>
      </c>
      <c r="Q65">
        <f t="shared" si="9"/>
        <v>0</v>
      </c>
      <c r="R65">
        <f t="shared" si="10"/>
        <v>0</v>
      </c>
      <c r="S65">
        <f t="shared" si="11"/>
        <v>0</v>
      </c>
      <c r="T65">
        <f t="shared" si="12"/>
        <v>0</v>
      </c>
      <c r="U65">
        <f t="shared" si="7"/>
        <v>0</v>
      </c>
      <c r="V65">
        <f t="shared" si="13"/>
        <v>10</v>
      </c>
      <c r="W65">
        <f t="shared" si="16"/>
        <v>-4.1986979999998653</v>
      </c>
      <c r="X65">
        <f>SUM($W$34:W65)</f>
        <v>26.613479300000051</v>
      </c>
      <c r="Y65">
        <f t="shared" si="15"/>
        <v>26.613479300000051</v>
      </c>
    </row>
    <row r="66" spans="1:25">
      <c r="A66">
        <v>93.138084539999994</v>
      </c>
      <c r="B66" s="2">
        <f t="shared" si="0"/>
        <v>-2.3013685091757975E-2</v>
      </c>
      <c r="C66">
        <v>95.087543400000001</v>
      </c>
      <c r="D66" s="3">
        <f t="shared" si="1"/>
        <v>1.8478922770852459E-3</v>
      </c>
      <c r="E66" s="3">
        <f t="shared" si="2"/>
        <v>8.8977768120664189E-3</v>
      </c>
      <c r="F66" s="3">
        <f>STDEV($E$32:E66)</f>
        <v>1.4604090150910328E-2</v>
      </c>
      <c r="G66" s="14">
        <f t="shared" si="5"/>
        <v>0.60926608368764335</v>
      </c>
      <c r="H66" s="3">
        <f>yint($B$3:B66,$D$3:D66)</f>
        <v>-4.0138207290134743E-4</v>
      </c>
      <c r="I66" s="5">
        <f>MyReg($B$3:B66,$D$3:D66)</f>
        <v>0.28889343169386167</v>
      </c>
      <c r="J66" s="6">
        <f>STDEV($D$3:D66)</f>
        <v>1.3544563478470072E-2</v>
      </c>
      <c r="K66" s="4">
        <f t="shared" si="3"/>
        <v>-7.0498845349811733E-3</v>
      </c>
      <c r="L66">
        <f t="shared" si="6"/>
        <v>0.60926608368764335</v>
      </c>
      <c r="M66">
        <f>RSQ($D$3:D66,$B$3:B66)</f>
        <v>8.2889029514722143E-2</v>
      </c>
      <c r="N66">
        <v>34</v>
      </c>
      <c r="O66" t="str">
        <f t="shared" si="4"/>
        <v/>
      </c>
      <c r="P66" t="str">
        <f t="shared" si="8"/>
        <v/>
      </c>
      <c r="Q66">
        <f t="shared" si="9"/>
        <v>0</v>
      </c>
      <c r="R66">
        <f t="shared" si="10"/>
        <v>0</v>
      </c>
      <c r="S66">
        <f t="shared" si="11"/>
        <v>0</v>
      </c>
      <c r="T66">
        <f t="shared" si="12"/>
        <v>0</v>
      </c>
      <c r="U66">
        <f t="shared" si="7"/>
        <v>0</v>
      </c>
      <c r="V66">
        <f t="shared" si="13"/>
        <v>0</v>
      </c>
      <c r="W66">
        <f t="shared" si="16"/>
        <v>0</v>
      </c>
      <c r="X66">
        <f>SUM($W$34:W66)</f>
        <v>26.613479300000051</v>
      </c>
      <c r="Y66">
        <f t="shared" si="15"/>
        <v>0</v>
      </c>
    </row>
    <row r="67" spans="1:25">
      <c r="A67">
        <v>92.622868990000001</v>
      </c>
      <c r="B67" s="2">
        <f t="shared" si="0"/>
        <v>-5.5317387354978723E-3</v>
      </c>
      <c r="C67">
        <v>94.252540199999999</v>
      </c>
      <c r="D67" s="3">
        <f t="shared" si="1"/>
        <v>-8.7814152111116879E-3</v>
      </c>
      <c r="E67" s="3">
        <f t="shared" si="2"/>
        <v>-6.6659758248211352E-3</v>
      </c>
      <c r="F67" s="3">
        <f>STDEV($E$32:E67)</f>
        <v>1.4432351179691251E-2</v>
      </c>
      <c r="G67" s="14">
        <f t="shared" si="5"/>
        <v>-0.46187732974522444</v>
      </c>
      <c r="H67" s="3">
        <f>yint($B$3:B67,$D$3:D67)</f>
        <v>-5.0286441977399985E-4</v>
      </c>
      <c r="I67" s="5">
        <f>MyReg($B$3:B67,$D$3:D67)</f>
        <v>0.29151321919244921</v>
      </c>
      <c r="J67" s="6">
        <f>STDEV($D$3:D67)</f>
        <v>1.3475697204106274E-2</v>
      </c>
      <c r="K67" s="4">
        <f t="shared" si="3"/>
        <v>-2.1154393862905527E-3</v>
      </c>
      <c r="L67">
        <f t="shared" si="6"/>
        <v>-0.46187732974522444</v>
      </c>
      <c r="M67">
        <f>RSQ($D$3:D67,$B$3:B67)</f>
        <v>8.4078279458240882E-2</v>
      </c>
      <c r="N67">
        <v>35</v>
      </c>
      <c r="O67" t="str">
        <f t="shared" si="4"/>
        <v/>
      </c>
      <c r="P67" t="str">
        <f t="shared" si="8"/>
        <v/>
      </c>
      <c r="Q67">
        <f t="shared" si="9"/>
        <v>0</v>
      </c>
      <c r="R67">
        <f t="shared" si="10"/>
        <v>0</v>
      </c>
      <c r="S67">
        <f t="shared" si="11"/>
        <v>0</v>
      </c>
      <c r="T67">
        <f t="shared" si="12"/>
        <v>0</v>
      </c>
      <c r="U67">
        <f t="shared" si="7"/>
        <v>0</v>
      </c>
      <c r="V67">
        <f t="shared" si="13"/>
        <v>0</v>
      </c>
      <c r="W67">
        <f t="shared" si="16"/>
        <v>0</v>
      </c>
      <c r="X67">
        <f>SUM($W$34:W67)</f>
        <v>26.613479300000051</v>
      </c>
      <c r="Y67">
        <f t="shared" si="15"/>
        <v>0</v>
      </c>
    </row>
    <row r="68" spans="1:25">
      <c r="A68">
        <v>89.71950176</v>
      </c>
      <c r="B68" s="2">
        <f t="shared" ref="B68:B131" si="17">(A68-A67)/A67</f>
        <v>-3.1346116371254507E-2</v>
      </c>
      <c r="C68">
        <v>94.996401649999996</v>
      </c>
      <c r="D68" s="3">
        <f t="shared" ref="D68:D131" si="18">(C68-C67)/C67</f>
        <v>7.8922164688776976E-3</v>
      </c>
      <c r="E68" s="3">
        <f t="shared" si="2"/>
        <v>1.6011818244803286E-2</v>
      </c>
      <c r="F68" s="3">
        <f>STDEV($E$32:E68)</f>
        <v>1.4487958004333239E-2</v>
      </c>
      <c r="G68" s="14">
        <f t="shared" si="5"/>
        <v>1.1051811607967301</v>
      </c>
      <c r="H68" s="3">
        <f>yint($B$3:B68,$D$3:D68)</f>
        <v>-3.0244836721566746E-4</v>
      </c>
      <c r="I68" s="5">
        <f>MyReg($B$3:B68,$D$3:D68)</f>
        <v>0.24938187927734887</v>
      </c>
      <c r="J68" s="6">
        <f>STDEV($D$3:D68)</f>
        <v>1.3414576088409911E-2</v>
      </c>
      <c r="K68" s="4">
        <f t="shared" si="3"/>
        <v>-8.1196017759255883E-3</v>
      </c>
      <c r="L68">
        <f t="shared" si="6"/>
        <v>1.1051811607967301</v>
      </c>
      <c r="M68">
        <f>RSQ($D$3:D68,$B$3:B68)</f>
        <v>6.5931738448381572E-2</v>
      </c>
      <c r="N68">
        <v>36</v>
      </c>
      <c r="O68" t="str">
        <f t="shared" si="4"/>
        <v/>
      </c>
      <c r="P68" t="str">
        <f t="shared" si="8"/>
        <v/>
      </c>
      <c r="Q68">
        <f t="shared" si="9"/>
        <v>0</v>
      </c>
      <c r="R68">
        <f t="shared" si="10"/>
        <v>0</v>
      </c>
      <c r="S68">
        <f t="shared" si="11"/>
        <v>0</v>
      </c>
      <c r="T68">
        <f t="shared" si="12"/>
        <v>0</v>
      </c>
      <c r="U68">
        <f t="shared" si="7"/>
        <v>0</v>
      </c>
      <c r="V68">
        <f t="shared" si="13"/>
        <v>0</v>
      </c>
      <c r="W68">
        <f t="shared" si="16"/>
        <v>0</v>
      </c>
      <c r="X68">
        <f>SUM($W$34:W68)</f>
        <v>26.613479300000051</v>
      </c>
      <c r="Y68">
        <f t="shared" si="15"/>
        <v>0</v>
      </c>
    </row>
    <row r="69" spans="1:25">
      <c r="A69">
        <v>89.249690670000007</v>
      </c>
      <c r="B69" s="2">
        <f t="shared" si="17"/>
        <v>-5.2364433683185141E-3</v>
      </c>
      <c r="C69">
        <v>92.008545459999993</v>
      </c>
      <c r="D69" s="3">
        <f t="shared" si="18"/>
        <v>-3.1452309120173945E-2</v>
      </c>
      <c r="E69" s="3">
        <f t="shared" si="2"/>
        <v>-2.9366821876391946E-2</v>
      </c>
      <c r="F69" s="3">
        <f>STDEV($E$32:E69)</f>
        <v>1.5059789349714968E-2</v>
      </c>
      <c r="G69" s="14">
        <f t="shared" si="5"/>
        <v>-1.9500154480545748</v>
      </c>
      <c r="H69" s="3">
        <f>yint($B$3:B69,$D$3:D69)</f>
        <v>-7.3387653450087255E-4</v>
      </c>
      <c r="I69" s="5">
        <f>MyReg($B$3:B69,$D$3:D69)</f>
        <v>0.25811617050202967</v>
      </c>
      <c r="J69" s="6">
        <f>STDEV($D$3:D69)</f>
        <v>1.3832924647926374E-2</v>
      </c>
      <c r="K69" s="4">
        <f t="shared" si="3"/>
        <v>-2.0854872437819968E-3</v>
      </c>
      <c r="L69">
        <f t="shared" si="6"/>
        <v>-1.9500154480545748</v>
      </c>
      <c r="M69">
        <f>RSQ($D$3:D69,$B$3:B69)</f>
        <v>6.5487663053644424E-2</v>
      </c>
      <c r="N69">
        <v>37</v>
      </c>
      <c r="O69" t="str">
        <f t="shared" si="4"/>
        <v>buyY</v>
      </c>
      <c r="P69" t="str">
        <f t="shared" si="8"/>
        <v/>
      </c>
      <c r="Q69">
        <f t="shared" si="9"/>
        <v>-10</v>
      </c>
      <c r="R69">
        <f t="shared" si="10"/>
        <v>0</v>
      </c>
      <c r="S69">
        <f t="shared" si="11"/>
        <v>10</v>
      </c>
      <c r="T69">
        <f t="shared" si="12"/>
        <v>0</v>
      </c>
      <c r="U69">
        <f t="shared" si="7"/>
        <v>20</v>
      </c>
      <c r="V69">
        <f t="shared" si="13"/>
        <v>-10</v>
      </c>
      <c r="W69">
        <f t="shared" si="16"/>
        <v>-27.588547899999867</v>
      </c>
      <c r="X69">
        <f>SUM($W$34:W69)</f>
        <v>-0.97506859999981543</v>
      </c>
      <c r="Y69">
        <f t="shared" si="15"/>
        <v>0</v>
      </c>
    </row>
    <row r="70" spans="1:25">
      <c r="A70">
        <v>89.803857649999998</v>
      </c>
      <c r="B70" s="2">
        <f t="shared" si="17"/>
        <v>6.2091753578062099E-3</v>
      </c>
      <c r="C70">
        <v>95.558022370000003</v>
      </c>
      <c r="D70" s="3">
        <f t="shared" si="18"/>
        <v>3.8577687455597455E-2</v>
      </c>
      <c r="E70" s="3">
        <f t="shared" si="2"/>
        <v>3.6975205452994819E-2</v>
      </c>
      <c r="F70" s="3">
        <f>STDEV($E$32:E70)</f>
        <v>1.6047391337593819E-2</v>
      </c>
      <c r="G70" s="14">
        <f t="shared" si="5"/>
        <v>2.3041256161288932</v>
      </c>
      <c r="H70" s="3">
        <f>yint($B$3:B70,$D$3:D70)</f>
        <v>-1.4469634076074556E-4</v>
      </c>
      <c r="I70" s="5">
        <f>MyReg($B$3:B70,$D$3:D70)</f>
        <v>0.28138653568010702</v>
      </c>
      <c r="J70" s="6">
        <f>STDEV($D$3:D70)</f>
        <v>1.4549959718027056E-2</v>
      </c>
      <c r="K70" s="4">
        <f t="shared" si="3"/>
        <v>1.6024820026026329E-3</v>
      </c>
      <c r="L70">
        <f t="shared" si="6"/>
        <v>2.3041256161288932</v>
      </c>
      <c r="M70">
        <f>RSQ($D$3:D70,$B$3:B70)</f>
        <v>6.9631883077239318E-2</v>
      </c>
      <c r="N70">
        <v>38</v>
      </c>
      <c r="O70" t="str">
        <f t="shared" si="4"/>
        <v>sellY</v>
      </c>
      <c r="P70" t="str">
        <f t="shared" si="8"/>
        <v>close&amp;sell</v>
      </c>
      <c r="Q70">
        <f t="shared" si="9"/>
        <v>15</v>
      </c>
      <c r="R70">
        <f t="shared" si="10"/>
        <v>5</v>
      </c>
      <c r="S70">
        <f t="shared" si="11"/>
        <v>-15</v>
      </c>
      <c r="T70">
        <f t="shared" si="12"/>
        <v>-5</v>
      </c>
      <c r="U70">
        <f t="shared" si="7"/>
        <v>30</v>
      </c>
      <c r="V70">
        <f t="shared" si="13"/>
        <v>25</v>
      </c>
      <c r="W70">
        <f>IF(ABS(V70)&gt;0,V70*(C70-A70),0)</f>
        <v>143.85411800000014</v>
      </c>
      <c r="X70">
        <f>SUM($W$34:W70)</f>
        <v>142.87904940000033</v>
      </c>
      <c r="Y70">
        <f t="shared" si="15"/>
        <v>0</v>
      </c>
    </row>
    <row r="71" spans="1:25">
      <c r="A71">
        <v>88.789430490000001</v>
      </c>
      <c r="B71" s="2">
        <f t="shared" si="17"/>
        <v>-1.1296031000735042E-2</v>
      </c>
      <c r="C71">
        <v>95.551443919999997</v>
      </c>
      <c r="D71" s="3">
        <f t="shared" si="18"/>
        <v>-6.8842466983406469E-5</v>
      </c>
      <c r="E71" s="3">
        <f t="shared" si="2"/>
        <v>3.1830503365148188E-3</v>
      </c>
      <c r="F71" s="3">
        <f>STDEV($E$32:E71)</f>
        <v>1.5847732072378815E-2</v>
      </c>
      <c r="G71" s="14">
        <f t="shared" si="5"/>
        <v>0.20085210438802106</v>
      </c>
      <c r="H71" s="3">
        <f>yint($B$3:B71,$D$3:D71)</f>
        <v>-1.0161199600656779E-4</v>
      </c>
      <c r="I71" s="5">
        <f>MyReg($B$3:B71,$D$3:D71)</f>
        <v>0.27888386702255563</v>
      </c>
      <c r="J71" s="6">
        <f>STDEV($D$3:D71)</f>
        <v>1.4442701261252534E-2</v>
      </c>
      <c r="K71" s="4">
        <f t="shared" si="3"/>
        <v>-3.2518928034982251E-3</v>
      </c>
      <c r="L71">
        <f t="shared" si="6"/>
        <v>0.20085210438802106</v>
      </c>
      <c r="M71">
        <f>RSQ($D$3:D71,$B$3:B71)</f>
        <v>6.8917388915891664E-2</v>
      </c>
      <c r="N71">
        <v>39</v>
      </c>
      <c r="O71" t="str">
        <f t="shared" si="4"/>
        <v/>
      </c>
      <c r="P71" t="str">
        <f t="shared" si="8"/>
        <v>close</v>
      </c>
      <c r="Q71">
        <f t="shared" si="9"/>
        <v>0</v>
      </c>
      <c r="R71">
        <f t="shared" si="10"/>
        <v>0</v>
      </c>
      <c r="S71">
        <f t="shared" si="11"/>
        <v>0</v>
      </c>
      <c r="T71">
        <f t="shared" si="12"/>
        <v>0</v>
      </c>
      <c r="U71">
        <f t="shared" si="7"/>
        <v>0</v>
      </c>
      <c r="V71">
        <f t="shared" si="13"/>
        <v>-15</v>
      </c>
      <c r="W71">
        <f t="shared" si="16"/>
        <v>-101.43020144999994</v>
      </c>
      <c r="X71">
        <f>SUM($W$34:W71)</f>
        <v>41.448847950000385</v>
      </c>
      <c r="Y71">
        <f t="shared" si="15"/>
        <v>41.448847950000385</v>
      </c>
    </row>
    <row r="72" spans="1:25">
      <c r="A72">
        <v>89.276754600000004</v>
      </c>
      <c r="B72" s="2">
        <f t="shared" si="17"/>
        <v>5.4885374003484384E-3</v>
      </c>
      <c r="C72">
        <v>95.84488168</v>
      </c>
      <c r="D72" s="3">
        <f t="shared" si="18"/>
        <v>3.0709924200170405E-3</v>
      </c>
      <c r="E72" s="3">
        <f t="shared" si="2"/>
        <v>1.6120758121239897E-3</v>
      </c>
      <c r="F72" s="3">
        <f>STDEV($E$32:E72)</f>
        <v>1.5649947653879122E-2</v>
      </c>
      <c r="G72" s="14">
        <f t="shared" si="5"/>
        <v>0.10300838365580141</v>
      </c>
      <c r="H72" s="3">
        <f>yint($B$3:B72,$D$3:D72)</f>
        <v>-7.6759613288592573E-5</v>
      </c>
      <c r="I72" s="5">
        <f>MyReg($B$3:B72,$D$3:D72)</f>
        <v>0.27979698582069445</v>
      </c>
      <c r="J72" s="6">
        <f>STDEV($D$3:D72)</f>
        <v>1.4344215585872193E-2</v>
      </c>
      <c r="K72" s="4">
        <f t="shared" si="3"/>
        <v>1.4589166078930508E-3</v>
      </c>
      <c r="L72">
        <f t="shared" si="6"/>
        <v>0.10300838365580141</v>
      </c>
      <c r="M72">
        <f>RSQ($D$3:D72,$B$3:B72)</f>
        <v>6.9581535126250024E-2</v>
      </c>
      <c r="N72">
        <v>40</v>
      </c>
      <c r="O72" t="str">
        <f t="shared" si="4"/>
        <v/>
      </c>
      <c r="P72" t="str">
        <f t="shared" si="8"/>
        <v/>
      </c>
      <c r="Q72">
        <f t="shared" si="9"/>
        <v>0</v>
      </c>
      <c r="R72">
        <f t="shared" si="10"/>
        <v>0</v>
      </c>
      <c r="S72">
        <f t="shared" si="11"/>
        <v>0</v>
      </c>
      <c r="T72">
        <f t="shared" si="12"/>
        <v>0</v>
      </c>
      <c r="U72">
        <f t="shared" si="7"/>
        <v>0</v>
      </c>
      <c r="V72">
        <f t="shared" si="13"/>
        <v>0</v>
      </c>
      <c r="W72">
        <f t="shared" si="16"/>
        <v>0</v>
      </c>
      <c r="X72">
        <f>SUM($W$34:W72)</f>
        <v>41.448847950000385</v>
      </c>
      <c r="Y72">
        <f t="shared" si="15"/>
        <v>0</v>
      </c>
    </row>
    <row r="73" spans="1:25">
      <c r="A73">
        <v>89.476099880000007</v>
      </c>
      <c r="B73" s="2">
        <f t="shared" si="17"/>
        <v>2.232891203238282E-3</v>
      </c>
      <c r="C73">
        <v>96.246714089999998</v>
      </c>
      <c r="D73" s="3">
        <f t="shared" si="18"/>
        <v>4.1925286249672299E-3</v>
      </c>
      <c r="E73" s="3">
        <f t="shared" si="2"/>
        <v>3.5892320593829399E-3</v>
      </c>
      <c r="F73" s="3">
        <f>STDEV($E$32:E73)</f>
        <v>1.5466609595272652E-2</v>
      </c>
      <c r="G73" s="14">
        <f t="shared" si="5"/>
        <v>0.23206327393690623</v>
      </c>
      <c r="H73" s="3">
        <f>yint($B$3:B73,$D$3:D73)</f>
        <v>-2.3848888086759168E-5</v>
      </c>
      <c r="I73" s="5">
        <f>MyReg($B$3:B73,$D$3:D73)</f>
        <v>0.28086700004080922</v>
      </c>
      <c r="J73" s="6">
        <f>STDEV($D$3:D73)</f>
        <v>1.4252293924963893E-2</v>
      </c>
      <c r="K73" s="4">
        <f t="shared" si="3"/>
        <v>6.0329656558429003E-4</v>
      </c>
      <c r="L73">
        <f t="shared" si="6"/>
        <v>0.23206327393690623</v>
      </c>
      <c r="M73">
        <f>RSQ($D$3:D73,$B$3:B73)</f>
        <v>7.0084892866214513E-2</v>
      </c>
      <c r="N73">
        <v>41</v>
      </c>
      <c r="O73" t="str">
        <f t="shared" si="4"/>
        <v/>
      </c>
      <c r="P73" t="str">
        <f t="shared" si="8"/>
        <v/>
      </c>
      <c r="Q73">
        <f t="shared" si="9"/>
        <v>0</v>
      </c>
      <c r="R73">
        <f t="shared" si="10"/>
        <v>0</v>
      </c>
      <c r="S73">
        <f t="shared" si="11"/>
        <v>0</v>
      </c>
      <c r="T73">
        <f t="shared" si="12"/>
        <v>0</v>
      </c>
      <c r="U73">
        <f t="shared" si="7"/>
        <v>0</v>
      </c>
      <c r="V73">
        <f t="shared" si="13"/>
        <v>0</v>
      </c>
      <c r="W73">
        <f t="shared" si="16"/>
        <v>0</v>
      </c>
      <c r="X73">
        <f>SUM($W$34:W73)</f>
        <v>41.448847950000385</v>
      </c>
      <c r="Y73">
        <f t="shared" si="15"/>
        <v>0</v>
      </c>
    </row>
    <row r="74" spans="1:25">
      <c r="A74">
        <v>89.297712390000001</v>
      </c>
      <c r="B74" s="2">
        <f t="shared" si="17"/>
        <v>-1.993688708372944E-3</v>
      </c>
      <c r="C74">
        <v>97.777050939999995</v>
      </c>
      <c r="D74" s="3">
        <f t="shared" si="18"/>
        <v>1.590014645662588E-2</v>
      </c>
      <c r="E74" s="3">
        <f t="shared" si="2"/>
        <v>1.6254672747155832E-2</v>
      </c>
      <c r="F74" s="3">
        <f>STDEV($E$32:E74)</f>
        <v>1.5473638411699235E-2</v>
      </c>
      <c r="G74" s="14">
        <f t="shared" si="5"/>
        <v>1.0504751574694984</v>
      </c>
      <c r="H74" s="3">
        <f>yint($B$3:B74,$D$3:D74)</f>
        <v>2.0410690222032578E-4</v>
      </c>
      <c r="I74" s="5">
        <f>MyReg($B$3:B74,$D$3:D74)</f>
        <v>0.28020081089097365</v>
      </c>
      <c r="J74" s="6">
        <f>STDEV($D$3:D74)</f>
        <v>1.4281965417123016E-2</v>
      </c>
      <c r="K74" s="4">
        <f t="shared" si="3"/>
        <v>-3.5452629052995098E-4</v>
      </c>
      <c r="L74">
        <f t="shared" si="6"/>
        <v>1.0504751574694984</v>
      </c>
      <c r="M74">
        <f>RSQ($D$3:D74,$B$3:B74)</f>
        <v>6.8486366097283466E-2</v>
      </c>
      <c r="N74">
        <v>42</v>
      </c>
      <c r="O74" t="str">
        <f t="shared" si="4"/>
        <v/>
      </c>
      <c r="P74" t="str">
        <f t="shared" si="8"/>
        <v/>
      </c>
      <c r="Q74">
        <f t="shared" si="9"/>
        <v>0</v>
      </c>
      <c r="R74">
        <f t="shared" si="10"/>
        <v>0</v>
      </c>
      <c r="S74">
        <f t="shared" si="11"/>
        <v>0</v>
      </c>
      <c r="T74">
        <f t="shared" si="12"/>
        <v>0</v>
      </c>
      <c r="U74">
        <f t="shared" si="7"/>
        <v>0</v>
      </c>
      <c r="V74">
        <f t="shared" si="13"/>
        <v>0</v>
      </c>
      <c r="W74">
        <f t="shared" si="16"/>
        <v>0</v>
      </c>
      <c r="X74">
        <f>SUM($W$34:W74)</f>
        <v>41.448847950000385</v>
      </c>
      <c r="Y74">
        <f t="shared" si="15"/>
        <v>0</v>
      </c>
    </row>
    <row r="75" spans="1:25">
      <c r="A75">
        <v>88.448967409999995</v>
      </c>
      <c r="B75" s="2">
        <f t="shared" si="17"/>
        <v>-9.5046665506187487E-3</v>
      </c>
      <c r="C75">
        <v>99.834489270000006</v>
      </c>
      <c r="D75" s="3">
        <f t="shared" si="18"/>
        <v>2.104213933863212E-2</v>
      </c>
      <c r="E75" s="3">
        <f t="shared" si="2"/>
        <v>2.3063448920968371E-2</v>
      </c>
      <c r="F75" s="3">
        <f>STDEV($E$32:E75)</f>
        <v>1.566052944424675E-2</v>
      </c>
      <c r="G75" s="14">
        <f t="shared" si="5"/>
        <v>1.4727119541569045</v>
      </c>
      <c r="H75" s="3">
        <f>yint($B$3:B75,$D$3:D75)</f>
        <v>5.0271236368412144E-4</v>
      </c>
      <c r="I75" s="5">
        <f>MyReg($B$3:B75,$D$3:D75)</f>
        <v>0.26555607527925945</v>
      </c>
      <c r="J75" s="6">
        <f>STDEV($D$3:D75)</f>
        <v>1.4398939059356609E-2</v>
      </c>
      <c r="K75" s="4">
        <f t="shared" si="3"/>
        <v>-2.0213095823362502E-3</v>
      </c>
      <c r="L75">
        <f t="shared" si="6"/>
        <v>1.4727119541569045</v>
      </c>
      <c r="M75">
        <f>RSQ($D$3:D75,$B$3:B75)</f>
        <v>5.9978410694712186E-2</v>
      </c>
      <c r="N75">
        <v>43</v>
      </c>
      <c r="O75" t="str">
        <f t="shared" si="4"/>
        <v/>
      </c>
      <c r="P75" t="str">
        <f t="shared" si="8"/>
        <v/>
      </c>
      <c r="Q75">
        <f t="shared" si="9"/>
        <v>0</v>
      </c>
      <c r="R75">
        <f t="shared" si="10"/>
        <v>0</v>
      </c>
      <c r="S75">
        <f t="shared" si="11"/>
        <v>0</v>
      </c>
      <c r="T75">
        <f t="shared" si="12"/>
        <v>0</v>
      </c>
      <c r="U75">
        <f t="shared" si="7"/>
        <v>0</v>
      </c>
      <c r="V75">
        <f t="shared" si="13"/>
        <v>0</v>
      </c>
      <c r="W75">
        <f t="shared" si="16"/>
        <v>0</v>
      </c>
      <c r="X75">
        <f>SUM($W$34:W75)</f>
        <v>41.448847950000385</v>
      </c>
      <c r="Y75">
        <f t="shared" si="15"/>
        <v>0</v>
      </c>
    </row>
    <row r="76" spans="1:25">
      <c r="A76">
        <v>88.307471430000007</v>
      </c>
      <c r="B76" s="2">
        <f t="shared" si="17"/>
        <v>-1.5997471100379437E-3</v>
      </c>
      <c r="C76">
        <v>99.245145579999999</v>
      </c>
      <c r="D76" s="3">
        <f t="shared" si="18"/>
        <v>-5.9032073415645056E-3</v>
      </c>
      <c r="E76" s="3">
        <f t="shared" si="2"/>
        <v>-5.9002714835114916E-3</v>
      </c>
      <c r="F76" s="3">
        <f>STDEV($E$32:E76)</f>
        <v>1.5517570052261495E-2</v>
      </c>
      <c r="G76" s="14">
        <f t="shared" si="5"/>
        <v>-0.38023166408400388</v>
      </c>
      <c r="H76" s="3">
        <f>yint($B$3:B76,$D$3:D76)</f>
        <v>4.2189170298644019E-4</v>
      </c>
      <c r="I76" s="5">
        <f>MyReg($B$3:B76,$D$3:D76)</f>
        <v>0.26555919893449759</v>
      </c>
      <c r="J76" s="6">
        <f>STDEV($D$3:D76)</f>
        <v>1.4316879241114416E-2</v>
      </c>
      <c r="K76" s="4">
        <f t="shared" si="3"/>
        <v>-2.9358580530137036E-6</v>
      </c>
      <c r="L76">
        <f t="shared" si="6"/>
        <v>-0.38023166408400388</v>
      </c>
      <c r="M76">
        <f>RSQ($D$3:D76,$B$3:B76)</f>
        <v>5.9838275924541447E-2</v>
      </c>
      <c r="N76">
        <v>44</v>
      </c>
      <c r="O76" t="str">
        <f t="shared" si="4"/>
        <v/>
      </c>
      <c r="P76" t="str">
        <f t="shared" si="8"/>
        <v/>
      </c>
      <c r="Q76">
        <f t="shared" si="9"/>
        <v>0</v>
      </c>
      <c r="R76">
        <f t="shared" si="10"/>
        <v>0</v>
      </c>
      <c r="S76">
        <f t="shared" si="11"/>
        <v>0</v>
      </c>
      <c r="T76">
        <f t="shared" si="12"/>
        <v>0</v>
      </c>
      <c r="U76">
        <f t="shared" si="7"/>
        <v>0</v>
      </c>
      <c r="V76">
        <f t="shared" si="13"/>
        <v>0</v>
      </c>
      <c r="W76">
        <f t="shared" ref="W76:W139" si="19">IF(ABS(V76)&gt;0,V76*(C76-A76),0)</f>
        <v>0</v>
      </c>
      <c r="X76">
        <f>SUM($W$34:W76)</f>
        <v>41.448847950000385</v>
      </c>
      <c r="Y76">
        <f t="shared" si="15"/>
        <v>0</v>
      </c>
    </row>
    <row r="77" spans="1:25">
      <c r="A77">
        <v>87.867915800000006</v>
      </c>
      <c r="B77" s="2">
        <f t="shared" si="17"/>
        <v>-4.9775587827631329E-3</v>
      </c>
      <c r="C77">
        <v>98.871472409999996</v>
      </c>
      <c r="D77" s="3">
        <f t="shared" si="18"/>
        <v>-3.7651531247822221E-3</v>
      </c>
      <c r="E77" s="3">
        <f t="shared" si="2"/>
        <v>-2.8244912743510624E-3</v>
      </c>
      <c r="F77" s="3">
        <f>STDEV($E$32:E77)</f>
        <v>1.5354710657387992E-2</v>
      </c>
      <c r="G77" s="14">
        <f t="shared" si="5"/>
        <v>-0.18394949519885906</v>
      </c>
      <c r="H77" s="3">
        <f>yint($B$3:B77,$D$3:D77)</f>
        <v>3.8492239829894997E-4</v>
      </c>
      <c r="I77" s="5">
        <f>MyReg($B$3:B77,$D$3:D77)</f>
        <v>0.26631212338877774</v>
      </c>
      <c r="J77" s="6">
        <f>STDEV($D$3:D77)</f>
        <v>1.4226455137990604E-2</v>
      </c>
      <c r="K77" s="4">
        <f t="shared" si="3"/>
        <v>-9.4066185043115971E-4</v>
      </c>
      <c r="L77">
        <f t="shared" si="6"/>
        <v>-0.18394949519885906</v>
      </c>
      <c r="M77">
        <f>RSQ($D$3:D77,$B$3:B77)</f>
        <v>6.0175420506252485E-2</v>
      </c>
      <c r="N77">
        <v>45</v>
      </c>
      <c r="O77" t="str">
        <f t="shared" si="4"/>
        <v/>
      </c>
      <c r="P77" t="str">
        <f t="shared" si="8"/>
        <v/>
      </c>
      <c r="Q77">
        <f t="shared" si="9"/>
        <v>0</v>
      </c>
      <c r="R77">
        <f t="shared" si="10"/>
        <v>0</v>
      </c>
      <c r="S77">
        <f t="shared" si="11"/>
        <v>0</v>
      </c>
      <c r="T77">
        <f t="shared" si="12"/>
        <v>0</v>
      </c>
      <c r="U77">
        <f t="shared" si="7"/>
        <v>0</v>
      </c>
      <c r="V77">
        <f t="shared" si="13"/>
        <v>0</v>
      </c>
      <c r="W77">
        <f t="shared" si="19"/>
        <v>0</v>
      </c>
      <c r="X77">
        <f>SUM($W$34:W77)</f>
        <v>41.448847950000385</v>
      </c>
      <c r="Y77">
        <f t="shared" si="15"/>
        <v>0</v>
      </c>
    </row>
    <row r="78" spans="1:25">
      <c r="A78">
        <v>90.058047160000001</v>
      </c>
      <c r="B78" s="2">
        <f t="shared" si="17"/>
        <v>2.4925268114758165E-2</v>
      </c>
      <c r="C78">
        <v>101.08830140000001</v>
      </c>
      <c r="D78" s="3">
        <f t="shared" si="18"/>
        <v>2.2421320690029466E-2</v>
      </c>
      <c r="E78" s="3">
        <f t="shared" si="2"/>
        <v>1.440645585117486E-2</v>
      </c>
      <c r="F78" s="3">
        <f>STDEV($E$32:E78)</f>
        <v>1.5313263171877575E-2</v>
      </c>
      <c r="G78" s="14">
        <f t="shared" si="5"/>
        <v>0.9407828814456709</v>
      </c>
      <c r="H78" s="3">
        <f>yint($B$3:B78,$D$3:D78)</f>
        <v>6.2634384596155213E-4</v>
      </c>
      <c r="I78" s="5">
        <f>MyReg($B$3:B78,$D$3:D78)</f>
        <v>0.29642694148266097</v>
      </c>
      <c r="J78" s="6">
        <f>STDEV($D$3:D78)</f>
        <v>1.4364486917307569E-2</v>
      </c>
      <c r="K78" s="4">
        <f t="shared" si="3"/>
        <v>8.0148648388546056E-3</v>
      </c>
      <c r="L78">
        <f t="shared" si="6"/>
        <v>0.9407828814456709</v>
      </c>
      <c r="M78">
        <f>RSQ($D$3:D78,$B$3:B78)</f>
        <v>7.6107083526314193E-2</v>
      </c>
      <c r="N78">
        <v>46</v>
      </c>
      <c r="O78" t="str">
        <f t="shared" si="4"/>
        <v/>
      </c>
      <c r="P78" t="str">
        <f t="shared" si="8"/>
        <v/>
      </c>
      <c r="Q78">
        <f t="shared" si="9"/>
        <v>0</v>
      </c>
      <c r="R78">
        <f t="shared" si="10"/>
        <v>0</v>
      </c>
      <c r="S78">
        <f t="shared" si="11"/>
        <v>0</v>
      </c>
      <c r="T78">
        <f t="shared" si="12"/>
        <v>0</v>
      </c>
      <c r="U78">
        <f t="shared" si="7"/>
        <v>0</v>
      </c>
      <c r="V78">
        <f t="shared" si="13"/>
        <v>0</v>
      </c>
      <c r="W78">
        <f t="shared" si="19"/>
        <v>0</v>
      </c>
      <c r="X78">
        <f>SUM($W$34:W78)</f>
        <v>41.448847950000385</v>
      </c>
      <c r="Y78">
        <f t="shared" si="15"/>
        <v>0</v>
      </c>
    </row>
    <row r="79" spans="1:25">
      <c r="A79">
        <v>90.513116159999996</v>
      </c>
      <c r="B79" s="2">
        <f t="shared" si="17"/>
        <v>5.0530631559387966E-3</v>
      </c>
      <c r="C79">
        <v>101.4833991</v>
      </c>
      <c r="D79" s="3">
        <f t="shared" si="18"/>
        <v>3.9084413777675147E-3</v>
      </c>
      <c r="E79" s="3">
        <f t="shared" si="2"/>
        <v>1.7558615919249544E-3</v>
      </c>
      <c r="F79" s="3">
        <f>STDEV($E$32:E79)</f>
        <v>1.5149667782826795E-2</v>
      </c>
      <c r="G79" s="14">
        <f t="shared" si="5"/>
        <v>0.11590099645058527</v>
      </c>
      <c r="H79" s="3">
        <f>yint($B$3:B79,$D$3:D79)</f>
        <v>6.5051789475825954E-4</v>
      </c>
      <c r="I79" s="5">
        <f>MyReg($B$3:B79,$D$3:D79)</f>
        <v>0.29725769196431828</v>
      </c>
      <c r="J79" s="6">
        <f>STDEV($D$3:D79)</f>
        <v>1.4275778930332675E-2</v>
      </c>
      <c r="K79" s="4">
        <f t="shared" si="3"/>
        <v>2.1525797858425602E-3</v>
      </c>
      <c r="L79">
        <f t="shared" si="6"/>
        <v>0.11590099645058527</v>
      </c>
      <c r="M79">
        <f>RSQ($D$3:D79,$B$3:B79)</f>
        <v>7.6695253493844276E-2</v>
      </c>
      <c r="N79">
        <v>47</v>
      </c>
      <c r="O79" t="str">
        <f t="shared" si="4"/>
        <v/>
      </c>
      <c r="P79" t="str">
        <f t="shared" si="8"/>
        <v/>
      </c>
      <c r="Q79">
        <f t="shared" si="9"/>
        <v>0</v>
      </c>
      <c r="R79">
        <f t="shared" si="10"/>
        <v>0</v>
      </c>
      <c r="S79">
        <f t="shared" si="11"/>
        <v>0</v>
      </c>
      <c r="T79">
        <f t="shared" si="12"/>
        <v>0</v>
      </c>
      <c r="U79">
        <f t="shared" si="7"/>
        <v>0</v>
      </c>
      <c r="V79">
        <f t="shared" si="13"/>
        <v>0</v>
      </c>
      <c r="W79">
        <f t="shared" si="19"/>
        <v>0</v>
      </c>
      <c r="X79">
        <f>SUM($W$34:W79)</f>
        <v>41.448847950000385</v>
      </c>
      <c r="Y79">
        <f t="shared" si="15"/>
        <v>0</v>
      </c>
    </row>
    <row r="80" spans="1:25">
      <c r="A80">
        <v>91.160891520000007</v>
      </c>
      <c r="B80" s="2">
        <f t="shared" si="17"/>
        <v>7.1567015641682153E-3</v>
      </c>
      <c r="C80">
        <v>102.5345954</v>
      </c>
      <c r="D80" s="3">
        <f t="shared" si="18"/>
        <v>1.0358307953049248E-2</v>
      </c>
      <c r="E80" s="3">
        <f t="shared" si="2"/>
        <v>7.444984544341407E-3</v>
      </c>
      <c r="F80" s="3">
        <f>STDEV($E$32:E80)</f>
        <v>1.5017174806942583E-2</v>
      </c>
      <c r="G80" s="14">
        <f t="shared" si="5"/>
        <v>0.4957646588025012</v>
      </c>
      <c r="H80" s="3">
        <f>yint($B$3:B80,$D$3:D80)</f>
        <v>7.5279316660959903E-4</v>
      </c>
      <c r="I80" s="5">
        <f>MyReg($B$3:B80,$D$3:D80)</f>
        <v>0.30188910669622826</v>
      </c>
      <c r="J80" s="6">
        <f>STDEV($D$3:D80)</f>
        <v>1.4228502012188291E-2</v>
      </c>
      <c r="K80" s="4">
        <f t="shared" si="3"/>
        <v>2.9133234087078408E-3</v>
      </c>
      <c r="L80">
        <f t="shared" si="6"/>
        <v>0.4957646588025012</v>
      </c>
      <c r="M80">
        <f>RSQ($D$3:D80,$B$3:B80)</f>
        <v>7.8999812973428285E-2</v>
      </c>
      <c r="N80">
        <v>48</v>
      </c>
      <c r="O80" t="str">
        <f t="shared" si="4"/>
        <v/>
      </c>
      <c r="P80" t="str">
        <f t="shared" si="8"/>
        <v/>
      </c>
      <c r="Q80">
        <f t="shared" si="9"/>
        <v>0</v>
      </c>
      <c r="R80">
        <f t="shared" si="10"/>
        <v>0</v>
      </c>
      <c r="S80">
        <f t="shared" si="11"/>
        <v>0</v>
      </c>
      <c r="T80">
        <f t="shared" si="12"/>
        <v>0</v>
      </c>
      <c r="U80">
        <f t="shared" si="7"/>
        <v>0</v>
      </c>
      <c r="V80">
        <f t="shared" si="13"/>
        <v>0</v>
      </c>
      <c r="W80">
        <f t="shared" si="19"/>
        <v>0</v>
      </c>
      <c r="X80">
        <f>SUM($W$34:W80)</f>
        <v>41.448847950000385</v>
      </c>
      <c r="Y80">
        <f t="shared" si="15"/>
        <v>0</v>
      </c>
    </row>
    <row r="81" spans="1:25">
      <c r="A81">
        <v>90.982059910000004</v>
      </c>
      <c r="B81" s="2">
        <f t="shared" si="17"/>
        <v>-1.9617141409896022E-3</v>
      </c>
      <c r="C81">
        <v>101.8774998</v>
      </c>
      <c r="D81" s="3">
        <f t="shared" si="18"/>
        <v>-6.408525799868765E-3</v>
      </c>
      <c r="E81" s="3">
        <f t="shared" si="2"/>
        <v>-6.4855930994936074E-3</v>
      </c>
      <c r="F81" s="3">
        <f>STDEV($E$32:E81)</f>
        <v>1.4904620518242697E-2</v>
      </c>
      <c r="G81" s="14">
        <f t="shared" si="5"/>
        <v>-0.43513976699745455</v>
      </c>
      <c r="H81" s="3">
        <f>yint($B$3:B81,$D$3:D81)</f>
        <v>6.7009958655866683E-4</v>
      </c>
      <c r="I81" s="5">
        <f>MyReg($B$3:B81,$D$3:D81)</f>
        <v>0.30230311060237597</v>
      </c>
      <c r="J81" s="6">
        <f>STDEV($D$3:D81)</f>
        <v>1.415786562792877E-2</v>
      </c>
      <c r="K81" s="4">
        <f t="shared" si="3"/>
        <v>7.7067299624842189E-5</v>
      </c>
      <c r="L81">
        <f t="shared" si="6"/>
        <v>-0.43513976699745455</v>
      </c>
      <c r="M81">
        <f>RSQ($D$3:D81,$B$3:B81)</f>
        <v>7.8987602063737769E-2</v>
      </c>
      <c r="N81">
        <v>49</v>
      </c>
      <c r="O81" t="str">
        <f t="shared" si="4"/>
        <v/>
      </c>
      <c r="P81" t="str">
        <f t="shared" si="8"/>
        <v/>
      </c>
      <c r="Q81">
        <f t="shared" si="9"/>
        <v>0</v>
      </c>
      <c r="R81">
        <f t="shared" si="10"/>
        <v>0</v>
      </c>
      <c r="S81">
        <f t="shared" si="11"/>
        <v>0</v>
      </c>
      <c r="T81">
        <f t="shared" si="12"/>
        <v>0</v>
      </c>
      <c r="U81">
        <f t="shared" si="7"/>
        <v>0</v>
      </c>
      <c r="V81">
        <f t="shared" si="13"/>
        <v>0</v>
      </c>
      <c r="W81">
        <f t="shared" si="19"/>
        <v>0</v>
      </c>
      <c r="X81">
        <f>SUM($W$34:W81)</f>
        <v>41.448847950000385</v>
      </c>
      <c r="Y81">
        <f t="shared" si="15"/>
        <v>0</v>
      </c>
    </row>
    <row r="82" spans="1:25">
      <c r="A82">
        <v>90.339465360000005</v>
      </c>
      <c r="B82" s="2">
        <f t="shared" si="17"/>
        <v>-7.0628709729770537E-3</v>
      </c>
      <c r="C82">
        <v>100.5751769</v>
      </c>
      <c r="D82" s="3">
        <f t="shared" si="18"/>
        <v>-1.2783223995059143E-2</v>
      </c>
      <c r="E82" s="3">
        <f t="shared" si="2"/>
        <v>-1.1147850825008382E-2</v>
      </c>
      <c r="F82" s="3">
        <f>STDEV($E$32:E82)</f>
        <v>1.4856011912266494E-2</v>
      </c>
      <c r="G82" s="14">
        <f t="shared" si="5"/>
        <v>-0.75039323412252301</v>
      </c>
      <c r="H82" s="3">
        <f>yint($B$3:B82,$D$3:D82)</f>
        <v>5.3443880316286579E-4</v>
      </c>
      <c r="I82" s="5">
        <f>MyReg($B$3:B82,$D$3:D82)</f>
        <v>0.30721387683782569</v>
      </c>
      <c r="J82" s="6">
        <f>STDEV($D$3:D82)</f>
        <v>1.4144215080026749E-2</v>
      </c>
      <c r="K82" s="4">
        <f t="shared" si="3"/>
        <v>-1.6353731700507609E-3</v>
      </c>
      <c r="L82">
        <f t="shared" si="6"/>
        <v>-0.75039323412252301</v>
      </c>
      <c r="M82">
        <f>RSQ($D$3:D82,$B$3:B82)</f>
        <v>8.0906588838258575E-2</v>
      </c>
      <c r="N82">
        <v>50</v>
      </c>
      <c r="O82" t="str">
        <f t="shared" si="4"/>
        <v/>
      </c>
      <c r="P82" t="str">
        <f t="shared" si="8"/>
        <v/>
      </c>
      <c r="Q82">
        <f t="shared" si="9"/>
        <v>0</v>
      </c>
      <c r="R82">
        <f t="shared" si="10"/>
        <v>0</v>
      </c>
      <c r="S82">
        <f t="shared" si="11"/>
        <v>0</v>
      </c>
      <c r="T82">
        <f t="shared" si="12"/>
        <v>0</v>
      </c>
      <c r="U82">
        <f t="shared" si="7"/>
        <v>0</v>
      </c>
      <c r="V82">
        <f t="shared" si="13"/>
        <v>0</v>
      </c>
      <c r="W82">
        <f t="shared" si="19"/>
        <v>0</v>
      </c>
      <c r="X82">
        <f>SUM($W$34:W82)</f>
        <v>41.448847950000385</v>
      </c>
      <c r="Y82">
        <f t="shared" si="15"/>
        <v>0</v>
      </c>
    </row>
    <row r="83" spans="1:25">
      <c r="A83">
        <v>92.352963919999993</v>
      </c>
      <c r="B83" s="2">
        <f t="shared" si="17"/>
        <v>2.2288138987498519E-2</v>
      </c>
      <c r="C83">
        <v>101.0274988</v>
      </c>
      <c r="D83" s="3">
        <f t="shared" si="18"/>
        <v>4.4973512743580486E-3</v>
      </c>
      <c r="E83" s="3">
        <f t="shared" si="2"/>
        <v>-2.7387059696170725E-3</v>
      </c>
      <c r="F83" s="3">
        <f>STDEV($E$32:E83)</f>
        <v>1.4718639309583757E-2</v>
      </c>
      <c r="G83" s="14">
        <f t="shared" si="5"/>
        <v>-0.18607059470733936</v>
      </c>
      <c r="H83" s="3">
        <f>yint($B$3:B83,$D$3:D83)</f>
        <v>4.9458487366002449E-4</v>
      </c>
      <c r="I83" s="5">
        <f>MyReg($B$3:B83,$D$3:D83)</f>
        <v>0.30246905648319977</v>
      </c>
      <c r="J83" s="6">
        <f>STDEV($D$3:D83)</f>
        <v>1.4063755214363068E-2</v>
      </c>
      <c r="K83" s="4">
        <f t="shared" si="3"/>
        <v>7.2360572439751211E-3</v>
      </c>
      <c r="L83">
        <f t="shared" si="6"/>
        <v>-0.18607059470733936</v>
      </c>
      <c r="M83">
        <f>RSQ($D$3:D83,$B$3:B83)</f>
        <v>8.1481367848665498E-2</v>
      </c>
      <c r="N83">
        <v>51</v>
      </c>
      <c r="O83" t="str">
        <f t="shared" si="4"/>
        <v/>
      </c>
      <c r="P83" t="str">
        <f t="shared" si="8"/>
        <v/>
      </c>
      <c r="Q83">
        <f t="shared" si="9"/>
        <v>0</v>
      </c>
      <c r="R83">
        <f t="shared" si="10"/>
        <v>0</v>
      </c>
      <c r="S83">
        <f t="shared" si="11"/>
        <v>0</v>
      </c>
      <c r="T83">
        <f t="shared" si="12"/>
        <v>0</v>
      </c>
      <c r="U83">
        <f t="shared" si="7"/>
        <v>0</v>
      </c>
      <c r="V83">
        <f t="shared" si="13"/>
        <v>0</v>
      </c>
      <c r="W83">
        <f t="shared" si="19"/>
        <v>0</v>
      </c>
      <c r="X83">
        <f>SUM($W$34:W83)</f>
        <v>41.448847950000385</v>
      </c>
      <c r="Y83">
        <f t="shared" si="15"/>
        <v>0</v>
      </c>
    </row>
    <row r="84" spans="1:25">
      <c r="A84">
        <v>92.574483630000003</v>
      </c>
      <c r="B84" s="2">
        <f t="shared" si="17"/>
        <v>2.3986204729920671E-3</v>
      </c>
      <c r="C84">
        <v>101.5196029</v>
      </c>
      <c r="D84" s="3">
        <f t="shared" si="18"/>
        <v>4.8709916195608287E-3</v>
      </c>
      <c r="E84" s="3">
        <f t="shared" si="2"/>
        <v>3.6036355233541404E-3</v>
      </c>
      <c r="F84" s="3">
        <f>STDEV($E$32:E84)</f>
        <v>1.4581156412887944E-2</v>
      </c>
      <c r="G84" s="14">
        <f t="shared" si="5"/>
        <v>0.24714332809494938</v>
      </c>
      <c r="H84" s="3">
        <f>yint($B$3:B84,$D$3:D84)</f>
        <v>5.3982765177690512E-4</v>
      </c>
      <c r="I84" s="5">
        <f>MyReg($B$3:B84,$D$3:D84)</f>
        <v>0.30331119600686801</v>
      </c>
      <c r="J84" s="6">
        <f>STDEV($D$3:D84)</f>
        <v>1.3986090231608142E-2</v>
      </c>
      <c r="K84" s="4">
        <f t="shared" si="3"/>
        <v>1.2673560962066883E-3</v>
      </c>
      <c r="L84">
        <f t="shared" si="6"/>
        <v>0.24714332809494938</v>
      </c>
      <c r="M84">
        <f>RSQ($D$3:D84,$B$3:B84)</f>
        <v>8.1887619143666338E-2</v>
      </c>
      <c r="N84">
        <v>52</v>
      </c>
      <c r="O84" t="str">
        <f t="shared" si="4"/>
        <v/>
      </c>
      <c r="P84" t="str">
        <f t="shared" si="8"/>
        <v/>
      </c>
      <c r="Q84">
        <f t="shared" si="9"/>
        <v>0</v>
      </c>
      <c r="R84">
        <f t="shared" si="10"/>
        <v>0</v>
      </c>
      <c r="S84">
        <f t="shared" si="11"/>
        <v>0</v>
      </c>
      <c r="T84">
        <f t="shared" si="12"/>
        <v>0</v>
      </c>
      <c r="U84">
        <f t="shared" si="7"/>
        <v>0</v>
      </c>
      <c r="V84">
        <f t="shared" si="13"/>
        <v>0</v>
      </c>
      <c r="W84">
        <f t="shared" si="19"/>
        <v>0</v>
      </c>
      <c r="X84">
        <f>SUM($W$34:W84)</f>
        <v>41.448847950000385</v>
      </c>
      <c r="Y84">
        <f t="shared" si="15"/>
        <v>0</v>
      </c>
    </row>
    <row r="85" spans="1:25">
      <c r="A85">
        <v>94.877775200000002</v>
      </c>
      <c r="B85" s="2">
        <f t="shared" si="17"/>
        <v>2.4880414987846461E-2</v>
      </c>
      <c r="C85">
        <v>102.40511530000001</v>
      </c>
      <c r="D85" s="3">
        <f t="shared" si="18"/>
        <v>8.7225754899008801E-3</v>
      </c>
      <c r="E85" s="3">
        <f t="shared" si="2"/>
        <v>6.0070470511366762E-4</v>
      </c>
      <c r="F85" s="3">
        <f>STDEV($E$32:E85)</f>
        <v>1.4443022023619266E-2</v>
      </c>
      <c r="G85" s="14">
        <f t="shared" si="5"/>
        <v>4.1591344535188729E-2</v>
      </c>
      <c r="H85" s="3">
        <f>yint($B$3:B85,$D$3:D85)</f>
        <v>5.480899949392797E-4</v>
      </c>
      <c r="I85" s="5">
        <f>MyReg($B$3:B85,$D$3:D85)</f>
        <v>0.30440733378231671</v>
      </c>
      <c r="J85" s="6">
        <f>STDEV($D$3:D85)</f>
        <v>1.3931398099398E-2</v>
      </c>
      <c r="K85" s="4">
        <f t="shared" si="3"/>
        <v>8.1218707847872124E-3</v>
      </c>
      <c r="L85">
        <f t="shared" si="6"/>
        <v>4.1591344535188729E-2</v>
      </c>
      <c r="M85">
        <f>RSQ($D$3:D85,$B$3:B85)</f>
        <v>8.5925346117989743E-2</v>
      </c>
      <c r="N85">
        <v>53</v>
      </c>
      <c r="O85" t="str">
        <f t="shared" si="4"/>
        <v/>
      </c>
      <c r="P85" t="str">
        <f t="shared" si="8"/>
        <v/>
      </c>
      <c r="Q85">
        <f t="shared" si="9"/>
        <v>0</v>
      </c>
      <c r="R85">
        <f t="shared" si="10"/>
        <v>0</v>
      </c>
      <c r="S85">
        <f t="shared" si="11"/>
        <v>0</v>
      </c>
      <c r="T85">
        <f t="shared" si="12"/>
        <v>0</v>
      </c>
      <c r="U85">
        <f t="shared" si="7"/>
        <v>0</v>
      </c>
      <c r="V85">
        <f t="shared" si="13"/>
        <v>0</v>
      </c>
      <c r="W85">
        <f t="shared" si="19"/>
        <v>0</v>
      </c>
      <c r="X85">
        <f>SUM($W$34:W85)</f>
        <v>41.448847950000385</v>
      </c>
      <c r="Y85">
        <f t="shared" si="15"/>
        <v>0</v>
      </c>
    </row>
    <row r="86" spans="1:25">
      <c r="A86">
        <v>96.449215559999999</v>
      </c>
      <c r="B86" s="2">
        <f t="shared" si="17"/>
        <v>1.6562786771585226E-2</v>
      </c>
      <c r="C86">
        <v>103.6118216</v>
      </c>
      <c r="D86" s="3">
        <f t="shared" si="18"/>
        <v>1.1783652569160218E-2</v>
      </c>
      <c r="E86" s="3">
        <f t="shared" si="2"/>
        <v>6.0023774465715052E-3</v>
      </c>
      <c r="F86" s="3">
        <f>STDEV($E$32:E86)</f>
        <v>1.4324908443213711E-2</v>
      </c>
      <c r="G86" s="14">
        <f t="shared" si="5"/>
        <v>0.41901681049941192</v>
      </c>
      <c r="H86" s="3">
        <f>yint($B$3:B86,$D$3:D86)</f>
        <v>6.2419622113718239E-4</v>
      </c>
      <c r="I86" s="5">
        <f>MyReg($B$3:B86,$D$3:D86)</f>
        <v>0.31136541045730953</v>
      </c>
      <c r="J86" s="6">
        <f>STDEV($D$3:D86)</f>
        <v>1.3902984912820668E-2</v>
      </c>
      <c r="K86" s="4">
        <f t="shared" si="3"/>
        <v>5.7812751225887124E-3</v>
      </c>
      <c r="L86">
        <f t="shared" si="6"/>
        <v>0.41901681049941192</v>
      </c>
      <c r="M86">
        <f>RSQ($D$3:D86,$B$3:B86)</f>
        <v>9.0926097420912691E-2</v>
      </c>
      <c r="N86">
        <v>54</v>
      </c>
      <c r="O86" t="str">
        <f t="shared" si="4"/>
        <v/>
      </c>
      <c r="P86" t="str">
        <f t="shared" si="8"/>
        <v/>
      </c>
      <c r="Q86">
        <f t="shared" si="9"/>
        <v>0</v>
      </c>
      <c r="R86">
        <f t="shared" si="10"/>
        <v>0</v>
      </c>
      <c r="S86">
        <f t="shared" si="11"/>
        <v>0</v>
      </c>
      <c r="T86">
        <f t="shared" si="12"/>
        <v>0</v>
      </c>
      <c r="U86">
        <f t="shared" si="7"/>
        <v>0</v>
      </c>
      <c r="V86">
        <f t="shared" si="13"/>
        <v>0</v>
      </c>
      <c r="W86">
        <f t="shared" si="19"/>
        <v>0</v>
      </c>
      <c r="X86">
        <f>SUM($W$34:W86)</f>
        <v>41.448847950000385</v>
      </c>
      <c r="Y86">
        <f t="shared" si="15"/>
        <v>0</v>
      </c>
    </row>
    <row r="87" spans="1:25">
      <c r="A87">
        <v>97.119791800000002</v>
      </c>
      <c r="B87" s="2">
        <f t="shared" si="17"/>
        <v>6.9526354994856798E-3</v>
      </c>
      <c r="C87">
        <v>103.1369845</v>
      </c>
      <c r="D87" s="3">
        <f t="shared" si="18"/>
        <v>-4.5828467511471876E-3</v>
      </c>
      <c r="E87" s="3">
        <f t="shared" si="2"/>
        <v>-7.2597621895178158E-3</v>
      </c>
      <c r="F87" s="3">
        <f>STDEV($E$32:E87)</f>
        <v>1.4237315425639092E-2</v>
      </c>
      <c r="G87" s="14">
        <f t="shared" si="5"/>
        <v>-0.5099108906756511</v>
      </c>
      <c r="H87" s="3">
        <f>yint($B$3:B87,$D$3:D87)</f>
        <v>5.3657119940524287E-4</v>
      </c>
      <c r="I87" s="5">
        <f>MyReg($B$3:B87,$D$3:D87)</f>
        <v>0.30784646183791986</v>
      </c>
      <c r="J87" s="6">
        <f>STDEV($D$3:D87)</f>
        <v>1.3831051796007698E-2</v>
      </c>
      <c r="K87" s="4">
        <f t="shared" si="3"/>
        <v>2.6769154383706278E-3</v>
      </c>
      <c r="L87">
        <f t="shared" si="6"/>
        <v>-0.5099108906756511</v>
      </c>
      <c r="M87">
        <f>RSQ($D$3:D87,$B$3:B87)</f>
        <v>8.9050280254881098E-2</v>
      </c>
      <c r="N87">
        <v>55</v>
      </c>
      <c r="O87" t="str">
        <f t="shared" si="4"/>
        <v/>
      </c>
      <c r="P87" t="str">
        <f t="shared" si="8"/>
        <v/>
      </c>
      <c r="Q87">
        <f t="shared" si="9"/>
        <v>0</v>
      </c>
      <c r="R87">
        <f t="shared" si="10"/>
        <v>0</v>
      </c>
      <c r="S87">
        <f t="shared" si="11"/>
        <v>0</v>
      </c>
      <c r="T87">
        <f t="shared" si="12"/>
        <v>0</v>
      </c>
      <c r="U87">
        <f t="shared" si="7"/>
        <v>0</v>
      </c>
      <c r="V87">
        <f t="shared" si="13"/>
        <v>0</v>
      </c>
      <c r="W87">
        <f t="shared" si="19"/>
        <v>0</v>
      </c>
      <c r="X87">
        <f>SUM($W$34:W87)</f>
        <v>41.448847950000385</v>
      </c>
      <c r="Y87">
        <f t="shared" si="15"/>
        <v>0</v>
      </c>
    </row>
    <row r="88" spans="1:25">
      <c r="A88">
        <v>97.244315909999997</v>
      </c>
      <c r="B88" s="2">
        <f t="shared" si="17"/>
        <v>1.2821702733509758E-3</v>
      </c>
      <c r="C88">
        <v>105.9031293</v>
      </c>
      <c r="D88" s="3">
        <f t="shared" si="18"/>
        <v>2.6820105449175766E-2</v>
      </c>
      <c r="E88" s="3">
        <f t="shared" si="2"/>
        <v>2.5583832771291764E-2</v>
      </c>
      <c r="F88" s="3">
        <f>STDEV($E$32:E88)</f>
        <v>1.4483811123212483E-2</v>
      </c>
      <c r="G88" s="14">
        <f t="shared" si="5"/>
        <v>1.7663743716106481</v>
      </c>
      <c r="H88" s="3">
        <f>yint($B$3:B88,$D$3:D88)</f>
        <v>8.3822162948601453E-4</v>
      </c>
      <c r="I88" s="5">
        <f>MyReg($B$3:B88,$D$3:D88)</f>
        <v>0.31045100379505214</v>
      </c>
      <c r="J88" s="6">
        <f>STDEV($D$3:D88)</f>
        <v>1.4040239441038887E-2</v>
      </c>
      <c r="K88" s="4">
        <f t="shared" si="3"/>
        <v>1.2362726778840014E-3</v>
      </c>
      <c r="L88">
        <f t="shared" si="6"/>
        <v>1.7663743716106481</v>
      </c>
      <c r="M88">
        <f>RSQ($D$3:D88,$B$3:B88)</f>
        <v>8.6864437000202299E-2</v>
      </c>
      <c r="N88">
        <v>56</v>
      </c>
      <c r="O88" t="str">
        <f t="shared" si="4"/>
        <v>sellY</v>
      </c>
      <c r="P88" t="str">
        <f t="shared" si="8"/>
        <v/>
      </c>
      <c r="Q88">
        <f t="shared" si="9"/>
        <v>10</v>
      </c>
      <c r="R88">
        <f t="shared" si="10"/>
        <v>0</v>
      </c>
      <c r="S88">
        <f t="shared" si="11"/>
        <v>-10</v>
      </c>
      <c r="T88">
        <f t="shared" si="12"/>
        <v>0</v>
      </c>
      <c r="U88">
        <f t="shared" si="7"/>
        <v>20</v>
      </c>
      <c r="V88">
        <f t="shared" si="13"/>
        <v>10</v>
      </c>
      <c r="W88">
        <f t="shared" si="19"/>
        <v>86.588133900000059</v>
      </c>
      <c r="X88">
        <f>SUM($W$34:W88)</f>
        <v>128.03698185000044</v>
      </c>
      <c r="Y88">
        <f t="shared" si="15"/>
        <v>0</v>
      </c>
    </row>
    <row r="89" spans="1:25">
      <c r="A89">
        <v>96.809375750000001</v>
      </c>
      <c r="B89" s="2">
        <f t="shared" si="17"/>
        <v>-4.4726538094271269E-3</v>
      </c>
      <c r="C89">
        <v>103.6147004</v>
      </c>
      <c r="D89" s="3">
        <f t="shared" si="18"/>
        <v>-2.1608699526879792E-2</v>
      </c>
      <c r="E89" s="3">
        <f t="shared" si="2"/>
        <v>-2.0791915486421637E-2</v>
      </c>
      <c r="F89" s="3">
        <f>STDEV($E$32:E89)</f>
        <v>1.4646900453362687E-2</v>
      </c>
      <c r="G89" s="14">
        <f t="shared" si="5"/>
        <v>-1.4195437152471502</v>
      </c>
      <c r="H89" s="3">
        <f>yint($B$3:B89,$D$3:D89)</f>
        <v>5.9783797194805702E-4</v>
      </c>
      <c r="I89" s="5">
        <f>MyReg($B$3:B89,$D$3:D89)</f>
        <v>0.3162824740480869</v>
      </c>
      <c r="J89" s="6">
        <f>STDEV($D$3:D89)</f>
        <v>1.4162971147438622E-2</v>
      </c>
      <c r="K89" s="4">
        <f t="shared" si="3"/>
        <v>-8.1678404045815525E-4</v>
      </c>
      <c r="L89">
        <f t="shared" si="6"/>
        <v>-1.4195437152471502</v>
      </c>
      <c r="M89">
        <f>RSQ($D$3:D89,$B$3:B89)</f>
        <v>8.7675160893341528E-2</v>
      </c>
      <c r="N89">
        <v>57</v>
      </c>
      <c r="O89" t="str">
        <f t="shared" si="4"/>
        <v/>
      </c>
      <c r="P89" t="str">
        <f t="shared" si="8"/>
        <v>close</v>
      </c>
      <c r="Q89">
        <f t="shared" si="9"/>
        <v>0</v>
      </c>
      <c r="R89">
        <f t="shared" si="10"/>
        <v>0</v>
      </c>
      <c r="S89">
        <f t="shared" si="11"/>
        <v>0</v>
      </c>
      <c r="T89">
        <f t="shared" si="12"/>
        <v>0</v>
      </c>
      <c r="U89">
        <f t="shared" si="7"/>
        <v>0</v>
      </c>
      <c r="V89">
        <f t="shared" si="13"/>
        <v>-10</v>
      </c>
      <c r="W89">
        <f t="shared" si="19"/>
        <v>-68.053246500000029</v>
      </c>
      <c r="X89">
        <f>SUM($W$34:W89)</f>
        <v>59.983735350000416</v>
      </c>
      <c r="Y89">
        <f t="shared" si="15"/>
        <v>59.983735350000416</v>
      </c>
    </row>
    <row r="90" spans="1:25">
      <c r="A90">
        <v>99.14848902</v>
      </c>
      <c r="B90" s="2">
        <f t="shared" si="17"/>
        <v>2.4162053023051321E-2</v>
      </c>
      <c r="C90">
        <v>103.54698</v>
      </c>
      <c r="D90" s="3">
        <f t="shared" si="18"/>
        <v>-6.5357907457694005E-4</v>
      </c>
      <c r="E90" s="3">
        <f t="shared" si="2"/>
        <v>-8.4616832942687494E-3</v>
      </c>
      <c r="F90" s="3">
        <f>STDEV($E$32:E90)</f>
        <v>1.4571588260666395E-2</v>
      </c>
      <c r="G90" s="14">
        <f t="shared" si="5"/>
        <v>-0.58069739158837419</v>
      </c>
      <c r="H90" s="3">
        <f>yint($B$3:B90,$D$3:D90)</f>
        <v>4.9666663792858679E-4</v>
      </c>
      <c r="I90" s="5">
        <f>MyReg($B$3:B90,$D$3:D90)</f>
        <v>0.30260001394698921</v>
      </c>
      <c r="J90" s="6">
        <f>STDEV($D$3:D90)</f>
        <v>1.4081883403876883E-2</v>
      </c>
      <c r="K90" s="4">
        <f t="shared" si="3"/>
        <v>7.8081042196918088E-3</v>
      </c>
      <c r="L90">
        <f t="shared" si="6"/>
        <v>-0.58069739158837419</v>
      </c>
      <c r="M90">
        <f>RSQ($D$3:D90,$B$3:B90)</f>
        <v>8.3383627376995076E-2</v>
      </c>
      <c r="N90">
        <v>58</v>
      </c>
      <c r="O90" t="str">
        <f t="shared" si="4"/>
        <v/>
      </c>
      <c r="P90" t="str">
        <f t="shared" si="8"/>
        <v/>
      </c>
      <c r="Q90">
        <f t="shared" si="9"/>
        <v>0</v>
      </c>
      <c r="R90">
        <f t="shared" si="10"/>
        <v>0</v>
      </c>
      <c r="S90">
        <f t="shared" si="11"/>
        <v>0</v>
      </c>
      <c r="T90">
        <f t="shared" si="12"/>
        <v>0</v>
      </c>
      <c r="U90">
        <f t="shared" si="7"/>
        <v>0</v>
      </c>
      <c r="V90">
        <f t="shared" si="13"/>
        <v>0</v>
      </c>
      <c r="W90">
        <f t="shared" si="19"/>
        <v>0</v>
      </c>
      <c r="X90">
        <f>SUM($W$34:W90)</f>
        <v>59.983735350000416</v>
      </c>
      <c r="Y90">
        <f t="shared" si="15"/>
        <v>0</v>
      </c>
    </row>
    <row r="91" spans="1:25">
      <c r="A91">
        <v>98.747548640000005</v>
      </c>
      <c r="B91" s="2">
        <f t="shared" si="17"/>
        <v>-4.0438375205003648E-3</v>
      </c>
      <c r="C91">
        <v>102.8144398</v>
      </c>
      <c r="D91" s="3">
        <f t="shared" si="18"/>
        <v>-7.074471896717823E-3</v>
      </c>
      <c r="E91" s="3">
        <f t="shared" si="2"/>
        <v>-6.2697260582705531E-3</v>
      </c>
      <c r="F91" s="3">
        <f>STDEV($E$32:E91)</f>
        <v>1.4476219223342513E-2</v>
      </c>
      <c r="G91" s="14">
        <f t="shared" si="5"/>
        <v>-0.43310521632338844</v>
      </c>
      <c r="H91" s="3">
        <f>yint($B$3:B91,$D$3:D91)</f>
        <v>4.2543262799894663E-4</v>
      </c>
      <c r="I91" s="5">
        <f>MyReg($B$3:B91,$D$3:D91)</f>
        <v>0.30421065639007189</v>
      </c>
      <c r="J91" s="6">
        <f>STDEV($D$3:D91)</f>
        <v>1.4024610329632156E-2</v>
      </c>
      <c r="K91" s="4">
        <f t="shared" si="3"/>
        <v>-8.047458384472701E-4</v>
      </c>
      <c r="L91">
        <f t="shared" si="6"/>
        <v>-0.43310521632338844</v>
      </c>
      <c r="M91">
        <f>RSQ($D$3:D91,$B$3:B91)</f>
        <v>8.408396517070775E-2</v>
      </c>
      <c r="N91">
        <v>59</v>
      </c>
      <c r="O91" t="str">
        <f t="shared" si="4"/>
        <v/>
      </c>
      <c r="P91" t="str">
        <f t="shared" si="8"/>
        <v/>
      </c>
      <c r="Q91">
        <f t="shared" si="9"/>
        <v>0</v>
      </c>
      <c r="R91">
        <f t="shared" si="10"/>
        <v>0</v>
      </c>
      <c r="S91">
        <f t="shared" si="11"/>
        <v>0</v>
      </c>
      <c r="T91">
        <f t="shared" si="12"/>
        <v>0</v>
      </c>
      <c r="U91">
        <f t="shared" si="7"/>
        <v>0</v>
      </c>
      <c r="V91">
        <f t="shared" si="13"/>
        <v>0</v>
      </c>
      <c r="W91">
        <f t="shared" si="19"/>
        <v>0</v>
      </c>
      <c r="X91">
        <f>SUM($W$34:W91)</f>
        <v>59.983735350000416</v>
      </c>
      <c r="Y91">
        <f t="shared" si="15"/>
        <v>0</v>
      </c>
    </row>
    <row r="92" spans="1:25">
      <c r="A92">
        <v>101.2343819</v>
      </c>
      <c r="B92" s="2">
        <f t="shared" si="17"/>
        <v>2.5183746779032925E-2</v>
      </c>
      <c r="C92">
        <v>102.7110601</v>
      </c>
      <c r="D92" s="3">
        <f t="shared" si="18"/>
        <v>-1.0054978678199729E-3</v>
      </c>
      <c r="E92" s="3">
        <f t="shared" si="2"/>
        <v>-8.6448492484378532E-3</v>
      </c>
      <c r="F92" s="3">
        <f>STDEV($E$32:E92)</f>
        <v>1.4404467606025663E-2</v>
      </c>
      <c r="G92" s="14">
        <f t="shared" si="5"/>
        <v>-0.60015055640248371</v>
      </c>
      <c r="H92" s="3">
        <f>yint($B$3:B92,$D$3:D92)</f>
        <v>3.2755948700685634E-4</v>
      </c>
      <c r="I92" s="5">
        <f>MyReg($B$3:B92,$D$3:D92)</f>
        <v>0.29033773082957443</v>
      </c>
      <c r="J92" s="6">
        <f>STDEV($D$3:D92)</f>
        <v>1.3946395087835482E-2</v>
      </c>
      <c r="K92" s="4">
        <f t="shared" si="3"/>
        <v>7.63935138061788E-3</v>
      </c>
      <c r="L92">
        <f t="shared" si="6"/>
        <v>-0.60015055640248371</v>
      </c>
      <c r="M92">
        <f>RSQ($D$3:D92,$B$3:B92)</f>
        <v>7.9648143580853356E-2</v>
      </c>
      <c r="N92">
        <v>60</v>
      </c>
      <c r="O92" t="str">
        <f t="shared" si="4"/>
        <v/>
      </c>
      <c r="P92" t="str">
        <f t="shared" si="8"/>
        <v/>
      </c>
      <c r="Q92">
        <f t="shared" si="9"/>
        <v>0</v>
      </c>
      <c r="R92">
        <f t="shared" si="10"/>
        <v>0</v>
      </c>
      <c r="S92">
        <f t="shared" si="11"/>
        <v>0</v>
      </c>
      <c r="T92">
        <f t="shared" si="12"/>
        <v>0</v>
      </c>
      <c r="U92">
        <f t="shared" si="7"/>
        <v>0</v>
      </c>
      <c r="V92">
        <f t="shared" si="13"/>
        <v>0</v>
      </c>
      <c r="W92">
        <f t="shared" si="19"/>
        <v>0</v>
      </c>
      <c r="X92">
        <f>SUM($W$34:W92)</f>
        <v>59.983735350000416</v>
      </c>
      <c r="Y92">
        <f t="shared" si="15"/>
        <v>0</v>
      </c>
    </row>
    <row r="93" spans="1:25">
      <c r="A93">
        <v>99.768069510000004</v>
      </c>
      <c r="B93" s="2">
        <f t="shared" si="17"/>
        <v>-1.448433192834063E-2</v>
      </c>
      <c r="C93">
        <v>102.38833169999999</v>
      </c>
      <c r="D93" s="3">
        <f t="shared" si="18"/>
        <v>-3.1420997863890474E-3</v>
      </c>
      <c r="E93" s="3">
        <f t="shared" si="2"/>
        <v>7.182054359795389E-4</v>
      </c>
      <c r="F93" s="3">
        <f>STDEV($E$32:E93)</f>
        <v>1.4285934537253128E-2</v>
      </c>
      <c r="G93" s="14">
        <f t="shared" si="5"/>
        <v>5.0273605419840744E-2</v>
      </c>
      <c r="H93" s="3">
        <f>yint($B$3:B93,$D$3:D93)</f>
        <v>3.3568623079169779E-4</v>
      </c>
      <c r="I93" s="5">
        <f>MyReg($B$3:B93,$D$3:D93)</f>
        <v>0.28969174925839952</v>
      </c>
      <c r="J93" s="6">
        <f>STDEV($D$3:D93)</f>
        <v>1.3873650206137478E-2</v>
      </c>
      <c r="K93" s="4">
        <f t="shared" si="3"/>
        <v>-3.8603052223685863E-3</v>
      </c>
      <c r="L93">
        <f t="shared" si="6"/>
        <v>5.0273605419840744E-2</v>
      </c>
      <c r="M93">
        <f>RSQ($D$3:D93,$B$3:B93)</f>
        <v>8.0274473687763831E-2</v>
      </c>
      <c r="N93">
        <v>61</v>
      </c>
      <c r="O93" t="str">
        <f t="shared" si="4"/>
        <v/>
      </c>
      <c r="P93" t="str">
        <f t="shared" si="8"/>
        <v/>
      </c>
      <c r="Q93">
        <f t="shared" si="9"/>
        <v>0</v>
      </c>
      <c r="R93">
        <f t="shared" si="10"/>
        <v>0</v>
      </c>
      <c r="S93">
        <f t="shared" si="11"/>
        <v>0</v>
      </c>
      <c r="T93">
        <f t="shared" si="12"/>
        <v>0</v>
      </c>
      <c r="U93">
        <f t="shared" si="7"/>
        <v>0</v>
      </c>
      <c r="V93">
        <f t="shared" si="13"/>
        <v>0</v>
      </c>
      <c r="W93">
        <f t="shared" si="19"/>
        <v>0</v>
      </c>
      <c r="X93">
        <f>SUM($W$34:W93)</f>
        <v>59.983735350000416</v>
      </c>
      <c r="Y93">
        <f t="shared" si="15"/>
        <v>0</v>
      </c>
    </row>
    <row r="94" spans="1:25">
      <c r="A94">
        <v>99.340864159999995</v>
      </c>
      <c r="B94" s="2">
        <f t="shared" si="17"/>
        <v>-4.2819847281618346E-3</v>
      </c>
      <c r="C94">
        <v>102.7464686</v>
      </c>
      <c r="D94" s="3">
        <f t="shared" si="18"/>
        <v>3.4978292355554146E-3</v>
      </c>
      <c r="E94" s="3">
        <f t="shared" si="2"/>
        <v>4.3498368796341018E-3</v>
      </c>
      <c r="F94" s="3">
        <f>STDEV($E$32:E94)</f>
        <v>1.4178494029681184E-2</v>
      </c>
      <c r="G94" s="14">
        <f t="shared" si="5"/>
        <v>0.30679117757698215</v>
      </c>
      <c r="H94" s="3">
        <f>yint($B$3:B94,$D$3:D94)</f>
        <v>3.8356128012599844E-4</v>
      </c>
      <c r="I94" s="5">
        <f>MyReg($B$3:B94,$D$3:D94)</f>
        <v>0.28855052099522294</v>
      </c>
      <c r="J94" s="6">
        <f>STDEV($D$3:D94)</f>
        <v>1.380110187991871E-2</v>
      </c>
      <c r="K94" s="4">
        <f t="shared" si="3"/>
        <v>-8.5200764407868698E-4</v>
      </c>
      <c r="L94">
        <f t="shared" si="6"/>
        <v>0.30679117757698215</v>
      </c>
      <c r="M94">
        <f>RSQ($D$3:D94,$B$3:B94)</f>
        <v>7.9688142654206734E-2</v>
      </c>
      <c r="N94">
        <v>62</v>
      </c>
      <c r="O94" t="str">
        <f t="shared" si="4"/>
        <v/>
      </c>
      <c r="P94" t="str">
        <f t="shared" si="8"/>
        <v/>
      </c>
      <c r="Q94">
        <f t="shared" si="9"/>
        <v>0</v>
      </c>
      <c r="R94">
        <f t="shared" si="10"/>
        <v>0</v>
      </c>
      <c r="S94">
        <f t="shared" si="11"/>
        <v>0</v>
      </c>
      <c r="T94">
        <f t="shared" si="12"/>
        <v>0</v>
      </c>
      <c r="U94">
        <f t="shared" si="7"/>
        <v>0</v>
      </c>
      <c r="V94">
        <f t="shared" si="13"/>
        <v>0</v>
      </c>
      <c r="W94">
        <f t="shared" si="19"/>
        <v>0</v>
      </c>
      <c r="X94">
        <f>SUM($W$34:W94)</f>
        <v>59.983735350000416</v>
      </c>
      <c r="Y94">
        <f t="shared" si="15"/>
        <v>0</v>
      </c>
    </row>
    <row r="95" spans="1:25">
      <c r="A95">
        <v>98.356311230000003</v>
      </c>
      <c r="B95" s="2">
        <f t="shared" si="17"/>
        <v>-9.9108552993283378E-3</v>
      </c>
      <c r="C95">
        <v>102.7139612</v>
      </c>
      <c r="D95" s="3">
        <f t="shared" si="18"/>
        <v>-3.1638459640451406E-4</v>
      </c>
      <c r="E95" s="3">
        <f t="shared" si="2"/>
        <v>2.1241249695485073E-3</v>
      </c>
      <c r="F95" s="3">
        <f>STDEV($E$32:E95)</f>
        <v>1.4066848661701003E-2</v>
      </c>
      <c r="G95" s="14">
        <f t="shared" si="5"/>
        <v>0.15100219108290686</v>
      </c>
      <c r="H95" s="3">
        <f>yint($B$3:B95,$D$3:D95)</f>
        <v>4.0667267332248692E-4</v>
      </c>
      <c r="I95" s="5">
        <f>MyReg($B$3:B95,$D$3:D95)</f>
        <v>0.28727916544886523</v>
      </c>
      <c r="J95" s="6">
        <f>STDEV($D$3:D95)</f>
        <v>1.3726085737183584E-2</v>
      </c>
      <c r="K95" s="4">
        <f t="shared" si="3"/>
        <v>-2.4405095659530214E-3</v>
      </c>
      <c r="L95">
        <f t="shared" si="6"/>
        <v>0.15100219108290686</v>
      </c>
      <c r="M95">
        <f>RSQ($D$3:D95,$B$3:B95)</f>
        <v>7.9449582920383788E-2</v>
      </c>
      <c r="N95">
        <v>63</v>
      </c>
      <c r="O95" t="str">
        <f t="shared" si="4"/>
        <v/>
      </c>
      <c r="P95" t="str">
        <f t="shared" si="8"/>
        <v/>
      </c>
      <c r="Q95">
        <f t="shared" si="9"/>
        <v>0</v>
      </c>
      <c r="R95">
        <f t="shared" si="10"/>
        <v>0</v>
      </c>
      <c r="S95">
        <f t="shared" si="11"/>
        <v>0</v>
      </c>
      <c r="T95">
        <f t="shared" si="12"/>
        <v>0</v>
      </c>
      <c r="U95">
        <f t="shared" si="7"/>
        <v>0</v>
      </c>
      <c r="V95">
        <f t="shared" si="13"/>
        <v>0</v>
      </c>
      <c r="W95">
        <f t="shared" si="19"/>
        <v>0</v>
      </c>
      <c r="X95">
        <f>SUM($W$34:W95)</f>
        <v>59.983735350000416</v>
      </c>
      <c r="Y95">
        <f t="shared" si="15"/>
        <v>0</v>
      </c>
    </row>
    <row r="96" spans="1:25">
      <c r="A96">
        <v>100.7817551</v>
      </c>
      <c r="B96" s="2">
        <f t="shared" si="17"/>
        <v>2.4659768546303536E-2</v>
      </c>
      <c r="C96">
        <v>105.1655825</v>
      </c>
      <c r="D96" s="3">
        <f t="shared" si="18"/>
        <v>2.3868432989613872E-2</v>
      </c>
      <c r="E96" s="3">
        <f t="shared" si="2"/>
        <v>1.5635493325846569E-2</v>
      </c>
      <c r="F96" s="3">
        <f>STDEV($E$32:E96)</f>
        <v>1.4080575986517531E-2</v>
      </c>
      <c r="G96" s="14">
        <f t="shared" si="5"/>
        <v>1.1104299526395729</v>
      </c>
      <c r="H96" s="3">
        <f>yint($B$3:B96,$D$3:D96)</f>
        <v>5.7685111352336115E-4</v>
      </c>
      <c r="I96" s="5">
        <f>MyReg($B$3:B96,$D$3:D96)</f>
        <v>0.31046879194620741</v>
      </c>
      <c r="J96" s="6">
        <f>STDEV($D$3:D96)</f>
        <v>1.3865358804354718E-2</v>
      </c>
      <c r="K96" s="4">
        <f t="shared" si="3"/>
        <v>8.2329396637673032E-3</v>
      </c>
      <c r="L96">
        <f t="shared" si="6"/>
        <v>1.1104299526395729</v>
      </c>
      <c r="M96">
        <f>RSQ($D$3:D96,$B$3:B96)</f>
        <v>9.32281456444609E-2</v>
      </c>
      <c r="N96">
        <v>64</v>
      </c>
      <c r="O96" t="str">
        <f t="shared" si="4"/>
        <v/>
      </c>
      <c r="P96" t="str">
        <f t="shared" si="8"/>
        <v/>
      </c>
      <c r="Q96">
        <f t="shared" si="9"/>
        <v>0</v>
      </c>
      <c r="R96">
        <f t="shared" si="10"/>
        <v>0</v>
      </c>
      <c r="S96">
        <f t="shared" si="11"/>
        <v>0</v>
      </c>
      <c r="T96">
        <f t="shared" si="12"/>
        <v>0</v>
      </c>
      <c r="U96">
        <f t="shared" si="7"/>
        <v>0</v>
      </c>
      <c r="V96">
        <f t="shared" si="13"/>
        <v>0</v>
      </c>
      <c r="W96">
        <f t="shared" si="19"/>
        <v>0</v>
      </c>
      <c r="X96">
        <f>SUM($W$34:W96)</f>
        <v>59.983735350000416</v>
      </c>
      <c r="Y96">
        <f t="shared" si="15"/>
        <v>0</v>
      </c>
    </row>
    <row r="97" spans="1:25">
      <c r="A97">
        <v>101.8068818</v>
      </c>
      <c r="B97" s="2">
        <f t="shared" si="17"/>
        <v>1.0171748834725356E-2</v>
      </c>
      <c r="C97">
        <v>104.0443132</v>
      </c>
      <c r="D97" s="3">
        <f t="shared" si="18"/>
        <v>-1.0661941610031919E-2</v>
      </c>
      <c r="E97" s="3">
        <f t="shared" ref="E97:E160" si="20">D97-K97</f>
        <v>-1.4164257440604131E-2</v>
      </c>
      <c r="F97" s="3">
        <f>STDEV($E$32:E97)</f>
        <v>1.4093234118833326E-2</v>
      </c>
      <c r="G97" s="14">
        <f t="shared" si="5"/>
        <v>-1.0050395332378601</v>
      </c>
      <c r="H97" s="3">
        <f>yint($B$3:B97,$D$3:D97)</f>
        <v>4.2759782666884031E-4</v>
      </c>
      <c r="I97" s="5">
        <f>MyReg($B$3:B97,$D$3:D97)</f>
        <v>0.30228017363214726</v>
      </c>
      <c r="J97" s="6">
        <f>STDEV($D$3:D97)</f>
        <v>1.3839993757835836E-2</v>
      </c>
      <c r="K97" s="4">
        <f>H97+B97*I97</f>
        <v>3.5023158305722123E-3</v>
      </c>
      <c r="L97">
        <f t="shared" si="6"/>
        <v>-1.0050395332378601</v>
      </c>
      <c r="M97">
        <f>RSQ($D$3:D97,$B$3:B97)</f>
        <v>8.8257680122008048E-2</v>
      </c>
      <c r="N97">
        <v>65</v>
      </c>
      <c r="O97" t="str">
        <f t="shared" ref="O97:O160" si="21">IF(L97&gt;1.5,"sellY",IF(L97&lt;-1.5,"buyY",""))</f>
        <v/>
      </c>
      <c r="P97" t="str">
        <f t="shared" si="8"/>
        <v/>
      </c>
      <c r="Q97">
        <f t="shared" si="9"/>
        <v>0</v>
      </c>
      <c r="R97">
        <f t="shared" si="10"/>
        <v>0</v>
      </c>
      <c r="S97">
        <f t="shared" si="11"/>
        <v>0</v>
      </c>
      <c r="T97">
        <f t="shared" si="12"/>
        <v>0</v>
      </c>
      <c r="U97">
        <f t="shared" si="7"/>
        <v>0</v>
      </c>
      <c r="V97">
        <f t="shared" si="13"/>
        <v>0</v>
      </c>
      <c r="W97">
        <f t="shared" si="19"/>
        <v>0</v>
      </c>
      <c r="X97">
        <f>SUM($W$34:W97)</f>
        <v>59.983735350000416</v>
      </c>
      <c r="Y97">
        <f t="shared" si="15"/>
        <v>0</v>
      </c>
    </row>
    <row r="98" spans="1:25">
      <c r="A98">
        <v>100.7272078</v>
      </c>
      <c r="B98" s="2">
        <f t="shared" si="17"/>
        <v>-1.0605118052048983E-2</v>
      </c>
      <c r="C98">
        <v>103.10423849999999</v>
      </c>
      <c r="D98" s="3">
        <f t="shared" si="18"/>
        <v>-9.0353299578511785E-3</v>
      </c>
      <c r="E98" s="3">
        <f t="shared" si="20"/>
        <v>-6.1505654904918227E-3</v>
      </c>
      <c r="F98" s="3">
        <f>STDEV($E$32:E98)</f>
        <v>1.4010379466386053E-2</v>
      </c>
      <c r="G98" s="14">
        <f t="shared" ref="G98:G161" si="22">E98/F98</f>
        <v>-0.43900063558223862</v>
      </c>
      <c r="H98" s="3">
        <f>yint($B$3:B98,$D$3:D98)</f>
        <v>3.6177753141400945E-4</v>
      </c>
      <c r="I98" s="5">
        <f>MyReg($B$3:B98,$D$3:D98)</f>
        <v>0.30612973687229356</v>
      </c>
      <c r="J98" s="6">
        <f>STDEV($D$3:D98)</f>
        <v>1.3801401941740914E-2</v>
      </c>
      <c r="K98" s="4">
        <f>H98+B98*I98</f>
        <v>-2.8847644673593562E-3</v>
      </c>
      <c r="L98">
        <f t="shared" ref="L98:L161" si="23">(D98-K98)/F98</f>
        <v>-0.43900063558223862</v>
      </c>
      <c r="M98">
        <f>RSQ($D$3:D98,$B$3:B98)</f>
        <v>9.067591819513178E-2</v>
      </c>
      <c r="N98">
        <v>66</v>
      </c>
      <c r="O98" t="str">
        <f t="shared" si="21"/>
        <v/>
      </c>
      <c r="P98" t="str">
        <f t="shared" si="8"/>
        <v/>
      </c>
      <c r="Q98">
        <f t="shared" si="9"/>
        <v>0</v>
      </c>
      <c r="R98">
        <f t="shared" si="10"/>
        <v>0</v>
      </c>
      <c r="S98">
        <f t="shared" si="11"/>
        <v>0</v>
      </c>
      <c r="T98">
        <f t="shared" si="12"/>
        <v>0</v>
      </c>
      <c r="U98">
        <f t="shared" ref="U98:U161" si="24">ABS(Q98)+ABS(S98)</f>
        <v>0</v>
      </c>
      <c r="V98">
        <f t="shared" si="13"/>
        <v>0</v>
      </c>
      <c r="W98">
        <f t="shared" si="19"/>
        <v>0</v>
      </c>
      <c r="X98">
        <f>SUM($W$34:W98)</f>
        <v>59.983735350000416</v>
      </c>
      <c r="Y98">
        <f t="shared" si="15"/>
        <v>0</v>
      </c>
    </row>
    <row r="99" spans="1:25">
      <c r="A99">
        <v>100.2453788</v>
      </c>
      <c r="B99" s="2">
        <f t="shared" si="17"/>
        <v>-4.7835039859012623E-3</v>
      </c>
      <c r="C99">
        <v>102.80136419999999</v>
      </c>
      <c r="D99" s="3">
        <f t="shared" si="18"/>
        <v>-2.9375543082062446E-3</v>
      </c>
      <c r="E99" s="3">
        <f t="shared" si="20"/>
        <v>-1.8135301067363956E-3</v>
      </c>
      <c r="F99" s="3">
        <f>STDEV($E$32:E99)</f>
        <v>1.3908268021399595E-2</v>
      </c>
      <c r="G99" s="14">
        <f t="shared" si="22"/>
        <v>-0.13039223172475931</v>
      </c>
      <c r="H99" s="3">
        <f>yint($B$3:B99,$D$3:D99)</f>
        <v>3.4280121639420269E-4</v>
      </c>
      <c r="I99" s="5">
        <f>MyReg($B$3:B99,$D$3:D99)</f>
        <v>0.30664245753475344</v>
      </c>
      <c r="J99" s="6">
        <f>STDEV($D$3:D99)</f>
        <v>1.3733545048290436E-2</v>
      </c>
      <c r="K99" s="4">
        <f>H99+B99*I99</f>
        <v>-1.124024201469849E-3</v>
      </c>
      <c r="L99">
        <f t="shared" si="23"/>
        <v>-0.13039223172475931</v>
      </c>
      <c r="M99">
        <f>RSQ($D$3:D99,$B$3:B99)</f>
        <v>9.1050024359483547E-2</v>
      </c>
      <c r="N99">
        <v>67</v>
      </c>
      <c r="O99" t="str">
        <f t="shared" si="21"/>
        <v/>
      </c>
      <c r="P99" t="str">
        <f t="shared" ref="P99:P162" si="25">IF(AND(OR(O98="sellY",P98="sellhold"),L99&gt;0.5),"sellhold",IF(AND(OR(O98="sellY",P98="sellhold"),L99&lt;0.5,O99&lt;&gt;"buyY"),"close",IF(AND(OR(O98="sellY",P98="sellhold"),L99&lt;0.5,O99="buyY"),"close&amp;buy",IF(AND(OR(O98="buyY",P98="buyhold"),L99&lt;-0.5),"buyhold",IF(AND(OR(O98="buyY",P98="buyhold"),L99&gt;-0.5,O99&lt;&gt;"sellY"),"close",IF(AND(OR(O98="buyY",P98="buyhold"),L99&gt;-0.5,O99="sellY"),"close&amp;sell",""))))))</f>
        <v/>
      </c>
      <c r="Q99">
        <f t="shared" ref="Q99:Q162" si="26">IF(O99="sellY",MAX(10+R99,Q98),IF(O99="buyY",MIN(-10+R99,Q98),IF(P99="sellhold",Q98+R99,IF(P99="buyhold",Q98+R99,0))))</f>
        <v>0</v>
      </c>
      <c r="R99">
        <f t="shared" ref="R99:R162" si="27">IF(AND(L99&gt;2.5,Q98&lt;15),10,IF(AND(L99&gt;2,Q98&lt;15),5,IF(AND(L99&lt;-2.5,Q98&gt;-15),-10,IF(AND(L99&lt;-2,Q98&gt;-15),-5,0))))</f>
        <v>0</v>
      </c>
      <c r="S99">
        <f t="shared" ref="S99:S162" si="28">IF(O99="sellY",MIN(-10+T99,S98),IF(O99="buyY",MAX(10+T99,S98),IF(P99="sellhold",S98+T99,IF(P99="buyhold",S98+T99,0))))</f>
        <v>0</v>
      </c>
      <c r="T99">
        <f t="shared" ref="T99:T162" si="29">IF(AND(L99&gt;2.5,Q98&lt;15),-10,IF(AND(L99&gt;2,Q98&lt;15),-5,IF(AND(L99&lt;-2.5,Q98&gt;-15),10,IF(AND(L99&lt;-2,Q98&gt;-15),5,0))))</f>
        <v>0</v>
      </c>
      <c r="U99">
        <f t="shared" si="24"/>
        <v>0</v>
      </c>
      <c r="V99">
        <f t="shared" ref="V99:V162" si="30">Q99-Q98</f>
        <v>0</v>
      </c>
      <c r="W99">
        <f t="shared" si="19"/>
        <v>0</v>
      </c>
      <c r="X99">
        <f>SUM($W$34:W99)</f>
        <v>59.983735350000416</v>
      </c>
      <c r="Y99">
        <f t="shared" si="15"/>
        <v>0</v>
      </c>
    </row>
    <row r="100" spans="1:25">
      <c r="A100">
        <v>100.5560534</v>
      </c>
      <c r="B100" s="2">
        <f t="shared" si="17"/>
        <v>3.099141364110429E-3</v>
      </c>
      <c r="C100">
        <v>103.8490493</v>
      </c>
      <c r="D100" s="3">
        <f t="shared" si="18"/>
        <v>1.0191354055980607E-2</v>
      </c>
      <c r="E100" s="3">
        <f t="shared" si="20"/>
        <v>8.8030022364477961E-3</v>
      </c>
      <c r="F100" s="3">
        <f>STDEV($E$32:E100)</f>
        <v>1.3842033600206255E-2</v>
      </c>
      <c r="G100" s="14">
        <f t="shared" si="22"/>
        <v>0.63596162895577901</v>
      </c>
      <c r="H100" s="3">
        <f>yint($B$3:B100,$D$3:D100)</f>
        <v>4.3338081355830691E-4</v>
      </c>
      <c r="I100" s="5">
        <f>MyReg($B$3:B100,$D$3:D100)</f>
        <v>0.30814051176675394</v>
      </c>
      <c r="J100" s="6">
        <f>STDEV($D$3:D100)</f>
        <v>1.3698483628464866E-2</v>
      </c>
      <c r="K100" s="4">
        <f>H100+B100*I100</f>
        <v>1.3883518195328104E-3</v>
      </c>
      <c r="L100">
        <f t="shared" si="23"/>
        <v>0.63596162895577901</v>
      </c>
      <c r="M100">
        <f>RSQ($D$3:D100,$B$3:B100)</f>
        <v>9.1506326077547148E-2</v>
      </c>
      <c r="N100">
        <v>68</v>
      </c>
      <c r="O100" t="str">
        <f t="shared" si="21"/>
        <v/>
      </c>
      <c r="P100" t="str">
        <f t="shared" si="25"/>
        <v/>
      </c>
      <c r="Q100">
        <f t="shared" si="26"/>
        <v>0</v>
      </c>
      <c r="R100">
        <f t="shared" si="27"/>
        <v>0</v>
      </c>
      <c r="S100">
        <f t="shared" si="28"/>
        <v>0</v>
      </c>
      <c r="T100">
        <f t="shared" si="29"/>
        <v>0</v>
      </c>
      <c r="U100">
        <f t="shared" si="24"/>
        <v>0</v>
      </c>
      <c r="V100">
        <f t="shared" si="30"/>
        <v>0</v>
      </c>
      <c r="W100">
        <f t="shared" si="19"/>
        <v>0</v>
      </c>
      <c r="X100">
        <f>SUM($W$34:W100)</f>
        <v>59.983735350000416</v>
      </c>
      <c r="Y100">
        <f t="shared" ref="Y100:Y163" si="31">IF(P100="close",X100,0)</f>
        <v>0</v>
      </c>
    </row>
    <row r="101" spans="1:25">
      <c r="A101">
        <v>101.24597249999999</v>
      </c>
      <c r="B101" s="2">
        <f t="shared" si="17"/>
        <v>6.8610399540600647E-3</v>
      </c>
      <c r="C101">
        <v>105.2557044</v>
      </c>
      <c r="D101" s="3">
        <f t="shared" si="18"/>
        <v>1.3545189960636401E-2</v>
      </c>
      <c r="E101" s="3">
        <f t="shared" si="20"/>
        <v>1.0858925379035862E-2</v>
      </c>
      <c r="F101" s="3">
        <f>STDEV($E$32:E101)</f>
        <v>1.3796073759110853E-2</v>
      </c>
      <c r="G101" s="14">
        <f t="shared" si="22"/>
        <v>0.78710258937726296</v>
      </c>
      <c r="H101" s="3">
        <f>yint($B$3:B101,$D$3:D101)</f>
        <v>5.4357955488575354E-4</v>
      </c>
      <c r="I101" s="5">
        <f>MyReg($B$3:B101,$D$3:D101)</f>
        <v>0.31229741279189571</v>
      </c>
      <c r="J101" s="6">
        <f>STDEV($D$3:D101)</f>
        <v>1.3691542786452633E-2</v>
      </c>
      <c r="K101" s="4">
        <f>H101+B101*I101</f>
        <v>2.6862645816005388E-3</v>
      </c>
      <c r="L101">
        <f t="shared" si="23"/>
        <v>0.78710258937726296</v>
      </c>
      <c r="M101">
        <f>RSQ($D$3:D101,$B$3:B101)</f>
        <v>9.3364093749276303E-2</v>
      </c>
      <c r="N101">
        <v>69</v>
      </c>
      <c r="O101" t="str">
        <f t="shared" si="21"/>
        <v/>
      </c>
      <c r="P101" t="str">
        <f t="shared" si="25"/>
        <v/>
      </c>
      <c r="Q101">
        <f t="shared" si="26"/>
        <v>0</v>
      </c>
      <c r="R101">
        <f t="shared" si="27"/>
        <v>0</v>
      </c>
      <c r="S101">
        <f t="shared" si="28"/>
        <v>0</v>
      </c>
      <c r="T101">
        <f t="shared" si="29"/>
        <v>0</v>
      </c>
      <c r="U101">
        <f t="shared" si="24"/>
        <v>0</v>
      </c>
      <c r="V101">
        <f t="shared" si="30"/>
        <v>0</v>
      </c>
      <c r="W101">
        <f t="shared" si="19"/>
        <v>0</v>
      </c>
      <c r="X101">
        <f>SUM($W$34:W101)</f>
        <v>59.983735350000416</v>
      </c>
      <c r="Y101">
        <f t="shared" si="31"/>
        <v>0</v>
      </c>
    </row>
    <row r="102" spans="1:25">
      <c r="A102">
        <v>100.6819696</v>
      </c>
      <c r="B102" s="2">
        <f t="shared" si="17"/>
        <v>-5.5706205992538749E-3</v>
      </c>
      <c r="C102">
        <v>103.8024523</v>
      </c>
      <c r="D102" s="3">
        <f t="shared" si="18"/>
        <v>-1.3806872589795715E-2</v>
      </c>
      <c r="E102" s="3">
        <f t="shared" si="20"/>
        <v>-1.2461182983143779E-2</v>
      </c>
      <c r="F102" s="3">
        <f>STDEV($E$32:E102)</f>
        <v>1.3786432831567667E-2</v>
      </c>
      <c r="G102" s="14">
        <f t="shared" si="22"/>
        <v>-0.9038728970274762</v>
      </c>
      <c r="H102" s="3">
        <f>yint($B$3:B102,$D$3:D102)</f>
        <v>4.168328890077909E-4</v>
      </c>
      <c r="I102" s="5">
        <f>MyReg($B$3:B102,$D$3:D102)</f>
        <v>0.31639607549216298</v>
      </c>
      <c r="J102" s="6">
        <f>STDEV($D$3:D102)</f>
        <v>1.3698298593903972E-2</v>
      </c>
      <c r="K102" s="4">
        <f>H102+B102*I102</f>
        <v>-1.3456896066519363E-3</v>
      </c>
      <c r="L102">
        <f t="shared" si="23"/>
        <v>-0.9038728970274762</v>
      </c>
      <c r="M102">
        <f>RSQ($D$3:D102,$B$3:B102)</f>
        <v>9.4947805331788773E-2</v>
      </c>
      <c r="N102">
        <v>70</v>
      </c>
      <c r="O102" t="str">
        <f t="shared" si="21"/>
        <v/>
      </c>
      <c r="P102" t="str">
        <f t="shared" si="25"/>
        <v/>
      </c>
      <c r="Q102">
        <f t="shared" si="26"/>
        <v>0</v>
      </c>
      <c r="R102">
        <f t="shared" si="27"/>
        <v>0</v>
      </c>
      <c r="S102">
        <f t="shared" si="28"/>
        <v>0</v>
      </c>
      <c r="T102">
        <f t="shared" si="29"/>
        <v>0</v>
      </c>
      <c r="U102">
        <f t="shared" si="24"/>
        <v>0</v>
      </c>
      <c r="V102">
        <f t="shared" si="30"/>
        <v>0</v>
      </c>
      <c r="W102">
        <f t="shared" si="19"/>
        <v>0</v>
      </c>
      <c r="X102">
        <f>SUM($W$34:W102)</f>
        <v>59.983735350000416</v>
      </c>
      <c r="Y102">
        <f t="shared" si="31"/>
        <v>0</v>
      </c>
    </row>
    <row r="103" spans="1:25">
      <c r="A103">
        <v>99.585510740000004</v>
      </c>
      <c r="B103" s="2">
        <f t="shared" si="17"/>
        <v>-1.0890319928743215E-2</v>
      </c>
      <c r="C103">
        <v>102.51412809999999</v>
      </c>
      <c r="D103" s="3">
        <f t="shared" si="18"/>
        <v>-1.2411307935930193E-2</v>
      </c>
      <c r="E103" s="3">
        <f t="shared" si="20"/>
        <v>-9.2263281351892285E-3</v>
      </c>
      <c r="F103" s="3">
        <f>STDEV($E$32:E103)</f>
        <v>1.3737404472781555E-2</v>
      </c>
      <c r="G103" s="14">
        <f t="shared" si="22"/>
        <v>-0.67162091306765448</v>
      </c>
      <c r="H103" s="3">
        <f>yint($B$3:B103,$D$3:D103)</f>
        <v>3.2366773832993541E-4</v>
      </c>
      <c r="I103" s="5">
        <f>MyReg($B$3:B103,$D$3:D103)</f>
        <v>0.32218039157971834</v>
      </c>
      <c r="J103" s="6">
        <f>STDEV($D$3:D103)</f>
        <v>1.3689734280460147E-2</v>
      </c>
      <c r="K103" s="4">
        <f>H103+B103*I103</f>
        <v>-3.1849798007409637E-3</v>
      </c>
      <c r="L103">
        <f t="shared" si="23"/>
        <v>-0.67162091306765448</v>
      </c>
      <c r="M103">
        <f>RSQ($D$3:D103,$B$3:B103)</f>
        <v>9.8257803262968513E-2</v>
      </c>
      <c r="N103">
        <v>71</v>
      </c>
      <c r="O103" t="str">
        <f t="shared" si="21"/>
        <v/>
      </c>
      <c r="P103" t="str">
        <f t="shared" si="25"/>
        <v/>
      </c>
      <c r="Q103">
        <f t="shared" si="26"/>
        <v>0</v>
      </c>
      <c r="R103">
        <f t="shared" si="27"/>
        <v>0</v>
      </c>
      <c r="S103">
        <f t="shared" si="28"/>
        <v>0</v>
      </c>
      <c r="T103">
        <f t="shared" si="29"/>
        <v>0</v>
      </c>
      <c r="U103">
        <f t="shared" si="24"/>
        <v>0</v>
      </c>
      <c r="V103">
        <f t="shared" si="30"/>
        <v>0</v>
      </c>
      <c r="W103">
        <f t="shared" si="19"/>
        <v>0</v>
      </c>
      <c r="X103">
        <f>SUM($W$34:W103)</f>
        <v>59.983735350000416</v>
      </c>
      <c r="Y103">
        <f t="shared" si="31"/>
        <v>0</v>
      </c>
    </row>
    <row r="104" spans="1:25">
      <c r="A104">
        <v>99.236518810000007</v>
      </c>
      <c r="B104" s="2">
        <f t="shared" si="17"/>
        <v>-3.5044448475155436E-3</v>
      </c>
      <c r="C104">
        <v>103.2525533</v>
      </c>
      <c r="D104" s="3">
        <f t="shared" si="18"/>
        <v>7.2031554448738358E-3</v>
      </c>
      <c r="E104" s="3">
        <f t="shared" si="20"/>
        <v>7.9244585173697032E-3</v>
      </c>
      <c r="F104" s="3">
        <f>STDEV($E$32:E104)</f>
        <v>1.3669960329823599E-2</v>
      </c>
      <c r="G104" s="14">
        <f t="shared" si="22"/>
        <v>0.57969872085736784</v>
      </c>
      <c r="H104" s="3">
        <f>yint($B$3:B104,$D$3:D104)</f>
        <v>4.022015579666201E-4</v>
      </c>
      <c r="I104" s="5">
        <f>MyReg($B$3:B104,$D$3:D104)</f>
        <v>0.32059418234502679</v>
      </c>
      <c r="J104" s="6">
        <f>STDEV($D$3:D104)</f>
        <v>1.3638741314951953E-2</v>
      </c>
      <c r="K104" s="4">
        <f>H104+B104*I104</f>
        <v>-7.2130307249586767E-4</v>
      </c>
      <c r="L104">
        <f t="shared" si="23"/>
        <v>0.57969872085736784</v>
      </c>
      <c r="M104">
        <f>RSQ($D$3:D104,$B$3:B104)</f>
        <v>9.7119346468474241E-2</v>
      </c>
      <c r="N104">
        <v>72</v>
      </c>
      <c r="O104" t="str">
        <f t="shared" si="21"/>
        <v/>
      </c>
      <c r="P104" t="str">
        <f t="shared" si="25"/>
        <v/>
      </c>
      <c r="Q104">
        <f t="shared" si="26"/>
        <v>0</v>
      </c>
      <c r="R104">
        <f t="shared" si="27"/>
        <v>0</v>
      </c>
      <c r="S104">
        <f t="shared" si="28"/>
        <v>0</v>
      </c>
      <c r="T104">
        <f t="shared" si="29"/>
        <v>0</v>
      </c>
      <c r="U104">
        <f t="shared" si="24"/>
        <v>0</v>
      </c>
      <c r="V104">
        <f t="shared" si="30"/>
        <v>0</v>
      </c>
      <c r="W104">
        <f t="shared" si="19"/>
        <v>0</v>
      </c>
      <c r="X104">
        <f>SUM($W$34:W104)</f>
        <v>59.983735350000416</v>
      </c>
      <c r="Y104">
        <f t="shared" si="31"/>
        <v>0</v>
      </c>
    </row>
    <row r="105" spans="1:25">
      <c r="A105">
        <v>98.639679389999998</v>
      </c>
      <c r="B105" s="2">
        <f t="shared" si="17"/>
        <v>-6.0143123434501814E-3</v>
      </c>
      <c r="C105">
        <v>100.6723154</v>
      </c>
      <c r="D105" s="3">
        <f t="shared" si="18"/>
        <v>-2.4989579603936052E-2</v>
      </c>
      <c r="E105" s="3">
        <f t="shared" si="20"/>
        <v>-2.3188853007875872E-2</v>
      </c>
      <c r="F105" s="3">
        <f>STDEV($E$32:E105)</f>
        <v>1.3852883651521564E-2</v>
      </c>
      <c r="G105" s="14">
        <f t="shared" si="22"/>
        <v>-1.6739368922173017</v>
      </c>
      <c r="H105" s="3">
        <f>yint($B$3:B105,$D$3:D105)</f>
        <v>1.7476749979528371E-4</v>
      </c>
      <c r="I105" s="5">
        <f>MyReg($B$3:B105,$D$3:D105)</f>
        <v>0.32846549747401321</v>
      </c>
      <c r="J105" s="6">
        <f>STDEV($D$3:D105)</f>
        <v>1.3800473792644406E-2</v>
      </c>
      <c r="K105" s="4">
        <f>H105+B105*I105</f>
        <v>-1.8007265960601783E-3</v>
      </c>
      <c r="L105">
        <f t="shared" si="23"/>
        <v>-1.6739368922173017</v>
      </c>
      <c r="M105">
        <f>RSQ($D$3:D105,$B$3:B105)</f>
        <v>9.8794921744313521E-2</v>
      </c>
      <c r="N105">
        <v>73</v>
      </c>
      <c r="O105" t="str">
        <f t="shared" si="21"/>
        <v>buyY</v>
      </c>
      <c r="P105" t="str">
        <f t="shared" si="25"/>
        <v/>
      </c>
      <c r="Q105">
        <f t="shared" si="26"/>
        <v>-10</v>
      </c>
      <c r="R105">
        <f t="shared" si="27"/>
        <v>0</v>
      </c>
      <c r="S105">
        <f t="shared" si="28"/>
        <v>10</v>
      </c>
      <c r="T105">
        <f t="shared" si="29"/>
        <v>0</v>
      </c>
      <c r="U105">
        <f t="shared" si="24"/>
        <v>20</v>
      </c>
      <c r="V105">
        <f t="shared" si="30"/>
        <v>-10</v>
      </c>
      <c r="W105">
        <f t="shared" si="19"/>
        <v>-20.326360100000045</v>
      </c>
      <c r="X105">
        <f>SUM($W$34:W105)</f>
        <v>39.657375250000371</v>
      </c>
      <c r="Y105">
        <f t="shared" si="31"/>
        <v>0</v>
      </c>
    </row>
    <row r="106" spans="1:25">
      <c r="A106">
        <v>100.2331485</v>
      </c>
      <c r="B106" s="2">
        <f t="shared" si="17"/>
        <v>1.6154443321939115E-2</v>
      </c>
      <c r="C106">
        <v>101.3468221</v>
      </c>
      <c r="D106" s="3">
        <f t="shared" si="18"/>
        <v>6.7000217221585322E-3</v>
      </c>
      <c r="E106" s="3">
        <f t="shared" si="20"/>
        <v>1.1899654454512968E-3</v>
      </c>
      <c r="F106" s="3">
        <f>STDEV($E$32:E106)</f>
        <v>1.375944241316788E-2</v>
      </c>
      <c r="G106" s="14">
        <f t="shared" si="22"/>
        <v>8.648355142011363E-2</v>
      </c>
      <c r="H106" s="3">
        <f>yint($B$3:B106,$D$3:D106)</f>
        <v>1.8637125188682692E-4</v>
      </c>
      <c r="I106" s="5">
        <f>MyReg($B$3:B106,$D$3:D106)</f>
        <v>0.3295492712887475</v>
      </c>
      <c r="J106" s="6">
        <f>STDEV($D$3:D106)</f>
        <v>1.3748285743613305E-2</v>
      </c>
      <c r="K106" s="4">
        <f>H106+B106*I106</f>
        <v>5.5100562767072354E-3</v>
      </c>
      <c r="L106">
        <f t="shared" si="23"/>
        <v>8.648355142011363E-2</v>
      </c>
      <c r="M106">
        <f>RSQ($D$3:D106,$B$3:B106)</f>
        <v>0.10068164837574467</v>
      </c>
      <c r="N106">
        <v>74</v>
      </c>
      <c r="O106" t="str">
        <f t="shared" si="21"/>
        <v/>
      </c>
      <c r="P106" t="str">
        <f t="shared" si="25"/>
        <v>close</v>
      </c>
      <c r="Q106">
        <f t="shared" si="26"/>
        <v>0</v>
      </c>
      <c r="R106">
        <f t="shared" si="27"/>
        <v>0</v>
      </c>
      <c r="S106">
        <f t="shared" si="28"/>
        <v>0</v>
      </c>
      <c r="T106">
        <f t="shared" si="29"/>
        <v>0</v>
      </c>
      <c r="U106">
        <f t="shared" si="24"/>
        <v>0</v>
      </c>
      <c r="V106">
        <f t="shared" si="30"/>
        <v>10</v>
      </c>
      <c r="W106">
        <f t="shared" si="19"/>
        <v>11.136735999999985</v>
      </c>
      <c r="X106">
        <f>SUM($W$34:W106)</f>
        <v>50.794111250000356</v>
      </c>
      <c r="Y106">
        <f t="shared" si="31"/>
        <v>50.794111250000356</v>
      </c>
    </row>
    <row r="107" spans="1:25">
      <c r="A107">
        <v>100.2819154</v>
      </c>
      <c r="B107" s="2">
        <f t="shared" si="17"/>
        <v>4.8653465175748663E-4</v>
      </c>
      <c r="C107">
        <v>101.1255184</v>
      </c>
      <c r="D107" s="3">
        <f t="shared" si="18"/>
        <v>-2.1836274232815128E-3</v>
      </c>
      <c r="E107" s="3">
        <f t="shared" si="20"/>
        <v>-2.5062177763228947E-3</v>
      </c>
      <c r="F107" s="3">
        <f>STDEV($E$32:E107)</f>
        <v>1.3670956625002046E-2</v>
      </c>
      <c r="G107" s="14">
        <f t="shared" si="22"/>
        <v>-0.18332424314326426</v>
      </c>
      <c r="H107" s="3">
        <f>yint($B$3:B107,$D$3:D107)</f>
        <v>1.6227871863201145E-4</v>
      </c>
      <c r="I107" s="5">
        <f>MyReg($B$3:B107,$D$3:D107)</f>
        <v>0.32949684843676386</v>
      </c>
      <c r="J107" s="6">
        <f>STDEV($D$3:D107)</f>
        <v>1.368404303283011E-2</v>
      </c>
      <c r="K107" s="4">
        <f>H107+B107*I107</f>
        <v>3.2259035304138171E-4</v>
      </c>
      <c r="L107">
        <f t="shared" si="23"/>
        <v>-0.18332424314326426</v>
      </c>
      <c r="M107">
        <f>RSQ($D$3:D107,$B$3:B107)</f>
        <v>0.10062077442918144</v>
      </c>
      <c r="N107">
        <v>75</v>
      </c>
      <c r="O107" t="str">
        <f t="shared" si="21"/>
        <v/>
      </c>
      <c r="P107" t="str">
        <f t="shared" si="25"/>
        <v/>
      </c>
      <c r="Q107">
        <f t="shared" si="26"/>
        <v>0</v>
      </c>
      <c r="R107">
        <f t="shared" si="27"/>
        <v>0</v>
      </c>
      <c r="S107">
        <f t="shared" si="28"/>
        <v>0</v>
      </c>
      <c r="T107">
        <f t="shared" si="29"/>
        <v>0</v>
      </c>
      <c r="U107">
        <f t="shared" si="24"/>
        <v>0</v>
      </c>
      <c r="V107">
        <f t="shared" si="30"/>
        <v>0</v>
      </c>
      <c r="W107">
        <f t="shared" si="19"/>
        <v>0</v>
      </c>
      <c r="X107">
        <f>SUM($W$34:W107)</f>
        <v>50.794111250000356</v>
      </c>
      <c r="Y107">
        <f t="shared" si="31"/>
        <v>0</v>
      </c>
    </row>
    <row r="108" spans="1:25">
      <c r="A108">
        <v>102.1078737</v>
      </c>
      <c r="B108" s="2">
        <f t="shared" si="17"/>
        <v>1.8208251135976967E-2</v>
      </c>
      <c r="C108">
        <v>101.81022780000001</v>
      </c>
      <c r="D108" s="3">
        <f t="shared" si="18"/>
        <v>6.7708864274163526E-3</v>
      </c>
      <c r="E108" s="3">
        <f t="shared" si="20"/>
        <v>5.9264981835253049E-4</v>
      </c>
      <c r="F108" s="3">
        <f>STDEV($E$32:E108)</f>
        <v>1.358080189241824E-2</v>
      </c>
      <c r="G108" s="14">
        <f t="shared" si="22"/>
        <v>4.3638794163059644E-2</v>
      </c>
      <c r="H108" s="3">
        <f>yint($B$3:B108,$D$3:D108)</f>
        <v>1.6785609386652615E-4</v>
      </c>
      <c r="I108" s="5">
        <f>MyReg($B$3:B108,$D$3:D108)</f>
        <v>0.3300910378658839</v>
      </c>
      <c r="J108" s="6">
        <f>STDEV($D$3:D108)</f>
        <v>1.3633674269328168E-2</v>
      </c>
      <c r="K108" s="4">
        <f>H108+B108*I108</f>
        <v>6.1782366090638221E-3</v>
      </c>
      <c r="L108">
        <f t="shared" si="23"/>
        <v>4.3638794163059644E-2</v>
      </c>
      <c r="M108">
        <f>RSQ($D$3:D108,$B$3:B108)</f>
        <v>0.10257352622241901</v>
      </c>
      <c r="N108">
        <v>76</v>
      </c>
      <c r="O108" t="str">
        <f t="shared" si="21"/>
        <v/>
      </c>
      <c r="P108" t="str">
        <f t="shared" si="25"/>
        <v/>
      </c>
      <c r="Q108">
        <f t="shared" si="26"/>
        <v>0</v>
      </c>
      <c r="R108">
        <f t="shared" si="27"/>
        <v>0</v>
      </c>
      <c r="S108">
        <f t="shared" si="28"/>
        <v>0</v>
      </c>
      <c r="T108">
        <f t="shared" si="29"/>
        <v>0</v>
      </c>
      <c r="U108">
        <f t="shared" si="24"/>
        <v>0</v>
      </c>
      <c r="V108">
        <f t="shared" si="30"/>
        <v>0</v>
      </c>
      <c r="W108">
        <f t="shared" si="19"/>
        <v>0</v>
      </c>
      <c r="X108">
        <f>SUM($W$34:W108)</f>
        <v>50.794111250000356</v>
      </c>
      <c r="Y108">
        <f t="shared" si="31"/>
        <v>0</v>
      </c>
    </row>
    <row r="109" spans="1:25">
      <c r="A109">
        <v>101.1964601</v>
      </c>
      <c r="B109" s="2">
        <f t="shared" si="17"/>
        <v>-8.9259874579094584E-3</v>
      </c>
      <c r="C109">
        <v>101.83849789999999</v>
      </c>
      <c r="D109" s="3">
        <f t="shared" si="18"/>
        <v>2.7767445973621605E-4</v>
      </c>
      <c r="E109" s="3">
        <f t="shared" si="20"/>
        <v>3.0138620195081524E-3</v>
      </c>
      <c r="F109" s="3">
        <f>STDEV($E$32:E109)</f>
        <v>1.349614169465232E-2</v>
      </c>
      <c r="G109" s="14">
        <f t="shared" si="22"/>
        <v>0.22331286138632928</v>
      </c>
      <c r="H109" s="3">
        <f>yint($B$3:B109,$D$3:D109)</f>
        <v>1.9671675328575538E-4</v>
      </c>
      <c r="I109" s="5">
        <f>MyReg($B$3:B109,$D$3:D109)</f>
        <v>0.32858037577218407</v>
      </c>
      <c r="J109" s="6">
        <f>STDEV($D$3:D109)</f>
        <v>1.3569212182797108E-2</v>
      </c>
      <c r="K109" s="4">
        <f>H109+B109*I109</f>
        <v>-2.7361875597719364E-3</v>
      </c>
      <c r="L109">
        <f t="shared" si="23"/>
        <v>0.22331286138632928</v>
      </c>
      <c r="M109">
        <f>RSQ($D$3:D109,$B$3:B109)</f>
        <v>0.10210159377145658</v>
      </c>
      <c r="N109">
        <v>77</v>
      </c>
      <c r="O109" t="str">
        <f t="shared" si="21"/>
        <v/>
      </c>
      <c r="P109" t="str">
        <f t="shared" si="25"/>
        <v/>
      </c>
      <c r="Q109">
        <f t="shared" si="26"/>
        <v>0</v>
      </c>
      <c r="R109">
        <f t="shared" si="27"/>
        <v>0</v>
      </c>
      <c r="S109">
        <f t="shared" si="28"/>
        <v>0</v>
      </c>
      <c r="T109">
        <f t="shared" si="29"/>
        <v>0</v>
      </c>
      <c r="U109">
        <f t="shared" si="24"/>
        <v>0</v>
      </c>
      <c r="V109">
        <f t="shared" si="30"/>
        <v>0</v>
      </c>
      <c r="W109">
        <f t="shared" si="19"/>
        <v>0</v>
      </c>
      <c r="X109">
        <f>SUM($W$34:W109)</f>
        <v>50.794111250000356</v>
      </c>
      <c r="Y109">
        <f t="shared" si="31"/>
        <v>0</v>
      </c>
    </row>
    <row r="110" spans="1:25">
      <c r="A110">
        <v>102.0166471</v>
      </c>
      <c r="B110" s="2">
        <f t="shared" si="17"/>
        <v>8.1048981277557965E-3</v>
      </c>
      <c r="C110">
        <v>100.53981229999999</v>
      </c>
      <c r="D110" s="3">
        <f t="shared" si="18"/>
        <v>-1.2752403332531862E-2</v>
      </c>
      <c r="E110" s="3">
        <f t="shared" si="20"/>
        <v>-1.5415928875586179E-2</v>
      </c>
      <c r="F110" s="3">
        <f>STDEV($E$32:E110)</f>
        <v>1.3524196159524694E-2</v>
      </c>
      <c r="G110" s="14">
        <f t="shared" si="22"/>
        <v>-1.1398776454990409</v>
      </c>
      <c r="H110" s="3">
        <f>yint($B$3:B110,$D$3:D110)</f>
        <v>5.3945430154864053E-5</v>
      </c>
      <c r="I110" s="5">
        <f>MyReg($B$3:B110,$D$3:D110)</f>
        <v>0.32197568331707488</v>
      </c>
      <c r="J110" s="6">
        <f>STDEV($D$3:D110)</f>
        <v>1.3563587633482631E-2</v>
      </c>
      <c r="K110" s="4">
        <f>H110+B110*I110</f>
        <v>2.6635255430543176E-3</v>
      </c>
      <c r="L110">
        <f t="shared" si="23"/>
        <v>-1.1398776454990409</v>
      </c>
      <c r="M110">
        <f>RSQ($D$3:D110,$B$3:B110)</f>
        <v>9.7528805347194339E-2</v>
      </c>
      <c r="N110">
        <v>78</v>
      </c>
      <c r="O110" t="str">
        <f t="shared" si="21"/>
        <v/>
      </c>
      <c r="P110" t="str">
        <f t="shared" si="25"/>
        <v/>
      </c>
      <c r="Q110">
        <f t="shared" si="26"/>
        <v>0</v>
      </c>
      <c r="R110">
        <f t="shared" si="27"/>
        <v>0</v>
      </c>
      <c r="S110">
        <f t="shared" si="28"/>
        <v>0</v>
      </c>
      <c r="T110">
        <f t="shared" si="29"/>
        <v>0</v>
      </c>
      <c r="U110">
        <f t="shared" si="24"/>
        <v>0</v>
      </c>
      <c r="V110">
        <f t="shared" si="30"/>
        <v>0</v>
      </c>
      <c r="W110">
        <f t="shared" si="19"/>
        <v>0</v>
      </c>
      <c r="X110">
        <f>SUM($W$34:W110)</f>
        <v>50.794111250000356</v>
      </c>
      <c r="Y110">
        <f t="shared" si="31"/>
        <v>0</v>
      </c>
    </row>
    <row r="111" spans="1:25">
      <c r="A111">
        <v>103.778859</v>
      </c>
      <c r="B111" s="2">
        <f t="shared" si="17"/>
        <v>1.7273768057409496E-2</v>
      </c>
      <c r="C111">
        <v>102.1346887</v>
      </c>
      <c r="D111" s="3">
        <f t="shared" si="18"/>
        <v>1.5863132857669E-2</v>
      </c>
      <c r="E111" s="3">
        <f t="shared" si="20"/>
        <v>9.9987762623990444E-3</v>
      </c>
      <c r="F111" s="3">
        <f>STDEV($E$32:E111)</f>
        <v>1.3484574075084754E-2</v>
      </c>
      <c r="G111" s="14">
        <f t="shared" si="22"/>
        <v>0.74149737371932523</v>
      </c>
      <c r="H111" s="3">
        <f>yint($B$3:B111,$D$3:D111)</f>
        <v>1.4404368174995925E-4</v>
      </c>
      <c r="I111" s="5">
        <f>MyReg($B$3:B111,$D$3:D111)</f>
        <v>0.3311560566581937</v>
      </c>
      <c r="J111" s="6">
        <f>STDEV($D$3:D111)</f>
        <v>1.3584374222531385E-2</v>
      </c>
      <c r="K111" s="4">
        <f>H111+B111*I111</f>
        <v>5.8643565952699551E-3</v>
      </c>
      <c r="L111">
        <f t="shared" si="23"/>
        <v>0.74149737371932523</v>
      </c>
      <c r="M111">
        <f>RSQ($D$3:D111,$B$3:B111)</f>
        <v>0.10347810261515408</v>
      </c>
      <c r="N111">
        <v>79</v>
      </c>
      <c r="O111" t="str">
        <f t="shared" si="21"/>
        <v/>
      </c>
      <c r="P111" t="str">
        <f t="shared" si="25"/>
        <v/>
      </c>
      <c r="Q111">
        <f t="shared" si="26"/>
        <v>0</v>
      </c>
      <c r="R111">
        <f t="shared" si="27"/>
        <v>0</v>
      </c>
      <c r="S111">
        <f t="shared" si="28"/>
        <v>0</v>
      </c>
      <c r="T111">
        <f t="shared" si="29"/>
        <v>0</v>
      </c>
      <c r="U111">
        <f t="shared" si="24"/>
        <v>0</v>
      </c>
      <c r="V111">
        <f t="shared" si="30"/>
        <v>0</v>
      </c>
      <c r="W111">
        <f t="shared" si="19"/>
        <v>0</v>
      </c>
      <c r="X111">
        <f>SUM($W$34:W111)</f>
        <v>50.794111250000356</v>
      </c>
      <c r="Y111">
        <f t="shared" si="31"/>
        <v>0</v>
      </c>
    </row>
    <row r="112" spans="1:25">
      <c r="A112">
        <v>102.47019709999999</v>
      </c>
      <c r="B112" s="2">
        <f t="shared" si="17"/>
        <v>-1.2610101061141982E-2</v>
      </c>
      <c r="C112">
        <v>104.1661703</v>
      </c>
      <c r="D112" s="3">
        <f t="shared" si="18"/>
        <v>1.9890221685279454E-2</v>
      </c>
      <c r="E112" s="3">
        <f t="shared" si="20"/>
        <v>2.3494220975095313E-2</v>
      </c>
      <c r="F112" s="3">
        <f>STDEV($E$32:E112)</f>
        <v>1.3648903424317585E-2</v>
      </c>
      <c r="G112" s="14">
        <f t="shared" si="22"/>
        <v>1.7213266329686827</v>
      </c>
      <c r="H112" s="3">
        <f>yint($B$3:B112,$D$3:D112)</f>
        <v>3.6653274804741354E-4</v>
      </c>
      <c r="I112" s="5">
        <f>MyReg($B$3:B112,$D$3:D112)</f>
        <v>0.31486916866181708</v>
      </c>
      <c r="J112" s="6">
        <f>STDEV($D$3:D112)</f>
        <v>1.3650507974678247E-2</v>
      </c>
      <c r="K112" s="4">
        <f>H112+B112*I112</f>
        <v>-3.6039992898158593E-3</v>
      </c>
      <c r="L112">
        <f t="shared" si="23"/>
        <v>1.7213266329686827</v>
      </c>
      <c r="M112">
        <f>RSQ($D$3:D112,$B$3:B112)</f>
        <v>9.2617723943653432E-2</v>
      </c>
      <c r="N112">
        <v>80</v>
      </c>
      <c r="O112" t="str">
        <f t="shared" si="21"/>
        <v>sellY</v>
      </c>
      <c r="P112" t="str">
        <f t="shared" si="25"/>
        <v/>
      </c>
      <c r="Q112">
        <f t="shared" si="26"/>
        <v>10</v>
      </c>
      <c r="R112">
        <f t="shared" si="27"/>
        <v>0</v>
      </c>
      <c r="S112">
        <f t="shared" si="28"/>
        <v>-10</v>
      </c>
      <c r="T112">
        <f t="shared" si="29"/>
        <v>0</v>
      </c>
      <c r="U112">
        <f t="shared" si="24"/>
        <v>20</v>
      </c>
      <c r="V112">
        <f t="shared" si="30"/>
        <v>10</v>
      </c>
      <c r="W112">
        <f t="shared" si="19"/>
        <v>16.959732000000116</v>
      </c>
      <c r="X112">
        <f>SUM($W$34:W112)</f>
        <v>67.753843250000472</v>
      </c>
      <c r="Y112">
        <f t="shared" si="31"/>
        <v>0</v>
      </c>
    </row>
    <row r="113" spans="1:25">
      <c r="A113">
        <v>102.6646173</v>
      </c>
      <c r="B113" s="2">
        <f t="shared" si="17"/>
        <v>1.8973341078897016E-3</v>
      </c>
      <c r="C113">
        <v>102.8925931</v>
      </c>
      <c r="D113" s="3">
        <f t="shared" si="18"/>
        <v>-1.2226399380260267E-2</v>
      </c>
      <c r="E113" s="3">
        <f t="shared" si="20"/>
        <v>-1.3069787809583846E-2</v>
      </c>
      <c r="F113" s="3">
        <f>STDEV($E$32:E113)</f>
        <v>1.3646084649832352E-2</v>
      </c>
      <c r="G113" s="14">
        <f t="shared" si="22"/>
        <v>-0.95776833758278157</v>
      </c>
      <c r="H113" s="3">
        <f>yint($B$3:B113,$D$3:D113)</f>
        <v>2.4805364140802254E-4</v>
      </c>
      <c r="I113" s="5">
        <f>MyReg($B$3:B113,$D$3:D113)</f>
        <v>0.31377435605040249</v>
      </c>
      <c r="J113" s="6">
        <f>STDEV($D$3:D113)</f>
        <v>1.3641596417276547E-2</v>
      </c>
      <c r="K113" s="4">
        <f>H113+B113*I113</f>
        <v>8.4338842932357857E-4</v>
      </c>
      <c r="L113">
        <f t="shared" si="23"/>
        <v>-0.95776833758278157</v>
      </c>
      <c r="M113">
        <f>RSQ($D$3:D113,$B$3:B113)</f>
        <v>9.1269792727414575E-2</v>
      </c>
      <c r="N113">
        <v>81</v>
      </c>
      <c r="O113" t="str">
        <f t="shared" si="21"/>
        <v/>
      </c>
      <c r="P113" t="str">
        <f t="shared" si="25"/>
        <v>close</v>
      </c>
      <c r="Q113">
        <f t="shared" si="26"/>
        <v>0</v>
      </c>
      <c r="R113">
        <f t="shared" si="27"/>
        <v>0</v>
      </c>
      <c r="S113">
        <f t="shared" si="28"/>
        <v>0</v>
      </c>
      <c r="T113">
        <f t="shared" si="29"/>
        <v>0</v>
      </c>
      <c r="U113">
        <f t="shared" si="24"/>
        <v>0</v>
      </c>
      <c r="V113">
        <f t="shared" si="30"/>
        <v>-10</v>
      </c>
      <c r="W113">
        <f t="shared" si="19"/>
        <v>-2.2797579999999584</v>
      </c>
      <c r="X113">
        <f>SUM($W$34:W113)</f>
        <v>65.474085250000513</v>
      </c>
      <c r="Y113">
        <f t="shared" si="31"/>
        <v>65.474085250000513</v>
      </c>
    </row>
    <row r="114" spans="1:25">
      <c r="A114">
        <v>102.4804707</v>
      </c>
      <c r="B114" s="2">
        <f t="shared" si="17"/>
        <v>-1.7936715184151898E-3</v>
      </c>
      <c r="C114">
        <v>104.5877445</v>
      </c>
      <c r="D114" s="3">
        <f t="shared" si="18"/>
        <v>1.6474960431335464E-2</v>
      </c>
      <c r="E114" s="3">
        <f t="shared" si="20"/>
        <v>1.6635916808007512E-2</v>
      </c>
      <c r="F114" s="3">
        <f>STDEV($E$32:E114)</f>
        <v>1.3681118054744385E-2</v>
      </c>
      <c r="G114" s="14">
        <f t="shared" si="22"/>
        <v>1.2159764093431276</v>
      </c>
      <c r="H114" s="3">
        <f>yint($B$3:B114,$D$3:D114)</f>
        <v>3.9852455932719348E-4</v>
      </c>
      <c r="I114" s="5">
        <f>MyReg($B$3:B114,$D$3:D114)</f>
        <v>0.31191939563915982</v>
      </c>
      <c r="J114" s="6">
        <f>STDEV($D$3:D114)</f>
        <v>1.3665227139190593E-2</v>
      </c>
      <c r="K114" s="4">
        <f>H114+B114*I114</f>
        <v>-1.6095637667204666E-4</v>
      </c>
      <c r="L114">
        <f t="shared" si="23"/>
        <v>1.2159764093431276</v>
      </c>
      <c r="M114">
        <f>RSQ($D$3:D114,$B$3:B114)</f>
        <v>8.9093262078323174E-2</v>
      </c>
      <c r="N114">
        <v>82</v>
      </c>
      <c r="O114" t="str">
        <f t="shared" si="21"/>
        <v/>
      </c>
      <c r="P114" t="str">
        <f t="shared" si="25"/>
        <v/>
      </c>
      <c r="Q114">
        <f t="shared" si="26"/>
        <v>0</v>
      </c>
      <c r="R114">
        <f t="shared" si="27"/>
        <v>0</v>
      </c>
      <c r="S114">
        <f t="shared" si="28"/>
        <v>0</v>
      </c>
      <c r="T114">
        <f t="shared" si="29"/>
        <v>0</v>
      </c>
      <c r="U114">
        <f t="shared" si="24"/>
        <v>0</v>
      </c>
      <c r="V114">
        <f t="shared" si="30"/>
        <v>0</v>
      </c>
      <c r="W114">
        <f t="shared" si="19"/>
        <v>0</v>
      </c>
      <c r="X114">
        <f>SUM($W$34:W114)</f>
        <v>65.474085250000513</v>
      </c>
      <c r="Y114">
        <f t="shared" si="31"/>
        <v>0</v>
      </c>
    </row>
    <row r="115" spans="1:25">
      <c r="A115">
        <v>103.047483</v>
      </c>
      <c r="B115" s="2">
        <f t="shared" si="17"/>
        <v>5.5328814956350685E-3</v>
      </c>
      <c r="C115">
        <v>105.279314</v>
      </c>
      <c r="D115" s="3">
        <f t="shared" si="18"/>
        <v>6.6123378346685732E-3</v>
      </c>
      <c r="E115" s="3">
        <f t="shared" si="20"/>
        <v>4.4419400833905403E-3</v>
      </c>
      <c r="F115" s="3">
        <f>STDEV($E$32:E115)</f>
        <v>1.3605376651967455E-2</v>
      </c>
      <c r="G115" s="14">
        <f t="shared" si="22"/>
        <v>0.32648416850320694</v>
      </c>
      <c r="H115" s="3">
        <f>yint($B$3:B115,$D$3:D115)</f>
        <v>4.3781346278842716E-4</v>
      </c>
      <c r="I115" s="5">
        <f>MyReg($B$3:B115,$D$3:D115)</f>
        <v>0.31314321296352626</v>
      </c>
      <c r="J115" s="6">
        <f>STDEV($D$3:D115)</f>
        <v>1.3616258365894989E-2</v>
      </c>
      <c r="K115" s="4">
        <f>H115+B115*I115</f>
        <v>2.170397751278033E-3</v>
      </c>
      <c r="L115">
        <f t="shared" si="23"/>
        <v>0.32648416850320694</v>
      </c>
      <c r="M115">
        <f>RSQ($D$3:D115,$B$3:B115)</f>
        <v>8.9761263539350239E-2</v>
      </c>
      <c r="N115">
        <v>83</v>
      </c>
      <c r="O115" t="str">
        <f t="shared" si="21"/>
        <v/>
      </c>
      <c r="P115" t="str">
        <f t="shared" si="25"/>
        <v/>
      </c>
      <c r="Q115">
        <f t="shared" si="26"/>
        <v>0</v>
      </c>
      <c r="R115">
        <f t="shared" si="27"/>
        <v>0</v>
      </c>
      <c r="S115">
        <f t="shared" si="28"/>
        <v>0</v>
      </c>
      <c r="T115">
        <f t="shared" si="29"/>
        <v>0</v>
      </c>
      <c r="U115">
        <f t="shared" si="24"/>
        <v>0</v>
      </c>
      <c r="V115">
        <f t="shared" si="30"/>
        <v>0</v>
      </c>
      <c r="W115">
        <f t="shared" si="19"/>
        <v>0</v>
      </c>
      <c r="X115">
        <f>SUM($W$34:W115)</f>
        <v>65.474085250000513</v>
      </c>
      <c r="Y115">
        <f t="shared" si="31"/>
        <v>0</v>
      </c>
    </row>
    <row r="116" spans="1:25">
      <c r="A116">
        <v>101.0866163</v>
      </c>
      <c r="B116" s="2">
        <f t="shared" si="17"/>
        <v>-1.9028768514413853E-2</v>
      </c>
      <c r="C116">
        <v>103.6835521</v>
      </c>
      <c r="D116" s="3">
        <f t="shared" si="18"/>
        <v>-1.5157411644988487E-2</v>
      </c>
      <c r="E116" s="3">
        <f t="shared" si="20"/>
        <v>-9.3685035805676029E-3</v>
      </c>
      <c r="F116" s="3">
        <f>STDEV($E$32:E116)</f>
        <v>1.3566539908561066E-2</v>
      </c>
      <c r="G116" s="14">
        <f t="shared" si="22"/>
        <v>-0.69055954161574218</v>
      </c>
      <c r="H116" s="3">
        <f>yint($B$3:B116,$D$3:D116)</f>
        <v>3.5156678062251312E-4</v>
      </c>
      <c r="I116" s="5">
        <f>MyReg($B$3:B116,$D$3:D116)</f>
        <v>0.32269428472957296</v>
      </c>
      <c r="J116" s="6">
        <f>STDEV($D$3:D116)</f>
        <v>1.3635441109965524E-2</v>
      </c>
      <c r="K116" s="4">
        <f>H116+B116*I116</f>
        <v>-5.7889080644208842E-3</v>
      </c>
      <c r="L116">
        <f t="shared" si="23"/>
        <v>-0.69055954161574218</v>
      </c>
      <c r="M116">
        <f>RSQ($D$3:D116,$B$3:B116)</f>
        <v>9.6056054369709237E-2</v>
      </c>
      <c r="N116">
        <v>84</v>
      </c>
      <c r="O116" t="str">
        <f t="shared" si="21"/>
        <v/>
      </c>
      <c r="P116" t="str">
        <f t="shared" si="25"/>
        <v/>
      </c>
      <c r="Q116">
        <f t="shared" si="26"/>
        <v>0</v>
      </c>
      <c r="R116">
        <f t="shared" si="27"/>
        <v>0</v>
      </c>
      <c r="S116">
        <f t="shared" si="28"/>
        <v>0</v>
      </c>
      <c r="T116">
        <f t="shared" si="29"/>
        <v>0</v>
      </c>
      <c r="U116">
        <f t="shared" si="24"/>
        <v>0</v>
      </c>
      <c r="V116">
        <f t="shared" si="30"/>
        <v>0</v>
      </c>
      <c r="W116">
        <f t="shared" si="19"/>
        <v>0</v>
      </c>
      <c r="X116">
        <f>SUM($W$34:W116)</f>
        <v>65.474085250000513</v>
      </c>
      <c r="Y116">
        <f t="shared" si="31"/>
        <v>0</v>
      </c>
    </row>
    <row r="117" spans="1:25">
      <c r="A117">
        <v>103.4947272</v>
      </c>
      <c r="B117" s="2">
        <f t="shared" si="17"/>
        <v>2.3822252521078766E-2</v>
      </c>
      <c r="C117">
        <v>104.41034209999999</v>
      </c>
      <c r="D117" s="3">
        <f t="shared" si="18"/>
        <v>7.0096942598863185E-3</v>
      </c>
      <c r="E117" s="3">
        <f t="shared" si="20"/>
        <v>-9.9186881191095592E-4</v>
      </c>
      <c r="F117" s="3">
        <f>STDEV($E$32:E117)</f>
        <v>1.3487329943234261E-2</v>
      </c>
      <c r="G117" s="14">
        <f t="shared" si="22"/>
        <v>-7.3540783541705651E-2</v>
      </c>
      <c r="H117" s="3">
        <f>yint($B$3:B117,$D$3:D117)</f>
        <v>3.4308357754057975E-4</v>
      </c>
      <c r="I117" s="5">
        <f>MyReg($B$3:B117,$D$3:D117)</f>
        <v>0.32148427137526991</v>
      </c>
      <c r="J117" s="6">
        <f>STDEV($D$3:D117)</f>
        <v>1.3589449244546517E-2</v>
      </c>
      <c r="K117" s="4">
        <f>H117+B117*I117</f>
        <v>8.0015630717972745E-3</v>
      </c>
      <c r="L117">
        <f t="shared" si="23"/>
        <v>-7.3540783541705651E-2</v>
      </c>
      <c r="M117">
        <f>RSQ($D$3:D117,$B$3:B117)</f>
        <v>9.7861727516698194E-2</v>
      </c>
      <c r="N117">
        <v>85</v>
      </c>
      <c r="O117" t="str">
        <f t="shared" si="21"/>
        <v/>
      </c>
      <c r="P117" t="str">
        <f t="shared" si="25"/>
        <v/>
      </c>
      <c r="Q117">
        <f t="shared" si="26"/>
        <v>0</v>
      </c>
      <c r="R117">
        <f t="shared" si="27"/>
        <v>0</v>
      </c>
      <c r="S117">
        <f t="shared" si="28"/>
        <v>0</v>
      </c>
      <c r="T117">
        <f t="shared" si="29"/>
        <v>0</v>
      </c>
      <c r="U117">
        <f t="shared" si="24"/>
        <v>0</v>
      </c>
      <c r="V117">
        <f t="shared" si="30"/>
        <v>0</v>
      </c>
      <c r="W117">
        <f t="shared" si="19"/>
        <v>0</v>
      </c>
      <c r="X117">
        <f>SUM($W$34:W117)</f>
        <v>65.474085250000513</v>
      </c>
      <c r="Y117">
        <f t="shared" si="31"/>
        <v>0</v>
      </c>
    </row>
    <row r="118" spans="1:25">
      <c r="A118">
        <v>103.8755967</v>
      </c>
      <c r="B118" s="2">
        <f t="shared" si="17"/>
        <v>3.6800860324409149E-3</v>
      </c>
      <c r="C118">
        <v>103.3632212</v>
      </c>
      <c r="D118" s="3">
        <f t="shared" si="18"/>
        <v>-1.0028900192637104E-2</v>
      </c>
      <c r="E118" s="3">
        <f t="shared" si="20"/>
        <v>-1.1449279510463317E-2</v>
      </c>
      <c r="F118" s="3">
        <f>STDEV($E$32:E118)</f>
        <v>1.3468518985277051E-2</v>
      </c>
      <c r="G118" s="14">
        <f t="shared" si="22"/>
        <v>-0.8500770962998202</v>
      </c>
      <c r="H118" s="3">
        <f>yint($B$3:B118,$D$3:D118)</f>
        <v>2.4425367672200173E-4</v>
      </c>
      <c r="I118" s="5">
        <f>MyReg($B$3:B118,$D$3:D118)</f>
        <v>0.31959188745490119</v>
      </c>
      <c r="J118" s="6">
        <f>STDEV($D$3:D118)</f>
        <v>1.3565284923823749E-2</v>
      </c>
      <c r="K118" s="4">
        <f>H118+B118*I118</f>
        <v>1.4203793178262127E-3</v>
      </c>
      <c r="L118">
        <f t="shared" si="23"/>
        <v>-0.8500770962998202</v>
      </c>
      <c r="M118">
        <f>RSQ($D$3:D118,$B$3:B118)</f>
        <v>9.6265839240166878E-2</v>
      </c>
      <c r="N118">
        <v>86</v>
      </c>
      <c r="O118" t="str">
        <f t="shared" si="21"/>
        <v/>
      </c>
      <c r="P118" t="str">
        <f t="shared" si="25"/>
        <v/>
      </c>
      <c r="Q118">
        <f t="shared" si="26"/>
        <v>0</v>
      </c>
      <c r="R118">
        <f t="shared" si="27"/>
        <v>0</v>
      </c>
      <c r="S118">
        <f t="shared" si="28"/>
        <v>0</v>
      </c>
      <c r="T118">
        <f t="shared" si="29"/>
        <v>0</v>
      </c>
      <c r="U118">
        <f t="shared" si="24"/>
        <v>0</v>
      </c>
      <c r="V118">
        <f t="shared" si="30"/>
        <v>0</v>
      </c>
      <c r="W118">
        <f t="shared" si="19"/>
        <v>0</v>
      </c>
      <c r="X118">
        <f>SUM($W$34:W118)</f>
        <v>65.474085250000513</v>
      </c>
      <c r="Y118">
        <f t="shared" si="31"/>
        <v>0</v>
      </c>
    </row>
    <row r="119" spans="1:25">
      <c r="A119">
        <v>106.020205</v>
      </c>
      <c r="B119" s="2">
        <f t="shared" si="17"/>
        <v>2.0645930017555332E-2</v>
      </c>
      <c r="C119">
        <v>105.7180456</v>
      </c>
      <c r="D119" s="3">
        <f t="shared" si="18"/>
        <v>2.2782033809139825E-2</v>
      </c>
      <c r="E119" s="3">
        <f t="shared" si="20"/>
        <v>1.5488118667004284E-2</v>
      </c>
      <c r="F119" s="3">
        <f>STDEV($E$32:E119)</f>
        <v>1.3489142974747622E-2</v>
      </c>
      <c r="G119" s="14">
        <f t="shared" si="22"/>
        <v>1.1481914526370465</v>
      </c>
      <c r="H119" s="3">
        <f>yint($B$3:B119,$D$3:D119)</f>
        <v>3.7127289406499177E-4</v>
      </c>
      <c r="I119" s="5">
        <f>MyReg($B$3:B119,$D$3:D119)</f>
        <v>0.33530299880820064</v>
      </c>
      <c r="J119" s="6">
        <f>STDEV($D$3:D119)</f>
        <v>1.3664599705837688E-2</v>
      </c>
      <c r="K119" s="4">
        <f>H119+B119*I119</f>
        <v>7.293915142135541E-3</v>
      </c>
      <c r="L119">
        <f t="shared" si="23"/>
        <v>1.1481914526370465</v>
      </c>
      <c r="M119">
        <f>RSQ($D$3:D119,$B$3:B119)</f>
        <v>0.10563499825011646</v>
      </c>
      <c r="N119">
        <v>87</v>
      </c>
      <c r="O119" t="str">
        <f t="shared" si="21"/>
        <v/>
      </c>
      <c r="P119" t="str">
        <f t="shared" si="25"/>
        <v/>
      </c>
      <c r="Q119">
        <f t="shared" si="26"/>
        <v>0</v>
      </c>
      <c r="R119">
        <f t="shared" si="27"/>
        <v>0</v>
      </c>
      <c r="S119">
        <f t="shared" si="28"/>
        <v>0</v>
      </c>
      <c r="T119">
        <f t="shared" si="29"/>
        <v>0</v>
      </c>
      <c r="U119">
        <f t="shared" si="24"/>
        <v>0</v>
      </c>
      <c r="V119">
        <f t="shared" si="30"/>
        <v>0</v>
      </c>
      <c r="W119">
        <f t="shared" si="19"/>
        <v>0</v>
      </c>
      <c r="X119">
        <f>SUM($W$34:W119)</f>
        <v>65.474085250000513</v>
      </c>
      <c r="Y119">
        <f t="shared" si="31"/>
        <v>0</v>
      </c>
    </row>
    <row r="120" spans="1:25">
      <c r="A120">
        <v>106.9812704</v>
      </c>
      <c r="B120" s="2">
        <f t="shared" si="17"/>
        <v>9.0649268222033272E-3</v>
      </c>
      <c r="C120">
        <v>104.0874134</v>
      </c>
      <c r="D120" s="3">
        <f t="shared" si="18"/>
        <v>-1.542435059923198E-2</v>
      </c>
      <c r="E120" s="3">
        <f t="shared" si="20"/>
        <v>-1.8610323895377201E-2</v>
      </c>
      <c r="F120" s="3">
        <f>STDEV($E$32:E120)</f>
        <v>1.3563068972607076E-2</v>
      </c>
      <c r="G120" s="14">
        <f t="shared" si="22"/>
        <v>-1.3721322167544761</v>
      </c>
      <c r="H120" s="3">
        <f>yint($B$3:B120,$D$3:D120)</f>
        <v>2.167581956508369E-4</v>
      </c>
      <c r="I120" s="5">
        <f>MyReg($B$3:B120,$D$3:D120)</f>
        <v>0.32754981465726668</v>
      </c>
      <c r="J120" s="6">
        <f>STDEV($D$3:D120)</f>
        <v>1.3685495333227764E-2</v>
      </c>
      <c r="K120" s="4">
        <f>H120+B120*I120</f>
        <v>3.185973296145222E-3</v>
      </c>
      <c r="L120">
        <f t="shared" si="23"/>
        <v>-1.3721322167544761</v>
      </c>
      <c r="M120">
        <f>RSQ($D$3:D120,$B$3:B120)</f>
        <v>9.9988697886628217E-2</v>
      </c>
      <c r="N120">
        <v>88</v>
      </c>
      <c r="O120" t="str">
        <f t="shared" si="21"/>
        <v/>
      </c>
      <c r="P120" t="str">
        <f t="shared" si="25"/>
        <v/>
      </c>
      <c r="Q120">
        <f t="shared" si="26"/>
        <v>0</v>
      </c>
      <c r="R120">
        <f t="shared" si="27"/>
        <v>0</v>
      </c>
      <c r="S120">
        <f t="shared" si="28"/>
        <v>0</v>
      </c>
      <c r="T120">
        <f t="shared" si="29"/>
        <v>0</v>
      </c>
      <c r="U120">
        <f t="shared" si="24"/>
        <v>0</v>
      </c>
      <c r="V120">
        <f t="shared" si="30"/>
        <v>0</v>
      </c>
      <c r="W120">
        <f t="shared" si="19"/>
        <v>0</v>
      </c>
      <c r="X120">
        <f>SUM($W$34:W120)</f>
        <v>65.474085250000513</v>
      </c>
      <c r="Y120">
        <f t="shared" si="31"/>
        <v>0</v>
      </c>
    </row>
    <row r="121" spans="1:25">
      <c r="A121">
        <v>107.838446</v>
      </c>
      <c r="B121" s="2">
        <f t="shared" si="17"/>
        <v>8.0123894284957475E-3</v>
      </c>
      <c r="C121">
        <v>105.80752149999999</v>
      </c>
      <c r="D121" s="3">
        <f t="shared" si="18"/>
        <v>1.6525610963063764E-2</v>
      </c>
      <c r="E121" s="3">
        <f t="shared" si="20"/>
        <v>1.353386295703669E-2</v>
      </c>
      <c r="F121" s="3">
        <f>STDEV($E$32:E121)</f>
        <v>1.355966921312605E-2</v>
      </c>
      <c r="G121" s="14">
        <f t="shared" si="22"/>
        <v>0.99809683734287713</v>
      </c>
      <c r="H121" s="3">
        <f>yint($B$3:B121,$D$3:D121)</f>
        <v>3.2824307648426216E-4</v>
      </c>
      <c r="I121" s="5">
        <f>MyReg($B$3:B121,$D$3:D121)</f>
        <v>0.33242329935564063</v>
      </c>
      <c r="J121" s="6">
        <f>STDEV($D$3:D121)</f>
        <v>1.370700355634087E-2</v>
      </c>
      <c r="K121" s="4">
        <f>H121+B121*I121</f>
        <v>2.9917480060270745E-3</v>
      </c>
      <c r="L121">
        <f t="shared" si="23"/>
        <v>0.99809683734287713</v>
      </c>
      <c r="M121">
        <f>RSQ($D$3:D121,$B$3:B121)</f>
        <v>0.1020605398109624</v>
      </c>
      <c r="N121">
        <v>89</v>
      </c>
      <c r="O121" t="str">
        <f t="shared" si="21"/>
        <v/>
      </c>
      <c r="P121" t="str">
        <f t="shared" si="25"/>
        <v/>
      </c>
      <c r="Q121">
        <f t="shared" si="26"/>
        <v>0</v>
      </c>
      <c r="R121">
        <f t="shared" si="27"/>
        <v>0</v>
      </c>
      <c r="S121">
        <f t="shared" si="28"/>
        <v>0</v>
      </c>
      <c r="T121">
        <f t="shared" si="29"/>
        <v>0</v>
      </c>
      <c r="U121">
        <f t="shared" si="24"/>
        <v>0</v>
      </c>
      <c r="V121">
        <f t="shared" si="30"/>
        <v>0</v>
      </c>
      <c r="W121">
        <f t="shared" si="19"/>
        <v>0</v>
      </c>
      <c r="X121">
        <f>SUM($W$34:W121)</f>
        <v>65.474085250000513</v>
      </c>
      <c r="Y121">
        <f t="shared" si="31"/>
        <v>0</v>
      </c>
    </row>
    <row r="122" spans="1:25">
      <c r="A122">
        <v>107.8473043</v>
      </c>
      <c r="B122" s="2">
        <f t="shared" si="17"/>
        <v>8.2144173331280987E-5</v>
      </c>
      <c r="C122">
        <v>106.1143028</v>
      </c>
      <c r="D122" s="3">
        <f t="shared" si="18"/>
        <v>2.8994280902800611E-3</v>
      </c>
      <c r="E122" s="3">
        <f t="shared" si="20"/>
        <v>2.5226296463472801E-3</v>
      </c>
      <c r="F122" s="3">
        <f>STDEV($E$32:E122)</f>
        <v>1.3486049451695134E-2</v>
      </c>
      <c r="G122" s="14">
        <f t="shared" si="22"/>
        <v>0.1870547527934652</v>
      </c>
      <c r="H122" s="3">
        <f>yint($B$3:B122,$D$3:D122)</f>
        <v>3.4949826438478935E-4</v>
      </c>
      <c r="I122" s="5">
        <f>MyReg($B$3:B122,$D$3:D122)</f>
        <v>0.33234468667536693</v>
      </c>
      <c r="J122" s="6">
        <f>STDEV($D$3:D122)</f>
        <v>1.3650949268145468E-2</v>
      </c>
      <c r="K122" s="4">
        <f>H122+B122*I122</f>
        <v>3.7679844393278096E-4</v>
      </c>
      <c r="L122">
        <f t="shared" si="23"/>
        <v>0.1870547527934652</v>
      </c>
      <c r="M122">
        <f>RSQ($D$3:D122,$B$3:B122)</f>
        <v>0.10198948174214113</v>
      </c>
      <c r="N122">
        <v>90</v>
      </c>
      <c r="O122" t="str">
        <f t="shared" si="21"/>
        <v/>
      </c>
      <c r="P122" t="str">
        <f t="shared" si="25"/>
        <v/>
      </c>
      <c r="Q122">
        <f t="shared" si="26"/>
        <v>0</v>
      </c>
      <c r="R122">
        <f t="shared" si="27"/>
        <v>0</v>
      </c>
      <c r="S122">
        <f t="shared" si="28"/>
        <v>0</v>
      </c>
      <c r="T122">
        <f t="shared" si="29"/>
        <v>0</v>
      </c>
      <c r="U122">
        <f t="shared" si="24"/>
        <v>0</v>
      </c>
      <c r="V122">
        <f t="shared" si="30"/>
        <v>0</v>
      </c>
      <c r="W122">
        <f t="shared" si="19"/>
        <v>0</v>
      </c>
      <c r="X122">
        <f>SUM($W$34:W122)</f>
        <v>65.474085250000513</v>
      </c>
      <c r="Y122">
        <f t="shared" si="31"/>
        <v>0</v>
      </c>
    </row>
    <row r="123" spans="1:25">
      <c r="A123">
        <v>109.52947</v>
      </c>
      <c r="B123" s="2">
        <f t="shared" si="17"/>
        <v>1.5597661071997686E-2</v>
      </c>
      <c r="C123">
        <v>107.69145779999999</v>
      </c>
      <c r="D123" s="3">
        <f t="shared" si="18"/>
        <v>1.4862793783534998E-2</v>
      </c>
      <c r="E123" s="3">
        <f t="shared" si="20"/>
        <v>9.1541879998394051E-3</v>
      </c>
      <c r="F123" s="3">
        <f>STDEV($E$32:E123)</f>
        <v>1.3442945191898058E-2</v>
      </c>
      <c r="G123" s="14">
        <f t="shared" si="22"/>
        <v>0.68096595419853023</v>
      </c>
      <c r="H123" s="3">
        <f>yint($B$3:B123,$D$3:D123)</f>
        <v>4.2102645016591465E-4</v>
      </c>
      <c r="I123" s="5">
        <f>MyReg($B$3:B123,$D$3:D123)</f>
        <v>0.33899821961270932</v>
      </c>
      <c r="J123" s="6">
        <f>STDEV($D$3:D123)</f>
        <v>1.3655759701400615E-2</v>
      </c>
      <c r="K123" s="4">
        <f>H123+B123*I123</f>
        <v>5.7086057836955931E-3</v>
      </c>
      <c r="L123">
        <f t="shared" si="23"/>
        <v>0.68096595419853023</v>
      </c>
      <c r="M123">
        <f>RSQ($D$3:D123,$B$3:B123)</f>
        <v>0.10628369575930238</v>
      </c>
      <c r="N123">
        <v>91</v>
      </c>
      <c r="O123" t="str">
        <f t="shared" si="21"/>
        <v/>
      </c>
      <c r="P123" t="str">
        <f t="shared" si="25"/>
        <v/>
      </c>
      <c r="Q123">
        <f t="shared" si="26"/>
        <v>0</v>
      </c>
      <c r="R123">
        <f t="shared" si="27"/>
        <v>0</v>
      </c>
      <c r="S123">
        <f t="shared" si="28"/>
        <v>0</v>
      </c>
      <c r="T123">
        <f t="shared" si="29"/>
        <v>0</v>
      </c>
      <c r="U123">
        <f t="shared" si="24"/>
        <v>0</v>
      </c>
      <c r="V123">
        <f t="shared" si="30"/>
        <v>0</v>
      </c>
      <c r="W123">
        <f t="shared" si="19"/>
        <v>0</v>
      </c>
      <c r="X123">
        <f>SUM($W$34:W123)</f>
        <v>65.474085250000513</v>
      </c>
      <c r="Y123">
        <f t="shared" si="31"/>
        <v>0</v>
      </c>
    </row>
    <row r="124" spans="1:25">
      <c r="A124">
        <v>107.7951709</v>
      </c>
      <c r="B124" s="2">
        <f t="shared" si="17"/>
        <v>-1.5834086479191409E-2</v>
      </c>
      <c r="C124">
        <v>107.88998599999999</v>
      </c>
      <c r="D124" s="3">
        <f t="shared" si="18"/>
        <v>1.8434906914223089E-3</v>
      </c>
      <c r="E124" s="3">
        <f t="shared" si="20"/>
        <v>6.6460068192413608E-3</v>
      </c>
      <c r="F124" s="3">
        <f>STDEV($E$32:E124)</f>
        <v>1.3385016036581146E-2</v>
      </c>
      <c r="G124" s="14">
        <f t="shared" si="22"/>
        <v>0.49652587647843494</v>
      </c>
      <c r="H124" s="3">
        <f>yint($B$3:B124,$D$3:D124)</f>
        <v>4.8043816340923945E-4</v>
      </c>
      <c r="I124" s="5">
        <f>MyReg($B$3:B124,$D$3:D124)</f>
        <v>0.33364440052610306</v>
      </c>
      <c r="J124" s="6">
        <f>STDEV($D$3:D124)</f>
        <v>1.3599604431591396E-2</v>
      </c>
      <c r="K124" s="4">
        <f>H124+B124*I124</f>
        <v>-4.8025161278190519E-3</v>
      </c>
      <c r="L124">
        <f t="shared" si="23"/>
        <v>0.49652587647843494</v>
      </c>
      <c r="M124">
        <f>RSQ($D$3:D124,$B$3:B124)</f>
        <v>0.10431849675962712</v>
      </c>
      <c r="N124">
        <v>92</v>
      </c>
      <c r="O124" t="str">
        <f t="shared" si="21"/>
        <v/>
      </c>
      <c r="P124" t="str">
        <f t="shared" si="25"/>
        <v/>
      </c>
      <c r="Q124">
        <f t="shared" si="26"/>
        <v>0</v>
      </c>
      <c r="R124">
        <f t="shared" si="27"/>
        <v>0</v>
      </c>
      <c r="S124">
        <f t="shared" si="28"/>
        <v>0</v>
      </c>
      <c r="T124">
        <f t="shared" si="29"/>
        <v>0</v>
      </c>
      <c r="U124">
        <f t="shared" si="24"/>
        <v>0</v>
      </c>
      <c r="V124">
        <f t="shared" si="30"/>
        <v>0</v>
      </c>
      <c r="W124">
        <f t="shared" si="19"/>
        <v>0</v>
      </c>
      <c r="X124">
        <f>SUM($W$34:W124)</f>
        <v>65.474085250000513</v>
      </c>
      <c r="Y124">
        <f t="shared" si="31"/>
        <v>0</v>
      </c>
    </row>
    <row r="125" spans="1:25">
      <c r="A125">
        <v>106.02761340000001</v>
      </c>
      <c r="B125" s="2">
        <f t="shared" si="17"/>
        <v>-1.6397371841821488E-2</v>
      </c>
      <c r="C125">
        <v>107.41535759999999</v>
      </c>
      <c r="D125" s="3">
        <f t="shared" si="18"/>
        <v>-4.3991886327615273E-3</v>
      </c>
      <c r="E125" s="3">
        <f t="shared" si="20"/>
        <v>5.784587960989563E-4</v>
      </c>
      <c r="F125" s="3">
        <f>STDEV($E$32:E125)</f>
        <v>1.3312859798663311E-2</v>
      </c>
      <c r="G125" s="14">
        <f t="shared" si="22"/>
        <v>4.3451129573004066E-2</v>
      </c>
      <c r="H125" s="3">
        <f>yint($B$3:B125,$D$3:D125)</f>
        <v>4.8551036369871029E-4</v>
      </c>
      <c r="I125" s="5">
        <f>MyReg($B$3:B125,$D$3:D125)</f>
        <v>0.33317276971333987</v>
      </c>
      <c r="J125" s="6">
        <f>STDEV($D$3:D125)</f>
        <v>1.3551599751652639E-2</v>
      </c>
      <c r="K125" s="4">
        <f>H125+B125*I125</f>
        <v>-4.9776474288604836E-3</v>
      </c>
      <c r="L125">
        <f t="shared" si="23"/>
        <v>4.3451129573004066E-2</v>
      </c>
      <c r="M125">
        <f>RSQ($D$3:D125,$B$3:B125)</f>
        <v>0.10534009195535711</v>
      </c>
      <c r="N125">
        <v>93</v>
      </c>
      <c r="O125" t="str">
        <f t="shared" si="21"/>
        <v/>
      </c>
      <c r="P125" t="str">
        <f t="shared" si="25"/>
        <v/>
      </c>
      <c r="Q125">
        <f t="shared" si="26"/>
        <v>0</v>
      </c>
      <c r="R125">
        <f t="shared" si="27"/>
        <v>0</v>
      </c>
      <c r="S125">
        <f t="shared" si="28"/>
        <v>0</v>
      </c>
      <c r="T125">
        <f t="shared" si="29"/>
        <v>0</v>
      </c>
      <c r="U125">
        <f t="shared" si="24"/>
        <v>0</v>
      </c>
      <c r="V125">
        <f t="shared" si="30"/>
        <v>0</v>
      </c>
      <c r="W125">
        <f t="shared" si="19"/>
        <v>0</v>
      </c>
      <c r="X125">
        <f>SUM($W$34:W125)</f>
        <v>65.474085250000513</v>
      </c>
      <c r="Y125">
        <f t="shared" si="31"/>
        <v>0</v>
      </c>
    </row>
    <row r="126" spans="1:25">
      <c r="A126">
        <v>106.02491259999999</v>
      </c>
      <c r="B126" s="2">
        <f t="shared" si="17"/>
        <v>-2.5472609572231626E-5</v>
      </c>
      <c r="C126">
        <v>106.6846073</v>
      </c>
      <c r="D126" s="3">
        <f t="shared" si="18"/>
        <v>-6.8030337218743936E-3</v>
      </c>
      <c r="E126" s="3">
        <f t="shared" si="20"/>
        <v>-7.2212307975794551E-3</v>
      </c>
      <c r="F126" s="3">
        <f>STDEV($E$32:E126)</f>
        <v>1.326575796368116E-2</v>
      </c>
      <c r="G126" s="14">
        <f t="shared" si="22"/>
        <v>-0.54435116465637756</v>
      </c>
      <c r="H126" s="3">
        <f>yint($B$3:B126,$D$3:D126)</f>
        <v>4.2668894019422146E-4</v>
      </c>
      <c r="I126" s="5">
        <f>MyReg($B$3:B126,$D$3:D126)</f>
        <v>0.33337238044183382</v>
      </c>
      <c r="J126" s="6">
        <f>STDEV($D$3:D126)</f>
        <v>1.3513086793992109E-2</v>
      </c>
      <c r="K126" s="4">
        <f>H126+B126*I126</f>
        <v>4.1819707570506118E-4</v>
      </c>
      <c r="L126">
        <f t="shared" si="23"/>
        <v>-0.54435116465637756</v>
      </c>
      <c r="M126">
        <f>RSQ($D$3:D126,$B$3:B126)</f>
        <v>0.10520772867576342</v>
      </c>
      <c r="N126">
        <v>94</v>
      </c>
      <c r="O126" t="str">
        <f t="shared" si="21"/>
        <v/>
      </c>
      <c r="P126" t="str">
        <f t="shared" si="25"/>
        <v/>
      </c>
      <c r="Q126">
        <f t="shared" si="26"/>
        <v>0</v>
      </c>
      <c r="R126">
        <f t="shared" si="27"/>
        <v>0</v>
      </c>
      <c r="S126">
        <f t="shared" si="28"/>
        <v>0</v>
      </c>
      <c r="T126">
        <f t="shared" si="29"/>
        <v>0</v>
      </c>
      <c r="U126">
        <f t="shared" si="24"/>
        <v>0</v>
      </c>
      <c r="V126">
        <f t="shared" si="30"/>
        <v>0</v>
      </c>
      <c r="W126">
        <f t="shared" si="19"/>
        <v>0</v>
      </c>
      <c r="X126">
        <f>SUM($W$34:W126)</f>
        <v>65.474085250000513</v>
      </c>
      <c r="Y126">
        <f t="shared" si="31"/>
        <v>0</v>
      </c>
    </row>
    <row r="127" spans="1:25">
      <c r="A127">
        <v>106.3101731</v>
      </c>
      <c r="B127" s="2">
        <f t="shared" si="17"/>
        <v>2.6905044579117795E-3</v>
      </c>
      <c r="C127">
        <v>106.5731866</v>
      </c>
      <c r="D127" s="3">
        <f t="shared" si="18"/>
        <v>-1.0443934023835178E-3</v>
      </c>
      <c r="E127" s="3">
        <f t="shared" si="20"/>
        <v>-2.3485795053321649E-3</v>
      </c>
      <c r="F127" s="3">
        <f>STDEV($E$32:E127)</f>
        <v>1.319885575728562E-2</v>
      </c>
      <c r="G127" s="14">
        <f t="shared" si="22"/>
        <v>-0.17793811437296567</v>
      </c>
      <c r="H127" s="3">
        <f>yint($B$3:B127,$D$3:D127)</f>
        <v>4.0788013650414838E-4</v>
      </c>
      <c r="I127" s="5">
        <f>MyReg($B$3:B127,$D$3:D127)</f>
        <v>0.3331367706189054</v>
      </c>
      <c r="J127" s="6">
        <f>STDEV($D$3:D127)</f>
        <v>1.345930419035698E-2</v>
      </c>
      <c r="K127" s="4">
        <f>H127+B127*I127</f>
        <v>1.3041861029486472E-3</v>
      </c>
      <c r="L127">
        <f t="shared" si="23"/>
        <v>-0.17793811437296567</v>
      </c>
      <c r="M127">
        <f>RSQ($D$3:D127,$B$3:B127)</f>
        <v>0.10506863137504091</v>
      </c>
      <c r="N127">
        <v>95</v>
      </c>
      <c r="O127" t="str">
        <f t="shared" si="21"/>
        <v/>
      </c>
      <c r="P127" t="str">
        <f t="shared" si="25"/>
        <v/>
      </c>
      <c r="Q127">
        <f t="shared" si="26"/>
        <v>0</v>
      </c>
      <c r="R127">
        <f t="shared" si="27"/>
        <v>0</v>
      </c>
      <c r="S127">
        <f t="shared" si="28"/>
        <v>0</v>
      </c>
      <c r="T127">
        <f t="shared" si="29"/>
        <v>0</v>
      </c>
      <c r="U127">
        <f t="shared" si="24"/>
        <v>0</v>
      </c>
      <c r="V127">
        <f t="shared" si="30"/>
        <v>0</v>
      </c>
      <c r="W127">
        <f t="shared" si="19"/>
        <v>0</v>
      </c>
      <c r="X127">
        <f>SUM($W$34:W127)</f>
        <v>65.474085250000513</v>
      </c>
      <c r="Y127">
        <f t="shared" si="31"/>
        <v>0</v>
      </c>
    </row>
    <row r="128" spans="1:25">
      <c r="A128">
        <v>105.5917704</v>
      </c>
      <c r="B128" s="2">
        <f t="shared" si="17"/>
        <v>-6.7576101049542795E-3</v>
      </c>
      <c r="C128">
        <v>107.6583643</v>
      </c>
      <c r="D128" s="3">
        <f t="shared" si="18"/>
        <v>1.0182464601279011E-2</v>
      </c>
      <c r="E128" s="3">
        <f t="shared" si="20"/>
        <v>1.1900504759654602E-2</v>
      </c>
      <c r="F128" s="3">
        <f>STDEV($E$32:E128)</f>
        <v>1.3181520700163969E-2</v>
      </c>
      <c r="G128" s="14">
        <f t="shared" si="22"/>
        <v>0.90281728719711141</v>
      </c>
      <c r="H128" s="3">
        <f>yint($B$3:B128,$D$3:D128)</f>
        <v>5.0544164173810019E-4</v>
      </c>
      <c r="I128" s="5">
        <f>MyReg($B$3:B128,$D$3:D128)</f>
        <v>0.32903375092380149</v>
      </c>
      <c r="J128" s="6">
        <f>STDEV($D$3:D128)</f>
        <v>1.3432517011401E-2</v>
      </c>
      <c r="K128" s="4">
        <f>H128+B128*I128</f>
        <v>-1.7180401583755901E-3</v>
      </c>
      <c r="L128">
        <f t="shared" si="23"/>
        <v>0.90281728719711141</v>
      </c>
      <c r="M128">
        <f>RSQ($D$3:D128,$B$3:B128)</f>
        <v>0.10233842407039953</v>
      </c>
      <c r="N128">
        <v>96</v>
      </c>
      <c r="O128" t="str">
        <f t="shared" si="21"/>
        <v/>
      </c>
      <c r="P128" t="str">
        <f t="shared" si="25"/>
        <v/>
      </c>
      <c r="Q128">
        <f t="shared" si="26"/>
        <v>0</v>
      </c>
      <c r="R128">
        <f t="shared" si="27"/>
        <v>0</v>
      </c>
      <c r="S128">
        <f t="shared" si="28"/>
        <v>0</v>
      </c>
      <c r="T128">
        <f t="shared" si="29"/>
        <v>0</v>
      </c>
      <c r="U128">
        <f t="shared" si="24"/>
        <v>0</v>
      </c>
      <c r="V128">
        <f t="shared" si="30"/>
        <v>0</v>
      </c>
      <c r="W128">
        <f t="shared" si="19"/>
        <v>0</v>
      </c>
      <c r="X128">
        <f>SUM($W$34:W128)</f>
        <v>65.474085250000513</v>
      </c>
      <c r="Y128">
        <f t="shared" si="31"/>
        <v>0</v>
      </c>
    </row>
    <row r="129" spans="1:25">
      <c r="A129">
        <v>107.90074660000001</v>
      </c>
      <c r="B129" s="2">
        <f t="shared" si="17"/>
        <v>2.1867009060016703E-2</v>
      </c>
      <c r="C129">
        <v>108.59749290000001</v>
      </c>
      <c r="D129" s="3">
        <f t="shared" si="18"/>
        <v>8.7232293199535783E-3</v>
      </c>
      <c r="E129" s="3">
        <f t="shared" si="20"/>
        <v>9.936711737313815E-4</v>
      </c>
      <c r="F129" s="3">
        <f>STDEV($E$32:E129)</f>
        <v>1.3113477283001386E-2</v>
      </c>
      <c r="G129" s="14">
        <f t="shared" si="22"/>
        <v>7.577480421760048E-2</v>
      </c>
      <c r="H129" s="3">
        <f>yint($B$3:B129,$D$3:D129)</f>
        <v>5.1281406941697293E-4</v>
      </c>
      <c r="I129" s="5">
        <f>MyReg($B$3:B129,$D$3:D129)</f>
        <v>0.33002886023406214</v>
      </c>
      <c r="J129" s="6">
        <f>STDEV($D$3:D129)</f>
        <v>1.3398152733026638E-2</v>
      </c>
      <c r="K129" s="4">
        <f>H129+B129*I129</f>
        <v>7.7295581462221968E-3</v>
      </c>
      <c r="L129">
        <f t="shared" si="23"/>
        <v>7.577480421760048E-2</v>
      </c>
      <c r="M129">
        <f>RSQ($D$3:D129,$B$3:B129)</f>
        <v>0.10484373740116547</v>
      </c>
      <c r="N129">
        <v>97</v>
      </c>
      <c r="O129" t="str">
        <f t="shared" si="21"/>
        <v/>
      </c>
      <c r="P129" t="str">
        <f t="shared" si="25"/>
        <v/>
      </c>
      <c r="Q129">
        <f t="shared" si="26"/>
        <v>0</v>
      </c>
      <c r="R129">
        <f t="shared" si="27"/>
        <v>0</v>
      </c>
      <c r="S129">
        <f t="shared" si="28"/>
        <v>0</v>
      </c>
      <c r="T129">
        <f t="shared" si="29"/>
        <v>0</v>
      </c>
      <c r="U129">
        <f t="shared" si="24"/>
        <v>0</v>
      </c>
      <c r="V129">
        <f t="shared" si="30"/>
        <v>0</v>
      </c>
      <c r="W129">
        <f t="shared" si="19"/>
        <v>0</v>
      </c>
      <c r="X129">
        <f>SUM($W$34:W129)</f>
        <v>65.474085250000513</v>
      </c>
      <c r="Y129">
        <f t="shared" si="31"/>
        <v>0</v>
      </c>
    </row>
    <row r="130" spans="1:25">
      <c r="A130">
        <v>105.8631721</v>
      </c>
      <c r="B130" s="2">
        <f t="shared" si="17"/>
        <v>-1.8883784998759267E-2</v>
      </c>
      <c r="C130">
        <v>107.798624</v>
      </c>
      <c r="D130" s="3">
        <f t="shared" si="18"/>
        <v>-7.3562370425588539E-3</v>
      </c>
      <c r="E130" s="3">
        <f t="shared" si="20"/>
        <v>-1.5962148906723756E-3</v>
      </c>
      <c r="F130" s="3">
        <f>STDEV($E$32:E130)</f>
        <v>1.3048181297008694E-2</v>
      </c>
      <c r="G130" s="14">
        <f t="shared" si="22"/>
        <v>-0.12233236604693017</v>
      </c>
      <c r="H130" s="3">
        <f>yint($B$3:B130,$D$3:D130)</f>
        <v>4.9926344399874804E-4</v>
      </c>
      <c r="I130" s="5">
        <f>MyReg($B$3:B130,$D$3:D130)</f>
        <v>0.33146350672264507</v>
      </c>
      <c r="J130" s="6">
        <f>STDEV($D$3:D130)</f>
        <v>1.3364466610271832E-2</v>
      </c>
      <c r="K130" s="4">
        <f>H130+B130*I130</f>
        <v>-5.7600221518864783E-3</v>
      </c>
      <c r="L130">
        <f t="shared" si="23"/>
        <v>-0.12233236604693017</v>
      </c>
      <c r="M130">
        <f>RSQ($D$3:D130,$B$3:B130)</f>
        <v>0.10729430248455295</v>
      </c>
      <c r="N130">
        <v>98</v>
      </c>
      <c r="O130" t="str">
        <f t="shared" si="21"/>
        <v/>
      </c>
      <c r="P130" t="str">
        <f t="shared" si="25"/>
        <v/>
      </c>
      <c r="Q130">
        <f t="shared" si="26"/>
        <v>0</v>
      </c>
      <c r="R130">
        <f t="shared" si="27"/>
        <v>0</v>
      </c>
      <c r="S130">
        <f t="shared" si="28"/>
        <v>0</v>
      </c>
      <c r="T130">
        <f t="shared" si="29"/>
        <v>0</v>
      </c>
      <c r="U130">
        <f t="shared" si="24"/>
        <v>0</v>
      </c>
      <c r="V130">
        <f t="shared" si="30"/>
        <v>0</v>
      </c>
      <c r="W130">
        <f t="shared" si="19"/>
        <v>0</v>
      </c>
      <c r="X130">
        <f>SUM($W$34:W130)</f>
        <v>65.474085250000513</v>
      </c>
      <c r="Y130">
        <f t="shared" si="31"/>
        <v>0</v>
      </c>
    </row>
    <row r="131" spans="1:25">
      <c r="A131">
        <v>105.7147842</v>
      </c>
      <c r="B131" s="2">
        <f t="shared" si="17"/>
        <v>-1.4016951982114563E-3</v>
      </c>
      <c r="C131">
        <v>107.8301424</v>
      </c>
      <c r="D131" s="3">
        <f t="shared" si="18"/>
        <v>2.9238221074135372E-4</v>
      </c>
      <c r="E131" s="3">
        <f t="shared" si="20"/>
        <v>2.5568886103269876E-4</v>
      </c>
      <c r="F131" s="3">
        <f>STDEV($E$32:E131)</f>
        <v>1.2982142512268913E-2</v>
      </c>
      <c r="G131" s="14">
        <f t="shared" si="22"/>
        <v>1.9695428608263794E-2</v>
      </c>
      <c r="H131" s="3">
        <f>yint($B$3:B131,$D$3:D131)</f>
        <v>5.012728763296321E-4</v>
      </c>
      <c r="I131" s="5">
        <f>MyReg($B$3:B131,$D$3:D131)</f>
        <v>0.33144119150424017</v>
      </c>
      <c r="J131" s="6">
        <f>STDEV($D$3:D131)</f>
        <v>1.3312202030012005E-2</v>
      </c>
      <c r="K131" s="4">
        <f>H131+B131*I131</f>
        <v>3.6693349708654961E-5</v>
      </c>
      <c r="L131">
        <f t="shared" si="23"/>
        <v>1.9695428608263794E-2</v>
      </c>
      <c r="M131">
        <f>RSQ($D$3:D131,$B$3:B131)</f>
        <v>0.10729712828366113</v>
      </c>
      <c r="N131">
        <v>99</v>
      </c>
      <c r="O131" t="str">
        <f t="shared" si="21"/>
        <v/>
      </c>
      <c r="P131" t="str">
        <f t="shared" si="25"/>
        <v/>
      </c>
      <c r="Q131">
        <f t="shared" si="26"/>
        <v>0</v>
      </c>
      <c r="R131">
        <f t="shared" si="27"/>
        <v>0</v>
      </c>
      <c r="S131">
        <f t="shared" si="28"/>
        <v>0</v>
      </c>
      <c r="T131">
        <f t="shared" si="29"/>
        <v>0</v>
      </c>
      <c r="U131">
        <f t="shared" si="24"/>
        <v>0</v>
      </c>
      <c r="V131">
        <f t="shared" si="30"/>
        <v>0</v>
      </c>
      <c r="W131">
        <f t="shared" si="19"/>
        <v>0</v>
      </c>
      <c r="X131">
        <f>SUM($W$34:W131)</f>
        <v>65.474085250000513</v>
      </c>
      <c r="Y131">
        <f t="shared" si="31"/>
        <v>0</v>
      </c>
    </row>
    <row r="132" spans="1:25">
      <c r="A132">
        <v>107.51812</v>
      </c>
      <c r="B132" s="2">
        <f t="shared" ref="B132:B195" si="32">(A132-A131)/A131</f>
        <v>1.7058501454141922E-2</v>
      </c>
      <c r="C132">
        <v>110.7246334</v>
      </c>
      <c r="D132" s="3">
        <f t="shared" ref="D132:D195" si="33">(C132-C131)/C131</f>
        <v>2.684306016459459E-2</v>
      </c>
      <c r="E132" s="3">
        <f t="shared" si="20"/>
        <v>2.0280215501364222E-2</v>
      </c>
      <c r="F132" s="3">
        <f>STDEV($E$32:E132)</f>
        <v>1.3065792440379167E-2</v>
      </c>
      <c r="G132" s="14">
        <f t="shared" si="22"/>
        <v>1.5521611562333752</v>
      </c>
      <c r="H132" s="3">
        <f>yint($B$3:B132,$D$3:D132)</f>
        <v>6.5066126318187654E-4</v>
      </c>
      <c r="I132" s="5">
        <f>MyReg($B$3:B132,$D$3:D132)</f>
        <v>0.34658281185730844</v>
      </c>
      <c r="J132" s="6">
        <f>STDEV($D$3:D132)</f>
        <v>1.3457689671545654E-2</v>
      </c>
      <c r="K132" s="4">
        <f>H132+B132*I132</f>
        <v>6.562844663230369E-3</v>
      </c>
      <c r="L132">
        <f t="shared" si="23"/>
        <v>1.5521611562333752</v>
      </c>
      <c r="M132">
        <f>RSQ($D$3:D132,$B$3:B132)</f>
        <v>0.11530771352148508</v>
      </c>
      <c r="N132">
        <v>100</v>
      </c>
      <c r="O132" t="str">
        <f t="shared" si="21"/>
        <v>sellY</v>
      </c>
      <c r="P132" t="str">
        <f t="shared" si="25"/>
        <v/>
      </c>
      <c r="Q132">
        <f t="shared" si="26"/>
        <v>10</v>
      </c>
      <c r="R132">
        <f t="shared" si="27"/>
        <v>0</v>
      </c>
      <c r="S132">
        <f t="shared" si="28"/>
        <v>-10</v>
      </c>
      <c r="T132">
        <f t="shared" si="29"/>
        <v>0</v>
      </c>
      <c r="U132">
        <f t="shared" si="24"/>
        <v>20</v>
      </c>
      <c r="V132">
        <f t="shared" si="30"/>
        <v>10</v>
      </c>
      <c r="W132">
        <f t="shared" si="19"/>
        <v>32.065134000000057</v>
      </c>
      <c r="X132">
        <f>SUM($W$34:W132)</f>
        <v>97.539219250000571</v>
      </c>
      <c r="Y132">
        <f t="shared" si="31"/>
        <v>0</v>
      </c>
    </row>
    <row r="133" spans="1:25">
      <c r="A133">
        <v>106.94987159999999</v>
      </c>
      <c r="B133" s="2">
        <f t="shared" si="32"/>
        <v>-5.2851407744108772E-3</v>
      </c>
      <c r="C133">
        <v>109.7305379</v>
      </c>
      <c r="D133" s="3">
        <f t="shared" si="33"/>
        <v>-8.9780879780271203E-3</v>
      </c>
      <c r="E133" s="3">
        <f t="shared" si="20"/>
        <v>-7.7254743754396459E-3</v>
      </c>
      <c r="F133" s="3">
        <f>STDEV($E$32:E133)</f>
        <v>1.3027815062691904E-2</v>
      </c>
      <c r="G133" s="14">
        <f t="shared" si="22"/>
        <v>-0.59299846814400137</v>
      </c>
      <c r="H133" s="3">
        <f>yint($B$3:B133,$D$3:D133)</f>
        <v>5.8991951537925278E-4</v>
      </c>
      <c r="I133" s="5">
        <f>MyReg($B$3:B133,$D$3:D133)</f>
        <v>0.34862517321917696</v>
      </c>
      <c r="J133" s="6">
        <f>STDEV($D$3:D133)</f>
        <v>1.3433435085627209E-2</v>
      </c>
      <c r="K133" s="4">
        <f>H133+B133*I133</f>
        <v>-1.2526136025874744E-3</v>
      </c>
      <c r="L133">
        <f t="shared" si="23"/>
        <v>-0.59299846814400137</v>
      </c>
      <c r="M133">
        <f>RSQ($D$3:D133,$B$3:B133)</f>
        <v>0.11637240972465472</v>
      </c>
      <c r="N133">
        <v>101</v>
      </c>
      <c r="O133" t="str">
        <f t="shared" si="21"/>
        <v/>
      </c>
      <c r="P133" t="str">
        <f t="shared" si="25"/>
        <v>close</v>
      </c>
      <c r="Q133">
        <f t="shared" si="26"/>
        <v>0</v>
      </c>
      <c r="R133">
        <f t="shared" si="27"/>
        <v>0</v>
      </c>
      <c r="S133">
        <f t="shared" si="28"/>
        <v>0</v>
      </c>
      <c r="T133">
        <f t="shared" si="29"/>
        <v>0</v>
      </c>
      <c r="U133">
        <f t="shared" si="24"/>
        <v>0</v>
      </c>
      <c r="V133">
        <f t="shared" si="30"/>
        <v>-10</v>
      </c>
      <c r="W133">
        <f t="shared" si="19"/>
        <v>-27.806663000000071</v>
      </c>
      <c r="X133">
        <f>SUM($W$34:W133)</f>
        <v>69.732556250000499</v>
      </c>
      <c r="Y133">
        <f t="shared" si="31"/>
        <v>69.732556250000499</v>
      </c>
    </row>
    <row r="134" spans="1:25">
      <c r="A134">
        <v>108.1164895</v>
      </c>
      <c r="B134" s="2">
        <f t="shared" si="32"/>
        <v>1.0908081352011699E-2</v>
      </c>
      <c r="C134">
        <v>107.12240490000001</v>
      </c>
      <c r="D134" s="3">
        <f t="shared" si="33"/>
        <v>-2.3768524696168424E-2</v>
      </c>
      <c r="E134" s="3">
        <f t="shared" si="20"/>
        <v>-2.7817305390070164E-2</v>
      </c>
      <c r="F134" s="3">
        <f>STDEV($E$32:E134)</f>
        <v>1.3263513428995054E-2</v>
      </c>
      <c r="G134" s="14">
        <f t="shared" si="22"/>
        <v>-2.0972802974858387</v>
      </c>
      <c r="H134" s="3">
        <f>yint($B$3:B134,$D$3:D134)</f>
        <v>3.8521639050849448E-4</v>
      </c>
      <c r="I134" s="5">
        <f>MyReg($B$3:B134,$D$3:D134)</f>
        <v>0.33585780901034434</v>
      </c>
      <c r="J134" s="6">
        <f>STDEV($D$3:D134)</f>
        <v>1.3551824482649043E-2</v>
      </c>
      <c r="K134" s="4">
        <f>H134+B134*I134</f>
        <v>4.0487806939017382E-3</v>
      </c>
      <c r="L134">
        <f t="shared" si="23"/>
        <v>-2.0972802974858387</v>
      </c>
      <c r="M134">
        <f>RSQ($D$3:D134,$B$3:B134)</f>
        <v>0.10581049812943201</v>
      </c>
      <c r="N134">
        <v>102</v>
      </c>
      <c r="O134" t="str">
        <f t="shared" si="21"/>
        <v>buyY</v>
      </c>
      <c r="P134" t="str">
        <f t="shared" si="25"/>
        <v/>
      </c>
      <c r="Q134">
        <f t="shared" si="26"/>
        <v>-15</v>
      </c>
      <c r="R134">
        <f t="shared" si="27"/>
        <v>-5</v>
      </c>
      <c r="S134">
        <f t="shared" si="28"/>
        <v>15</v>
      </c>
      <c r="T134">
        <f t="shared" si="29"/>
        <v>5</v>
      </c>
      <c r="U134">
        <f t="shared" si="24"/>
        <v>30</v>
      </c>
      <c r="V134">
        <f t="shared" si="30"/>
        <v>-15</v>
      </c>
      <c r="W134">
        <f t="shared" si="19"/>
        <v>14.911268999999905</v>
      </c>
      <c r="X134">
        <f>SUM($W$34:W134)</f>
        <v>84.643825250000404</v>
      </c>
      <c r="Y134">
        <f t="shared" si="31"/>
        <v>0</v>
      </c>
    </row>
    <row r="135" spans="1:25">
      <c r="A135">
        <v>105.5453844</v>
      </c>
      <c r="B135" s="2">
        <f t="shared" si="32"/>
        <v>-2.3780878494024698E-2</v>
      </c>
      <c r="C135">
        <v>104.9131333</v>
      </c>
      <c r="D135" s="3">
        <f t="shared" si="33"/>
        <v>-2.0623805095324254E-2</v>
      </c>
      <c r="E135" s="3">
        <f t="shared" si="20"/>
        <v>-1.259284261805132E-2</v>
      </c>
      <c r="F135" s="3">
        <f>STDEV($E$32:E135)</f>
        <v>1.3259950771993025E-2</v>
      </c>
      <c r="G135" s="14">
        <f t="shared" si="22"/>
        <v>-0.94968999769209284</v>
      </c>
      <c r="H135" s="3">
        <f>yint($B$3:B135,$D$3:D135)</f>
        <v>2.8058059719487455E-4</v>
      </c>
      <c r="I135" s="5">
        <f>MyReg($B$3:B135,$D$3:D135)</f>
        <v>0.34950530009041542</v>
      </c>
      <c r="J135" s="6">
        <f>STDEV($D$3:D135)</f>
        <v>1.3625398162502795E-2</v>
      </c>
      <c r="K135" s="4">
        <f>H135+B135*I135</f>
        <v>-8.0309624772729338E-3</v>
      </c>
      <c r="L135">
        <f t="shared" si="23"/>
        <v>-0.94968999769209284</v>
      </c>
      <c r="M135">
        <f>RSQ($D$3:D135,$B$3:B135)</f>
        <v>0.11545081877285902</v>
      </c>
      <c r="N135">
        <v>103</v>
      </c>
      <c r="O135" t="str">
        <f t="shared" si="21"/>
        <v/>
      </c>
      <c r="P135" t="str">
        <f t="shared" si="25"/>
        <v>buyhold</v>
      </c>
      <c r="Q135">
        <f t="shared" si="26"/>
        <v>-15</v>
      </c>
      <c r="R135">
        <f t="shared" si="27"/>
        <v>0</v>
      </c>
      <c r="S135">
        <f t="shared" si="28"/>
        <v>15</v>
      </c>
      <c r="T135">
        <f t="shared" si="29"/>
        <v>0</v>
      </c>
      <c r="U135">
        <f t="shared" si="24"/>
        <v>30</v>
      </c>
      <c r="V135">
        <f t="shared" si="30"/>
        <v>0</v>
      </c>
      <c r="W135">
        <f t="shared" si="19"/>
        <v>0</v>
      </c>
      <c r="X135">
        <f>SUM($W$34:W135)</f>
        <v>84.643825250000404</v>
      </c>
      <c r="Y135">
        <f t="shared" si="31"/>
        <v>0</v>
      </c>
    </row>
    <row r="136" spans="1:25">
      <c r="A136">
        <v>104.1531658</v>
      </c>
      <c r="B136" s="2">
        <f t="shared" si="32"/>
        <v>-1.3190710403059622E-2</v>
      </c>
      <c r="C136">
        <v>104.332832</v>
      </c>
      <c r="D136" s="3">
        <f t="shared" si="33"/>
        <v>-5.531255065470456E-3</v>
      </c>
      <c r="E136" s="3">
        <f t="shared" si="20"/>
        <v>-1.1831518014261168E-3</v>
      </c>
      <c r="F136" s="3">
        <f>STDEV($E$32:E136)</f>
        <v>1.3196774197600177E-2</v>
      </c>
      <c r="G136" s="14">
        <f t="shared" si="22"/>
        <v>-8.9654621933386719E-2</v>
      </c>
      <c r="H136" s="3">
        <f>yint($B$3:B136,$D$3:D136)</f>
        <v>2.7134023524586561E-4</v>
      </c>
      <c r="I136" s="5">
        <f>MyReg($B$3:B136,$D$3:D136)</f>
        <v>0.35020429970312378</v>
      </c>
      <c r="J136" s="6">
        <f>STDEV($D$3:D136)</f>
        <v>1.3583918149486182E-2</v>
      </c>
      <c r="K136" s="4">
        <f>H136+B136*I136</f>
        <v>-4.3481032640443392E-3</v>
      </c>
      <c r="L136">
        <f t="shared" si="23"/>
        <v>-8.9654621933386719E-2</v>
      </c>
      <c r="M136">
        <f>RSQ($D$3:D136,$B$3:B136)</f>
        <v>0.11667392646648148</v>
      </c>
      <c r="N136">
        <v>104</v>
      </c>
      <c r="O136" t="str">
        <f t="shared" si="21"/>
        <v/>
      </c>
      <c r="P136" t="str">
        <f t="shared" si="25"/>
        <v>close</v>
      </c>
      <c r="Q136">
        <f t="shared" si="26"/>
        <v>0</v>
      </c>
      <c r="R136">
        <f t="shared" si="27"/>
        <v>0</v>
      </c>
      <c r="S136">
        <f t="shared" si="28"/>
        <v>0</v>
      </c>
      <c r="T136">
        <f t="shared" si="29"/>
        <v>0</v>
      </c>
      <c r="U136">
        <f t="shared" si="24"/>
        <v>0</v>
      </c>
      <c r="V136">
        <f t="shared" si="30"/>
        <v>15</v>
      </c>
      <c r="W136">
        <f t="shared" si="19"/>
        <v>2.6949929999999966</v>
      </c>
      <c r="X136">
        <f>SUM($W$34:W136)</f>
        <v>87.338818250000401</v>
      </c>
      <c r="Y136">
        <f t="shared" si="31"/>
        <v>87.338818250000401</v>
      </c>
    </row>
    <row r="137" spans="1:25">
      <c r="A137">
        <v>103.99498</v>
      </c>
      <c r="B137" s="2">
        <f t="shared" si="32"/>
        <v>-1.5187805265924838E-3</v>
      </c>
      <c r="C137">
        <v>104.210036</v>
      </c>
      <c r="D137" s="3">
        <f t="shared" si="33"/>
        <v>-1.176964121897831E-3</v>
      </c>
      <c r="E137" s="3">
        <f t="shared" si="20"/>
        <v>-9.094915991131649E-4</v>
      </c>
      <c r="F137" s="3">
        <f>STDEV($E$32:E137)</f>
        <v>1.3134242607000279E-2</v>
      </c>
      <c r="G137" s="14">
        <f t="shared" si="22"/>
        <v>-6.9245835205482248E-2</v>
      </c>
      <c r="H137" s="3">
        <f>yint($B$3:B137,$D$3:D137)</f>
        <v>2.645239218405747E-4</v>
      </c>
      <c r="I137" s="5">
        <f>MyReg($B$3:B137,$D$3:D137)</f>
        <v>0.35027868431972925</v>
      </c>
      <c r="J137" s="6">
        <f>STDEV($D$3:D137)</f>
        <v>1.3533824603688805E-2</v>
      </c>
      <c r="K137" s="4">
        <f>H137+B137*I137</f>
        <v>-2.6747252278466608E-4</v>
      </c>
      <c r="L137">
        <f t="shared" si="23"/>
        <v>-6.9245835205482248E-2</v>
      </c>
      <c r="M137">
        <f>RSQ($D$3:D137,$B$3:B137)</f>
        <v>0.11672972682506201</v>
      </c>
      <c r="N137">
        <v>105</v>
      </c>
      <c r="O137" t="str">
        <f t="shared" si="21"/>
        <v/>
      </c>
      <c r="P137" t="str">
        <f t="shared" si="25"/>
        <v/>
      </c>
      <c r="Q137">
        <f t="shared" si="26"/>
        <v>0</v>
      </c>
      <c r="R137">
        <f t="shared" si="27"/>
        <v>0</v>
      </c>
      <c r="S137">
        <f t="shared" si="28"/>
        <v>0</v>
      </c>
      <c r="T137">
        <f t="shared" si="29"/>
        <v>0</v>
      </c>
      <c r="U137">
        <f t="shared" si="24"/>
        <v>0</v>
      </c>
      <c r="V137">
        <f t="shared" si="30"/>
        <v>0</v>
      </c>
      <c r="W137">
        <f t="shared" si="19"/>
        <v>0</v>
      </c>
      <c r="X137">
        <f>SUM($W$34:W137)</f>
        <v>87.338818250000401</v>
      </c>
      <c r="Y137">
        <f t="shared" si="31"/>
        <v>0</v>
      </c>
    </row>
    <row r="138" spans="1:25">
      <c r="A138">
        <v>104.11659040000001</v>
      </c>
      <c r="B138" s="2">
        <f t="shared" si="32"/>
        <v>1.1693872146521752E-3</v>
      </c>
      <c r="C138">
        <v>103.1181255</v>
      </c>
      <c r="D138" s="3">
        <f t="shared" si="33"/>
        <v>-1.0477978339821295E-2</v>
      </c>
      <c r="E138" s="3">
        <f t="shared" si="20"/>
        <v>-1.106981704742206E-2</v>
      </c>
      <c r="F138" s="3">
        <f>STDEV($E$32:E138)</f>
        <v>1.3117563204114472E-2</v>
      </c>
      <c r="G138" s="14">
        <f t="shared" si="22"/>
        <v>-0.84389279282831176</v>
      </c>
      <c r="H138" s="3">
        <f>yint($B$3:B138,$D$3:D138)</f>
        <v>1.8266680930883338E-4</v>
      </c>
      <c r="I138" s="5">
        <f>MyReg($B$3:B138,$D$3:D138)</f>
        <v>0.34990283215439211</v>
      </c>
      <c r="J138" s="6">
        <f>STDEV($D$3:D138)</f>
        <v>1.3515810739841259E-2</v>
      </c>
      <c r="K138" s="4">
        <f>H138+B138*I138</f>
        <v>5.9183870760076555E-4</v>
      </c>
      <c r="L138">
        <f t="shared" si="23"/>
        <v>-0.84389279282831176</v>
      </c>
      <c r="M138">
        <f>RSQ($D$3:D138,$B$3:B138)</f>
        <v>0.11592803737593722</v>
      </c>
      <c r="N138">
        <v>106</v>
      </c>
      <c r="O138" t="str">
        <f t="shared" si="21"/>
        <v/>
      </c>
      <c r="P138" t="str">
        <f t="shared" si="25"/>
        <v/>
      </c>
      <c r="Q138">
        <f t="shared" si="26"/>
        <v>0</v>
      </c>
      <c r="R138">
        <f t="shared" si="27"/>
        <v>0</v>
      </c>
      <c r="S138">
        <f t="shared" si="28"/>
        <v>0</v>
      </c>
      <c r="T138">
        <f t="shared" si="29"/>
        <v>0</v>
      </c>
      <c r="U138">
        <f t="shared" si="24"/>
        <v>0</v>
      </c>
      <c r="V138">
        <f t="shared" si="30"/>
        <v>0</v>
      </c>
      <c r="W138">
        <f t="shared" si="19"/>
        <v>0</v>
      </c>
      <c r="X138">
        <f>SUM($W$34:W138)</f>
        <v>87.338818250000401</v>
      </c>
      <c r="Y138">
        <f t="shared" si="31"/>
        <v>0</v>
      </c>
    </row>
    <row r="139" spans="1:25">
      <c r="A139">
        <v>105.9485966</v>
      </c>
      <c r="B139" s="2">
        <f t="shared" si="32"/>
        <v>1.7595718347687986E-2</v>
      </c>
      <c r="C139">
        <v>103.938357</v>
      </c>
      <c r="D139" s="3">
        <f t="shared" si="33"/>
        <v>7.9542902474501569E-3</v>
      </c>
      <c r="E139" s="3">
        <f t="shared" si="20"/>
        <v>1.5831037174493558E-3</v>
      </c>
      <c r="F139" s="3">
        <f>STDEV($E$32:E139)</f>
        <v>1.3056895120143732E-2</v>
      </c>
      <c r="G139" s="14">
        <f t="shared" si="22"/>
        <v>0.12124656764738788</v>
      </c>
      <c r="H139" s="3">
        <f>yint($B$3:B139,$D$3:D139)</f>
        <v>1.9386103339515397E-4</v>
      </c>
      <c r="I139" s="5">
        <f>MyReg($B$3:B139,$D$3:D139)</f>
        <v>0.35106980996983994</v>
      </c>
      <c r="J139" s="6">
        <f>STDEV($D$3:D139)</f>
        <v>1.3481829934715117E-2</v>
      </c>
      <c r="K139" s="4">
        <f>H139+B139*I139</f>
        <v>6.3711865300008011E-3</v>
      </c>
      <c r="L139">
        <f t="shared" si="23"/>
        <v>0.12124656764738788</v>
      </c>
      <c r="M139">
        <f>RSQ($D$3:D139,$B$3:B139)</f>
        <v>0.11789575405726424</v>
      </c>
      <c r="N139">
        <v>107</v>
      </c>
      <c r="O139" t="str">
        <f t="shared" si="21"/>
        <v/>
      </c>
      <c r="P139" t="str">
        <f t="shared" si="25"/>
        <v/>
      </c>
      <c r="Q139">
        <f t="shared" si="26"/>
        <v>0</v>
      </c>
      <c r="R139">
        <f t="shared" si="27"/>
        <v>0</v>
      </c>
      <c r="S139">
        <f t="shared" si="28"/>
        <v>0</v>
      </c>
      <c r="T139">
        <f t="shared" si="29"/>
        <v>0</v>
      </c>
      <c r="U139">
        <f t="shared" si="24"/>
        <v>0</v>
      </c>
      <c r="V139">
        <f t="shared" si="30"/>
        <v>0</v>
      </c>
      <c r="W139">
        <f t="shared" si="19"/>
        <v>0</v>
      </c>
      <c r="X139">
        <f>SUM($W$34:W139)</f>
        <v>87.338818250000401</v>
      </c>
      <c r="Y139">
        <f t="shared" si="31"/>
        <v>0</v>
      </c>
    </row>
    <row r="140" spans="1:25">
      <c r="A140">
        <v>103.8104443</v>
      </c>
      <c r="B140" s="2">
        <f t="shared" si="32"/>
        <v>-2.0181034658461928E-2</v>
      </c>
      <c r="C140">
        <v>104.6117187</v>
      </c>
      <c r="D140" s="3">
        <f t="shared" si="33"/>
        <v>6.4784716579655089E-3</v>
      </c>
      <c r="E140" s="3">
        <f t="shared" si="20"/>
        <v>1.3038367355561693E-2</v>
      </c>
      <c r="F140" s="3">
        <f>STDEV($E$32:E140)</f>
        <v>1.3055072213869156E-2</v>
      </c>
      <c r="G140" s="14">
        <f t="shared" si="22"/>
        <v>0.99872043156607615</v>
      </c>
      <c r="H140" s="3">
        <f>yint($B$3:B140,$D$3:D140)</f>
        <v>2.948273874133083E-4</v>
      </c>
      <c r="I140" s="5">
        <f>MyReg($B$3:B140,$D$3:D140)</f>
        <v>0.33966162791040549</v>
      </c>
      <c r="J140" s="6">
        <f>STDEV($D$3:D140)</f>
        <v>1.3442589624395977E-2</v>
      </c>
      <c r="K140" s="4">
        <f>H140+B140*I140</f>
        <v>-6.5598956975961844E-3</v>
      </c>
      <c r="L140">
        <f t="shared" si="23"/>
        <v>0.99872043156607615</v>
      </c>
      <c r="M140">
        <f>RSQ($D$3:D140,$B$3:B140)</f>
        <v>0.11217337478370311</v>
      </c>
      <c r="N140">
        <v>108</v>
      </c>
      <c r="O140" t="str">
        <f t="shared" si="21"/>
        <v/>
      </c>
      <c r="P140" t="str">
        <f t="shared" si="25"/>
        <v/>
      </c>
      <c r="Q140">
        <f t="shared" si="26"/>
        <v>0</v>
      </c>
      <c r="R140">
        <f t="shared" si="27"/>
        <v>0</v>
      </c>
      <c r="S140">
        <f t="shared" si="28"/>
        <v>0</v>
      </c>
      <c r="T140">
        <f t="shared" si="29"/>
        <v>0</v>
      </c>
      <c r="U140">
        <f t="shared" si="24"/>
        <v>0</v>
      </c>
      <c r="V140">
        <f t="shared" si="30"/>
        <v>0</v>
      </c>
      <c r="W140">
        <f t="shared" ref="W140:W203" si="34">IF(ABS(V140)&gt;0,V140*(C140-A140),0)</f>
        <v>0</v>
      </c>
      <c r="X140">
        <f>SUM($W$34:W140)</f>
        <v>87.338818250000401</v>
      </c>
      <c r="Y140">
        <f t="shared" si="31"/>
        <v>0</v>
      </c>
    </row>
    <row r="141" spans="1:25">
      <c r="A141">
        <v>106.0485745</v>
      </c>
      <c r="B141" s="2">
        <f t="shared" si="32"/>
        <v>2.155977864358298E-2</v>
      </c>
      <c r="C141">
        <v>103.7573919</v>
      </c>
      <c r="D141" s="3">
        <f t="shared" si="33"/>
        <v>-8.16664529191026E-3</v>
      </c>
      <c r="E141" s="3">
        <f t="shared" si="20"/>
        <v>-1.53856867062739E-2</v>
      </c>
      <c r="F141" s="3">
        <f>STDEV($E$32:E141)</f>
        <v>1.30801623503071E-2</v>
      </c>
      <c r="G141" s="14">
        <f t="shared" si="22"/>
        <v>-1.1762611421954308</v>
      </c>
      <c r="H141" s="3">
        <f>yint($B$3:B141,$D$3:D141)</f>
        <v>1.8819010880218056E-4</v>
      </c>
      <c r="I141" s="5">
        <f>MyReg($B$3:B141,$D$3:D141)</f>
        <v>0.32610962393410803</v>
      </c>
      <c r="J141" s="6">
        <f>STDEV($D$3:D141)</f>
        <v>1.341356666880849E-2</v>
      </c>
      <c r="K141" s="4">
        <f>H141+B141*I141</f>
        <v>7.2190414143636396E-3</v>
      </c>
      <c r="L141">
        <f t="shared" si="23"/>
        <v>-1.1762611421954308</v>
      </c>
      <c r="M141">
        <f>RSQ($D$3:D141,$B$3:B141)</f>
        <v>0.10500770156909559</v>
      </c>
      <c r="N141">
        <v>109</v>
      </c>
      <c r="O141" t="str">
        <f t="shared" si="21"/>
        <v/>
      </c>
      <c r="P141" t="str">
        <f t="shared" si="25"/>
        <v/>
      </c>
      <c r="Q141">
        <f t="shared" si="26"/>
        <v>0</v>
      </c>
      <c r="R141">
        <f t="shared" si="27"/>
        <v>0</v>
      </c>
      <c r="S141">
        <f t="shared" si="28"/>
        <v>0</v>
      </c>
      <c r="T141">
        <f t="shared" si="29"/>
        <v>0</v>
      </c>
      <c r="U141">
        <f t="shared" si="24"/>
        <v>0</v>
      </c>
      <c r="V141">
        <f t="shared" si="30"/>
        <v>0</v>
      </c>
      <c r="W141">
        <f t="shared" si="34"/>
        <v>0</v>
      </c>
      <c r="X141">
        <f>SUM($W$34:W141)</f>
        <v>87.338818250000401</v>
      </c>
      <c r="Y141">
        <f t="shared" si="31"/>
        <v>0</v>
      </c>
    </row>
    <row r="142" spans="1:25">
      <c r="A142">
        <v>103.0709725</v>
      </c>
      <c r="B142" s="2">
        <f t="shared" si="32"/>
        <v>-2.8077718291253453E-2</v>
      </c>
      <c r="C142">
        <v>102.71603760000001</v>
      </c>
      <c r="D142" s="3">
        <f t="shared" si="33"/>
        <v>-1.0036434811349521E-2</v>
      </c>
      <c r="E142" s="3">
        <f t="shared" si="20"/>
        <v>-1.0266020507272017E-3</v>
      </c>
      <c r="F142" s="3">
        <f>STDEV($E$32:E142)</f>
        <v>1.3021008010826417E-2</v>
      </c>
      <c r="G142" s="14">
        <f t="shared" si="22"/>
        <v>-7.8841979812440441E-2</v>
      </c>
      <c r="H142" s="3">
        <f>yint($B$3:B142,$D$3:D142)</f>
        <v>1.8019318768033507E-4</v>
      </c>
      <c r="I142" s="5">
        <f>MyReg($B$3:B142,$D$3:D142)</f>
        <v>0.32730672246845138</v>
      </c>
      <c r="J142" s="6">
        <f>STDEV($D$3:D142)</f>
        <v>1.3394051387314592E-2</v>
      </c>
      <c r="K142" s="4">
        <f>H142+B142*I142</f>
        <v>-9.0098327606223192E-3</v>
      </c>
      <c r="L142">
        <f t="shared" si="23"/>
        <v>-7.8841979812440441E-2</v>
      </c>
      <c r="M142">
        <f>RSQ($D$3:D142,$B$3:B142)</f>
        <v>0.10881136768782068</v>
      </c>
      <c r="N142">
        <v>110</v>
      </c>
      <c r="O142" t="str">
        <f t="shared" si="21"/>
        <v/>
      </c>
      <c r="P142" t="str">
        <f t="shared" si="25"/>
        <v/>
      </c>
      <c r="Q142">
        <f t="shared" si="26"/>
        <v>0</v>
      </c>
      <c r="R142">
        <f t="shared" si="27"/>
        <v>0</v>
      </c>
      <c r="S142">
        <f t="shared" si="28"/>
        <v>0</v>
      </c>
      <c r="T142">
        <f t="shared" si="29"/>
        <v>0</v>
      </c>
      <c r="U142">
        <f t="shared" si="24"/>
        <v>0</v>
      </c>
      <c r="V142">
        <f t="shared" si="30"/>
        <v>0</v>
      </c>
      <c r="W142">
        <f t="shared" si="34"/>
        <v>0</v>
      </c>
      <c r="X142">
        <f>SUM($W$34:W142)</f>
        <v>87.338818250000401</v>
      </c>
      <c r="Y142">
        <f t="shared" si="31"/>
        <v>0</v>
      </c>
    </row>
    <row r="143" spans="1:25">
      <c r="A143">
        <v>101.97765649999999</v>
      </c>
      <c r="B143" s="2">
        <f t="shared" si="32"/>
        <v>-1.0607409375127431E-2</v>
      </c>
      <c r="C143">
        <v>102.37255690000001</v>
      </c>
      <c r="D143" s="3">
        <f t="shared" si="33"/>
        <v>-3.3439831600357663E-3</v>
      </c>
      <c r="E143" s="3">
        <f t="shared" si="20"/>
        <v>-5.168767863628727E-5</v>
      </c>
      <c r="F143" s="3">
        <f>STDEV($E$32:E143)</f>
        <v>1.2962228726257822E-2</v>
      </c>
      <c r="G143" s="14">
        <f t="shared" si="22"/>
        <v>-3.9875610689990839E-3</v>
      </c>
      <c r="H143" s="3">
        <f>yint($B$3:B143,$D$3:D143)</f>
        <v>1.7981716480075391E-4</v>
      </c>
      <c r="I143" s="5">
        <f>MyReg($B$3:B143,$D$3:D143)</f>
        <v>0.32732899461217607</v>
      </c>
      <c r="J143" s="6">
        <f>STDEV($D$3:D143)</f>
        <v>1.3349619795564434E-2</v>
      </c>
      <c r="K143" s="4">
        <f>H143+B143*I143</f>
        <v>-3.2922954813994791E-3</v>
      </c>
      <c r="L143">
        <f t="shared" si="23"/>
        <v>-3.9875610689990839E-3</v>
      </c>
      <c r="M143">
        <f>RSQ($D$3:D143,$B$3:B143)</f>
        <v>0.10927717101169453</v>
      </c>
      <c r="N143">
        <v>111</v>
      </c>
      <c r="O143" t="str">
        <f t="shared" si="21"/>
        <v/>
      </c>
      <c r="P143" t="str">
        <f t="shared" si="25"/>
        <v/>
      </c>
      <c r="Q143">
        <f t="shared" si="26"/>
        <v>0</v>
      </c>
      <c r="R143">
        <f t="shared" si="27"/>
        <v>0</v>
      </c>
      <c r="S143">
        <f t="shared" si="28"/>
        <v>0</v>
      </c>
      <c r="T143">
        <f t="shared" si="29"/>
        <v>0</v>
      </c>
      <c r="U143">
        <f t="shared" si="24"/>
        <v>0</v>
      </c>
      <c r="V143">
        <f t="shared" si="30"/>
        <v>0</v>
      </c>
      <c r="W143">
        <f t="shared" si="34"/>
        <v>0</v>
      </c>
      <c r="X143">
        <f>SUM($W$34:W143)</f>
        <v>87.338818250000401</v>
      </c>
      <c r="Y143">
        <f t="shared" si="31"/>
        <v>0</v>
      </c>
    </row>
    <row r="144" spans="1:25">
      <c r="A144">
        <v>102.1545826</v>
      </c>
      <c r="B144" s="2">
        <f t="shared" si="32"/>
        <v>1.734949655368898E-3</v>
      </c>
      <c r="C144">
        <v>100.8850415</v>
      </c>
      <c r="D144" s="3">
        <f t="shared" si="33"/>
        <v>-1.4530411714274634E-2</v>
      </c>
      <c r="E144" s="3">
        <f t="shared" si="20"/>
        <v>-1.5169193408603461E-2</v>
      </c>
      <c r="F144" s="3">
        <f>STDEV($E$32:E144)</f>
        <v>1.2983780599192044E-2</v>
      </c>
      <c r="G144" s="14">
        <f t="shared" si="22"/>
        <v>-1.1683186798109799</v>
      </c>
      <c r="H144" s="3">
        <f>yint($B$3:B144,$D$3:D144)</f>
        <v>7.2439844805178994E-5</v>
      </c>
      <c r="I144" s="5">
        <f>MyReg($B$3:B144,$D$3:D144)</f>
        <v>0.32643128736967708</v>
      </c>
      <c r="J144" s="6">
        <f>STDEV($D$3:D144)</f>
        <v>1.3359935746569285E-2</v>
      </c>
      <c r="K144" s="4">
        <f>H144+B144*I144</f>
        <v>6.3878169432882604E-4</v>
      </c>
      <c r="L144">
        <f t="shared" si="23"/>
        <v>-1.1683186798109799</v>
      </c>
      <c r="M144">
        <f>RSQ($D$3:D144,$B$3:B144)</f>
        <v>0.10775078764637841</v>
      </c>
      <c r="N144">
        <v>112</v>
      </c>
      <c r="O144" t="str">
        <f t="shared" si="21"/>
        <v/>
      </c>
      <c r="P144" t="str">
        <f t="shared" si="25"/>
        <v/>
      </c>
      <c r="Q144">
        <f t="shared" si="26"/>
        <v>0</v>
      </c>
      <c r="R144">
        <f t="shared" si="27"/>
        <v>0</v>
      </c>
      <c r="S144">
        <f t="shared" si="28"/>
        <v>0</v>
      </c>
      <c r="T144">
        <f t="shared" si="29"/>
        <v>0</v>
      </c>
      <c r="U144">
        <f t="shared" si="24"/>
        <v>0</v>
      </c>
      <c r="V144">
        <f t="shared" si="30"/>
        <v>0</v>
      </c>
      <c r="W144">
        <f t="shared" si="34"/>
        <v>0</v>
      </c>
      <c r="X144">
        <f>SUM($W$34:W144)</f>
        <v>87.338818250000401</v>
      </c>
      <c r="Y144">
        <f t="shared" si="31"/>
        <v>0</v>
      </c>
    </row>
    <row r="145" spans="1:25">
      <c r="A145">
        <v>101.9297775</v>
      </c>
      <c r="B145" s="2">
        <f t="shared" si="32"/>
        <v>-2.200636469538054E-3</v>
      </c>
      <c r="C145">
        <v>103.027513</v>
      </c>
      <c r="D145" s="3">
        <f t="shared" si="33"/>
        <v>2.1236760853193475E-2</v>
      </c>
      <c r="E145" s="3">
        <f t="shared" si="20"/>
        <v>2.1724603882483626E-2</v>
      </c>
      <c r="F145" s="3">
        <f>STDEV($E$32:E145)</f>
        <v>1.3086082813880731E-2</v>
      </c>
      <c r="G145" s="14">
        <f t="shared" si="22"/>
        <v>1.6601303989487062</v>
      </c>
      <c r="H145" s="3">
        <f>yint($B$3:B145,$D$3:D145)</f>
        <v>2.2592923975279464E-4</v>
      </c>
      <c r="I145" s="5">
        <f>MyReg($B$3:B145,$D$3:D145)</f>
        <v>0.32434810516103846</v>
      </c>
      <c r="J145" s="6">
        <f>STDEV($D$3:D145)</f>
        <v>1.3429079648113882E-2</v>
      </c>
      <c r="K145" s="4">
        <f>H145+B145*I145</f>
        <v>-4.878430292901505E-4</v>
      </c>
      <c r="L145">
        <f t="shared" si="23"/>
        <v>1.6601303989487062</v>
      </c>
      <c r="M145">
        <f>RSQ($D$3:D145,$B$3:B145)</f>
        <v>0.10457010365369752</v>
      </c>
      <c r="N145">
        <v>113</v>
      </c>
      <c r="O145" t="str">
        <f t="shared" si="21"/>
        <v>sellY</v>
      </c>
      <c r="P145" t="str">
        <f t="shared" si="25"/>
        <v/>
      </c>
      <c r="Q145">
        <f t="shared" si="26"/>
        <v>10</v>
      </c>
      <c r="R145">
        <f t="shared" si="27"/>
        <v>0</v>
      </c>
      <c r="S145">
        <f t="shared" si="28"/>
        <v>-10</v>
      </c>
      <c r="T145">
        <f t="shared" si="29"/>
        <v>0</v>
      </c>
      <c r="U145">
        <f t="shared" si="24"/>
        <v>20</v>
      </c>
      <c r="V145">
        <f t="shared" si="30"/>
        <v>10</v>
      </c>
      <c r="W145">
        <f t="shared" si="34"/>
        <v>10.977354999999989</v>
      </c>
      <c r="X145">
        <f>SUM($W$34:W145)</f>
        <v>98.316173250000389</v>
      </c>
      <c r="Y145">
        <f t="shared" si="31"/>
        <v>0</v>
      </c>
    </row>
    <row r="146" spans="1:25">
      <c r="A146">
        <v>102.0014398</v>
      </c>
      <c r="B146" s="2">
        <f t="shared" si="32"/>
        <v>7.0305559138495951E-4</v>
      </c>
      <c r="C146">
        <v>100.2404576</v>
      </c>
      <c r="D146" s="3">
        <f t="shared" si="33"/>
        <v>-2.705156437193626E-2</v>
      </c>
      <c r="E146" s="3">
        <f t="shared" si="20"/>
        <v>-2.7314271745436266E-2</v>
      </c>
      <c r="F146" s="3">
        <f>STDEV($E$32:E146)</f>
        <v>1.3277740392614323E-2</v>
      </c>
      <c r="G146" s="14">
        <f t="shared" si="22"/>
        <v>-2.057147597239489</v>
      </c>
      <c r="H146" s="3">
        <f>yint($B$3:B146,$D$3:D146)</f>
        <v>3.5035104388078008E-5</v>
      </c>
      <c r="I146" s="5">
        <f>MyReg($B$3:B146,$D$3:D146)</f>
        <v>0.32383252747259084</v>
      </c>
      <c r="J146" s="6">
        <f>STDEV($D$3:D146)</f>
        <v>1.3574739114241506E-2</v>
      </c>
      <c r="K146" s="4">
        <f>H146+B146*I146</f>
        <v>2.6270737350000647E-4</v>
      </c>
      <c r="L146">
        <f t="shared" si="23"/>
        <v>-2.057147597239489</v>
      </c>
      <c r="M146">
        <f>RSQ($D$3:D146,$B$3:B146)</f>
        <v>0.1013004748297785</v>
      </c>
      <c r="N146">
        <v>114</v>
      </c>
      <c r="O146" t="str">
        <f t="shared" si="21"/>
        <v>buyY</v>
      </c>
      <c r="P146" t="str">
        <f t="shared" si="25"/>
        <v>close&amp;buy</v>
      </c>
      <c r="Q146">
        <f t="shared" si="26"/>
        <v>-15</v>
      </c>
      <c r="R146">
        <f t="shared" si="27"/>
        <v>-5</v>
      </c>
      <c r="S146">
        <f t="shared" si="28"/>
        <v>15</v>
      </c>
      <c r="T146">
        <f t="shared" si="29"/>
        <v>5</v>
      </c>
      <c r="U146">
        <f t="shared" si="24"/>
        <v>30</v>
      </c>
      <c r="V146">
        <f t="shared" si="30"/>
        <v>-25</v>
      </c>
      <c r="W146">
        <f t="shared" si="34"/>
        <v>44.024555000000021</v>
      </c>
      <c r="X146">
        <f>SUM($W$34:W146)</f>
        <v>142.34072825000041</v>
      </c>
      <c r="Y146">
        <f t="shared" si="31"/>
        <v>0</v>
      </c>
    </row>
    <row r="147" spans="1:25">
      <c r="A147">
        <v>102.7201457</v>
      </c>
      <c r="B147" s="2">
        <f t="shared" si="32"/>
        <v>7.0460368148646795E-3</v>
      </c>
      <c r="C147">
        <v>101.9605036</v>
      </c>
      <c r="D147" s="3">
        <f t="shared" si="33"/>
        <v>1.7159199400941245E-2</v>
      </c>
      <c r="E147" s="3">
        <f t="shared" si="20"/>
        <v>1.4713366220926106E-2</v>
      </c>
      <c r="F147" s="3">
        <f>STDEV($E$32:E147)</f>
        <v>1.3291212498511448E-2</v>
      </c>
      <c r="G147" s="14">
        <f t="shared" si="22"/>
        <v>1.106999547450914</v>
      </c>
      <c r="H147" s="3">
        <f>yint($B$3:B147,$D$3:D147)</f>
        <v>1.3632065365819679E-4</v>
      </c>
      <c r="I147" s="5">
        <f>MyReg($B$3:B147,$D$3:D147)</f>
        <v>0.32777468909680935</v>
      </c>
      <c r="J147" s="6">
        <f>STDEV($D$3:D147)</f>
        <v>1.3601431754089928E-2</v>
      </c>
      <c r="K147" s="4">
        <f>H147+B147*I147</f>
        <v>2.4458331800151396E-3</v>
      </c>
      <c r="L147">
        <f t="shared" si="23"/>
        <v>1.106999547450914</v>
      </c>
      <c r="M147">
        <f>RSQ($D$3:D147,$B$3:B147)</f>
        <v>0.10284331169883193</v>
      </c>
      <c r="N147">
        <v>115</v>
      </c>
      <c r="O147" t="str">
        <f t="shared" si="21"/>
        <v/>
      </c>
      <c r="P147" t="str">
        <f t="shared" si="25"/>
        <v>close</v>
      </c>
      <c r="Q147">
        <f t="shared" si="26"/>
        <v>0</v>
      </c>
      <c r="R147">
        <f t="shared" si="27"/>
        <v>0</v>
      </c>
      <c r="S147">
        <f t="shared" si="28"/>
        <v>0</v>
      </c>
      <c r="T147">
        <f t="shared" si="29"/>
        <v>0</v>
      </c>
      <c r="U147">
        <f t="shared" si="24"/>
        <v>0</v>
      </c>
      <c r="V147">
        <f t="shared" si="30"/>
        <v>15</v>
      </c>
      <c r="W147">
        <f t="shared" si="34"/>
        <v>-11.394631500000116</v>
      </c>
      <c r="X147">
        <f>SUM($W$34:W147)</f>
        <v>130.94609675000029</v>
      </c>
      <c r="Y147">
        <f t="shared" si="31"/>
        <v>130.94609675000029</v>
      </c>
    </row>
    <row r="148" spans="1:25">
      <c r="A148">
        <v>101.9795932</v>
      </c>
      <c r="B148" s="2">
        <f t="shared" si="32"/>
        <v>-7.2094183176378305E-3</v>
      </c>
      <c r="C148">
        <v>100.0709944</v>
      </c>
      <c r="D148" s="3">
        <f t="shared" si="33"/>
        <v>-1.8531775866983773E-2</v>
      </c>
      <c r="E148" s="3">
        <f t="shared" si="20"/>
        <v>-1.6158122160179481E-2</v>
      </c>
      <c r="F148" s="3">
        <f>STDEV($E$32:E148)</f>
        <v>1.331815885691315E-2</v>
      </c>
      <c r="G148" s="14">
        <f t="shared" si="22"/>
        <v>-1.2132399330701911</v>
      </c>
      <c r="H148" s="3">
        <f>yint($B$3:B148,$D$3:D148)</f>
        <v>2.3591247451281984E-5</v>
      </c>
      <c r="I148" s="5">
        <f>MyReg($B$3:B148,$D$3:D148)</f>
        <v>0.33251572438108051</v>
      </c>
      <c r="J148" s="6">
        <f>STDEV($D$3:D148)</f>
        <v>1.3643056710681979E-2</v>
      </c>
      <c r="K148" s="4">
        <f>H148+B148*I148</f>
        <v>-2.3736537068042921E-3</v>
      </c>
      <c r="L148">
        <f t="shared" si="23"/>
        <v>-1.2132399330701911</v>
      </c>
      <c r="M148">
        <f>RSQ($D$3:D148,$B$3:B148)</f>
        <v>0.10469739609005989</v>
      </c>
      <c r="N148">
        <v>116</v>
      </c>
      <c r="O148" t="str">
        <f t="shared" si="21"/>
        <v/>
      </c>
      <c r="P148" t="str">
        <f t="shared" si="25"/>
        <v/>
      </c>
      <c r="Q148">
        <f t="shared" si="26"/>
        <v>0</v>
      </c>
      <c r="R148">
        <f t="shared" si="27"/>
        <v>0</v>
      </c>
      <c r="S148">
        <f t="shared" si="28"/>
        <v>0</v>
      </c>
      <c r="T148">
        <f t="shared" si="29"/>
        <v>0</v>
      </c>
      <c r="U148">
        <f t="shared" si="24"/>
        <v>0</v>
      </c>
      <c r="V148">
        <f t="shared" si="30"/>
        <v>0</v>
      </c>
      <c r="W148">
        <f t="shared" si="34"/>
        <v>0</v>
      </c>
      <c r="X148">
        <f>SUM($W$34:W148)</f>
        <v>130.94609675000029</v>
      </c>
      <c r="Y148">
        <f t="shared" si="31"/>
        <v>0</v>
      </c>
    </row>
    <row r="149" spans="1:25">
      <c r="A149">
        <v>103.0488691</v>
      </c>
      <c r="B149" s="2">
        <f t="shared" si="32"/>
        <v>1.0485194796795954E-2</v>
      </c>
      <c r="C149">
        <v>101.95994279999999</v>
      </c>
      <c r="D149" s="3">
        <f t="shared" si="33"/>
        <v>1.8876083038103491E-2</v>
      </c>
      <c r="E149" s="3">
        <f t="shared" si="20"/>
        <v>1.5199246904157221E-2</v>
      </c>
      <c r="F149" s="3">
        <f>STDEV($E$32:E149)</f>
        <v>1.3335779087442028E-2</v>
      </c>
      <c r="G149" s="14">
        <f t="shared" si="22"/>
        <v>1.1397344545449148</v>
      </c>
      <c r="H149" s="3">
        <f>yint($B$3:B149,$D$3:D149)</f>
        <v>1.2634239707237698E-4</v>
      </c>
      <c r="I149" s="5">
        <f>MyReg($B$3:B149,$D$3:D149)</f>
        <v>0.33861972101451532</v>
      </c>
      <c r="J149" s="6">
        <f>STDEV($D$3:D149)</f>
        <v>1.3684189411613493E-2</v>
      </c>
      <c r="K149" s="4">
        <f>H149+B149*I149</f>
        <v>3.6768361339462705E-3</v>
      </c>
      <c r="L149">
        <f t="shared" si="23"/>
        <v>1.1397344545449148</v>
      </c>
      <c r="M149">
        <f>RSQ($D$3:D149,$B$3:B149)</f>
        <v>0.1076243724197527</v>
      </c>
      <c r="N149">
        <v>117</v>
      </c>
      <c r="O149" t="str">
        <f t="shared" si="21"/>
        <v/>
      </c>
      <c r="P149" t="str">
        <f t="shared" si="25"/>
        <v/>
      </c>
      <c r="Q149">
        <f t="shared" si="26"/>
        <v>0</v>
      </c>
      <c r="R149">
        <f t="shared" si="27"/>
        <v>0</v>
      </c>
      <c r="S149">
        <f t="shared" si="28"/>
        <v>0</v>
      </c>
      <c r="T149">
        <f t="shared" si="29"/>
        <v>0</v>
      </c>
      <c r="U149">
        <f t="shared" si="24"/>
        <v>0</v>
      </c>
      <c r="V149">
        <f t="shared" si="30"/>
        <v>0</v>
      </c>
      <c r="W149">
        <f t="shared" si="34"/>
        <v>0</v>
      </c>
      <c r="X149">
        <f>SUM($W$34:W149)</f>
        <v>130.94609675000029</v>
      </c>
      <c r="Y149">
        <f t="shared" si="31"/>
        <v>0</v>
      </c>
    </row>
    <row r="150" spans="1:25" s="10" customFormat="1">
      <c r="A150" s="10">
        <v>102.5349537</v>
      </c>
      <c r="B150" s="11">
        <f t="shared" si="32"/>
        <v>-4.9871037352315966E-3</v>
      </c>
      <c r="C150" s="10">
        <v>104.2831633</v>
      </c>
      <c r="D150" s="12">
        <f t="shared" si="33"/>
        <v>2.2785619883654986E-2</v>
      </c>
      <c r="E150" s="3">
        <f t="shared" si="20"/>
        <v>2.4157441764156757E-2</v>
      </c>
      <c r="F150" s="3">
        <f>STDEV($E$32:E150)</f>
        <v>1.3462207961530387E-2</v>
      </c>
      <c r="G150" s="14">
        <f t="shared" si="22"/>
        <v>1.7944635704030927</v>
      </c>
      <c r="H150" s="15">
        <f>yint($B$3:B150,$D$3:D150)</f>
        <v>2.9212740342248909E-4</v>
      </c>
      <c r="I150" s="16">
        <f>MyReg($B$3:B150,$D$3:D150)</f>
        <v>0.33365042563065644</v>
      </c>
      <c r="J150" s="17">
        <f>STDEV($D$3:D150)</f>
        <v>1.3763074852100059E-2</v>
      </c>
      <c r="K150" s="13">
        <f>H150+B150*I150</f>
        <v>-1.3718218805017697E-3</v>
      </c>
      <c r="L150">
        <f t="shared" si="23"/>
        <v>1.7944635704030927</v>
      </c>
      <c r="M150" s="10">
        <f>RSQ($D$3:D150,$B$3:B150)</f>
        <v>0.10270234714880516</v>
      </c>
      <c r="N150" s="10">
        <v>118</v>
      </c>
      <c r="O150" s="10" t="str">
        <f t="shared" si="21"/>
        <v>sellY</v>
      </c>
      <c r="P150" s="10" t="str">
        <f t="shared" si="25"/>
        <v/>
      </c>
      <c r="Q150">
        <f t="shared" si="26"/>
        <v>10</v>
      </c>
      <c r="R150">
        <f t="shared" si="27"/>
        <v>0</v>
      </c>
      <c r="S150">
        <f t="shared" si="28"/>
        <v>-10</v>
      </c>
      <c r="T150">
        <f t="shared" si="29"/>
        <v>0</v>
      </c>
      <c r="U150">
        <f t="shared" si="24"/>
        <v>20</v>
      </c>
      <c r="V150" s="10">
        <f t="shared" si="30"/>
        <v>10</v>
      </c>
      <c r="W150">
        <f t="shared" si="34"/>
        <v>17.482095999999956</v>
      </c>
      <c r="X150">
        <f>SUM($W$34:W150)</f>
        <v>148.42819275000025</v>
      </c>
      <c r="Y150">
        <f t="shared" si="31"/>
        <v>0</v>
      </c>
    </row>
    <row r="151" spans="1:25">
      <c r="A151">
        <v>102.6786714</v>
      </c>
      <c r="B151" s="2">
        <f t="shared" si="32"/>
        <v>1.4016459247691287E-3</v>
      </c>
      <c r="C151">
        <v>104.9147463</v>
      </c>
      <c r="D151" s="3">
        <f t="shared" si="33"/>
        <v>6.0564234917105378E-3</v>
      </c>
      <c r="E151" s="3">
        <f t="shared" si="20"/>
        <v>5.2608213840267615E-3</v>
      </c>
      <c r="F151" s="3">
        <f>STDEV($E$32:E151)</f>
        <v>1.3413405613578885E-2</v>
      </c>
      <c r="G151" s="14">
        <f t="shared" si="22"/>
        <v>0.39220624020353473</v>
      </c>
      <c r="H151" s="15">
        <f>yint($B$3:B151,$D$3:D151)</f>
        <v>3.2761345799886326E-4</v>
      </c>
      <c r="I151" s="16">
        <f>MyReg($B$3:B151,$D$3:D151)</f>
        <v>0.33388507141131052</v>
      </c>
      <c r="J151" s="17">
        <f>STDEV($D$3:D151)</f>
        <v>1.3724386834975103E-2</v>
      </c>
      <c r="K151" s="4">
        <f>H151+B151*I151</f>
        <v>7.9560210768377614E-4</v>
      </c>
      <c r="L151">
        <f t="shared" si="23"/>
        <v>0.39220624020353473</v>
      </c>
      <c r="M151">
        <f>RSQ($D$3:D151,$B$3:B151)</f>
        <v>0.10273388516980889</v>
      </c>
      <c r="N151">
        <v>119</v>
      </c>
      <c r="O151" t="str">
        <f t="shared" si="21"/>
        <v/>
      </c>
      <c r="P151" t="str">
        <f t="shared" si="25"/>
        <v>close</v>
      </c>
      <c r="Q151">
        <f t="shared" si="26"/>
        <v>0</v>
      </c>
      <c r="R151">
        <f t="shared" si="27"/>
        <v>0</v>
      </c>
      <c r="S151">
        <f t="shared" si="28"/>
        <v>0</v>
      </c>
      <c r="T151">
        <f t="shared" si="29"/>
        <v>0</v>
      </c>
      <c r="U151">
        <f t="shared" si="24"/>
        <v>0</v>
      </c>
      <c r="V151">
        <f t="shared" si="30"/>
        <v>-10</v>
      </c>
      <c r="W151">
        <f t="shared" si="34"/>
        <v>-22.360749000000055</v>
      </c>
      <c r="X151">
        <f>SUM($W$34:W151)</f>
        <v>126.06744375000019</v>
      </c>
      <c r="Y151">
        <f t="shared" si="31"/>
        <v>126.06744375000019</v>
      </c>
    </row>
    <row r="152" spans="1:25">
      <c r="A152">
        <v>104.7561376</v>
      </c>
      <c r="B152" s="2">
        <f t="shared" si="32"/>
        <v>2.0232694596397004E-2</v>
      </c>
      <c r="C152">
        <v>106.9637058</v>
      </c>
      <c r="D152" s="3">
        <f t="shared" si="33"/>
        <v>1.9529756990891139E-2</v>
      </c>
      <c r="E152" s="3">
        <f t="shared" si="20"/>
        <v>1.217603238264222E-2</v>
      </c>
      <c r="F152" s="3">
        <f>STDEV($E$32:E152)</f>
        <v>1.3401205195088698E-2</v>
      </c>
      <c r="G152" s="14">
        <f t="shared" si="22"/>
        <v>0.90857741564202876</v>
      </c>
      <c r="H152" s="15">
        <f>yint($B$3:B152,$D$3:D152)</f>
        <v>4.0683745145348794E-4</v>
      </c>
      <c r="I152" s="16">
        <f>MyReg($B$3:B152,$D$3:D152)</f>
        <v>0.34334957826292295</v>
      </c>
      <c r="J152" s="17">
        <f>STDEV($D$3:D152)</f>
        <v>1.376700084648459E-2</v>
      </c>
      <c r="K152" s="4">
        <f>H152+B152*I152</f>
        <v>7.353724608248919E-3</v>
      </c>
      <c r="L152">
        <f t="shared" si="23"/>
        <v>0.90857741564202876</v>
      </c>
      <c r="M152">
        <f>RSQ($D$3:D152,$B$3:B152)</f>
        <v>0.10889816396248592</v>
      </c>
      <c r="N152">
        <v>120</v>
      </c>
      <c r="O152" t="str">
        <f t="shared" si="21"/>
        <v/>
      </c>
      <c r="P152" t="str">
        <f t="shared" si="25"/>
        <v/>
      </c>
      <c r="Q152">
        <f t="shared" si="26"/>
        <v>0</v>
      </c>
      <c r="R152">
        <f t="shared" si="27"/>
        <v>0</v>
      </c>
      <c r="S152">
        <f t="shared" si="28"/>
        <v>0</v>
      </c>
      <c r="T152">
        <f t="shared" si="29"/>
        <v>0</v>
      </c>
      <c r="U152">
        <f t="shared" si="24"/>
        <v>0</v>
      </c>
      <c r="V152">
        <f t="shared" si="30"/>
        <v>0</v>
      </c>
      <c r="W152">
        <f t="shared" si="34"/>
        <v>0</v>
      </c>
      <c r="X152">
        <f>SUM($W$34:W152)</f>
        <v>126.06744375000019</v>
      </c>
      <c r="Y152">
        <f t="shared" si="31"/>
        <v>0</v>
      </c>
    </row>
    <row r="153" spans="1:25">
      <c r="A153">
        <v>104.00354179999999</v>
      </c>
      <c r="B153" s="2">
        <f t="shared" si="32"/>
        <v>-7.1842644950667672E-3</v>
      </c>
      <c r="C153">
        <v>107.7981144</v>
      </c>
      <c r="D153" s="3">
        <f t="shared" si="33"/>
        <v>7.8008572511518506E-3</v>
      </c>
      <c r="E153" s="3">
        <f t="shared" si="20"/>
        <v>9.7740405563001391E-3</v>
      </c>
      <c r="F153" s="3">
        <f>STDEV($E$32:E153)</f>
        <v>1.3372872291632393E-2</v>
      </c>
      <c r="G153" s="14">
        <f t="shared" si="22"/>
        <v>0.73088565740778844</v>
      </c>
      <c r="H153" s="15">
        <f>yint($B$3:B153,$D$3:D153)</f>
        <v>4.7312445065443185E-4</v>
      </c>
      <c r="I153" s="16">
        <f>MyReg($B$3:B153,$D$3:D153)</f>
        <v>0.34050914432264168</v>
      </c>
      <c r="J153" s="17">
        <f>STDEV($D$3:D153)</f>
        <v>1.3733740364820024E-2</v>
      </c>
      <c r="K153" s="4">
        <f>H153+B153*I153</f>
        <v>-1.9731833051482885E-3</v>
      </c>
      <c r="L153">
        <f t="shared" si="23"/>
        <v>0.73088565740778844</v>
      </c>
      <c r="M153">
        <f>RSQ($D$3:D153,$B$3:B153)</f>
        <v>0.10713972305364326</v>
      </c>
      <c r="N153">
        <v>121</v>
      </c>
      <c r="O153" t="str">
        <f t="shared" si="21"/>
        <v/>
      </c>
      <c r="P153" t="str">
        <f t="shared" si="25"/>
        <v/>
      </c>
      <c r="Q153">
        <f t="shared" si="26"/>
        <v>0</v>
      </c>
      <c r="R153">
        <f t="shared" si="27"/>
        <v>0</v>
      </c>
      <c r="S153">
        <f t="shared" si="28"/>
        <v>0</v>
      </c>
      <c r="T153">
        <f t="shared" si="29"/>
        <v>0</v>
      </c>
      <c r="U153">
        <f t="shared" si="24"/>
        <v>0</v>
      </c>
      <c r="V153">
        <f t="shared" si="30"/>
        <v>0</v>
      </c>
      <c r="W153">
        <f t="shared" si="34"/>
        <v>0</v>
      </c>
      <c r="X153">
        <f>SUM($W$34:W153)</f>
        <v>126.06744375000019</v>
      </c>
      <c r="Y153">
        <f t="shared" si="31"/>
        <v>0</v>
      </c>
    </row>
    <row r="154" spans="1:25">
      <c r="A154">
        <v>105.37699120000001</v>
      </c>
      <c r="B154" s="2">
        <f t="shared" si="32"/>
        <v>1.3205794497279445E-2</v>
      </c>
      <c r="C154">
        <v>108.7829619</v>
      </c>
      <c r="D154" s="3">
        <f t="shared" si="33"/>
        <v>9.1360364277392296E-3</v>
      </c>
      <c r="E154" s="3">
        <f t="shared" si="20"/>
        <v>4.112964681995717E-3</v>
      </c>
      <c r="F154" s="3">
        <f>STDEV($E$32:E154)</f>
        <v>1.3322064893142317E-2</v>
      </c>
      <c r="G154" s="14">
        <f t="shared" si="22"/>
        <v>0.30873327183032356</v>
      </c>
      <c r="H154" s="15">
        <f>yint($B$3:B154,$D$3:D154)</f>
        <v>4.9966169375386489E-4</v>
      </c>
      <c r="I154" s="16">
        <f>MyReg($B$3:B154,$D$3:D154)</f>
        <v>0.34253221590882132</v>
      </c>
      <c r="J154" s="17">
        <f>STDEV($D$3:D154)</f>
        <v>1.3705724433839326E-2</v>
      </c>
      <c r="K154" s="4">
        <f>H154+B154*I154</f>
        <v>5.0230717457435126E-3</v>
      </c>
      <c r="L154">
        <f t="shared" si="23"/>
        <v>0.30873327183032356</v>
      </c>
      <c r="M154">
        <f>RSQ($D$3:D154,$B$3:B154)</f>
        <v>0.10881886334037191</v>
      </c>
      <c r="N154">
        <v>122</v>
      </c>
      <c r="O154" t="str">
        <f t="shared" si="21"/>
        <v/>
      </c>
      <c r="P154" t="str">
        <f t="shared" si="25"/>
        <v/>
      </c>
      <c r="Q154">
        <f t="shared" si="26"/>
        <v>0</v>
      </c>
      <c r="R154">
        <f t="shared" si="27"/>
        <v>0</v>
      </c>
      <c r="S154">
        <f t="shared" si="28"/>
        <v>0</v>
      </c>
      <c r="T154">
        <f t="shared" si="29"/>
        <v>0</v>
      </c>
      <c r="U154">
        <f t="shared" si="24"/>
        <v>0</v>
      </c>
      <c r="V154">
        <f t="shared" si="30"/>
        <v>0</v>
      </c>
      <c r="W154">
        <f t="shared" si="34"/>
        <v>0</v>
      </c>
      <c r="X154">
        <f>SUM($W$34:W154)</f>
        <v>126.06744375000019</v>
      </c>
      <c r="Y154">
        <f t="shared" si="31"/>
        <v>0</v>
      </c>
    </row>
    <row r="155" spans="1:25">
      <c r="A155">
        <v>106.19792990000001</v>
      </c>
      <c r="B155" s="2">
        <f t="shared" si="32"/>
        <v>7.7904928832319819E-3</v>
      </c>
      <c r="C155">
        <v>110.5032921</v>
      </c>
      <c r="D155" s="3">
        <f t="shared" si="33"/>
        <v>1.5814334983647767E-2</v>
      </c>
      <c r="E155" s="3">
        <f t="shared" si="20"/>
        <v>1.2537879995377572E-2</v>
      </c>
      <c r="F155" s="3">
        <f>STDEV($E$32:E155)</f>
        <v>1.331197122753606E-2</v>
      </c>
      <c r="G155" s="14">
        <f t="shared" si="22"/>
        <v>0.94184999209153442</v>
      </c>
      <c r="H155" s="15">
        <f>yint($B$3:B155,$D$3:D155)</f>
        <v>5.8063580772415527E-4</v>
      </c>
      <c r="I155" s="16">
        <f>MyReg($B$3:B155,$D$3:D155)</f>
        <v>0.34603961789740384</v>
      </c>
      <c r="J155" s="17">
        <f>STDEV($D$3:D155)</f>
        <v>1.3715486379202576E-2</v>
      </c>
      <c r="K155" s="4">
        <f>H155+B155*I155</f>
        <v>3.2764549882701942E-3</v>
      </c>
      <c r="L155">
        <f t="shared" si="23"/>
        <v>0.94184999209153442</v>
      </c>
      <c r="M155">
        <f>RSQ($D$3:D155,$B$3:B155)</f>
        <v>0.1103964898523328</v>
      </c>
      <c r="N155">
        <v>123</v>
      </c>
      <c r="O155" t="str">
        <f t="shared" si="21"/>
        <v/>
      </c>
      <c r="P155" t="str">
        <f t="shared" si="25"/>
        <v/>
      </c>
      <c r="Q155">
        <f t="shared" si="26"/>
        <v>0</v>
      </c>
      <c r="R155">
        <f t="shared" si="27"/>
        <v>0</v>
      </c>
      <c r="S155">
        <f t="shared" si="28"/>
        <v>0</v>
      </c>
      <c r="T155">
        <f t="shared" si="29"/>
        <v>0</v>
      </c>
      <c r="U155">
        <f t="shared" si="24"/>
        <v>0</v>
      </c>
      <c r="V155">
        <f t="shared" si="30"/>
        <v>0</v>
      </c>
      <c r="W155">
        <f t="shared" si="34"/>
        <v>0</v>
      </c>
      <c r="X155">
        <f>SUM($W$34:W155)</f>
        <v>126.06744375000019</v>
      </c>
      <c r="Y155">
        <f t="shared" si="31"/>
        <v>0</v>
      </c>
    </row>
    <row r="156" spans="1:25">
      <c r="A156">
        <v>107.6846741</v>
      </c>
      <c r="B156" s="2">
        <f t="shared" si="32"/>
        <v>1.3999747465887183E-2</v>
      </c>
      <c r="C156">
        <v>112.08113109999999</v>
      </c>
      <c r="D156" s="3">
        <f t="shared" si="33"/>
        <v>1.4278660572140523E-2</v>
      </c>
      <c r="E156" s="3">
        <f t="shared" si="20"/>
        <v>8.7358804988871518E-3</v>
      </c>
      <c r="F156" s="3">
        <f>STDEV($E$32:E156)</f>
        <v>1.3278291170636459E-2</v>
      </c>
      <c r="G156" s="14">
        <f t="shared" si="22"/>
        <v>0.657906984161157</v>
      </c>
      <c r="H156" s="15">
        <f>yint($B$3:B156,$D$3:D156)</f>
        <v>6.3558610900307485E-4</v>
      </c>
      <c r="I156" s="16">
        <f>MyReg($B$3:B156,$D$3:D156)</f>
        <v>0.35052017732516444</v>
      </c>
      <c r="J156" s="17">
        <f>STDEV($D$3:D156)</f>
        <v>1.3714013109668712E-2</v>
      </c>
      <c r="K156" s="4">
        <f>H156+B156*I156</f>
        <v>5.542780073253371E-3</v>
      </c>
      <c r="L156">
        <f t="shared" si="23"/>
        <v>0.657906984161157</v>
      </c>
      <c r="M156">
        <f>RSQ($D$3:D156,$B$3:B156)</f>
        <v>0.11333315092208432</v>
      </c>
      <c r="N156">
        <v>124</v>
      </c>
      <c r="O156" t="str">
        <f t="shared" si="21"/>
        <v/>
      </c>
      <c r="P156" t="str">
        <f t="shared" si="25"/>
        <v/>
      </c>
      <c r="Q156">
        <f t="shared" si="26"/>
        <v>0</v>
      </c>
      <c r="R156">
        <f t="shared" si="27"/>
        <v>0</v>
      </c>
      <c r="S156">
        <f t="shared" si="28"/>
        <v>0</v>
      </c>
      <c r="T156">
        <f t="shared" si="29"/>
        <v>0</v>
      </c>
      <c r="U156">
        <f t="shared" si="24"/>
        <v>0</v>
      </c>
      <c r="V156">
        <f t="shared" si="30"/>
        <v>0</v>
      </c>
      <c r="W156">
        <f t="shared" si="34"/>
        <v>0</v>
      </c>
      <c r="X156">
        <f>SUM($W$34:W156)</f>
        <v>126.06744375000019</v>
      </c>
      <c r="Y156">
        <f t="shared" si="31"/>
        <v>0</v>
      </c>
    </row>
    <row r="157" spans="1:25">
      <c r="A157">
        <v>104.7651872</v>
      </c>
      <c r="B157" s="2">
        <f t="shared" si="32"/>
        <v>-2.7111442964379975E-2</v>
      </c>
      <c r="C157">
        <v>110.17132049999999</v>
      </c>
      <c r="D157" s="3">
        <f t="shared" si="33"/>
        <v>-1.7039537175049087E-2</v>
      </c>
      <c r="E157" s="3">
        <f t="shared" si="20"/>
        <v>-7.8929538006010536E-3</v>
      </c>
      <c r="F157" s="3">
        <f>STDEV($E$32:E157)</f>
        <v>1.3246873500315139E-2</v>
      </c>
      <c r="G157" s="14">
        <f t="shared" si="22"/>
        <v>-0.59583522107411102</v>
      </c>
      <c r="H157" s="15">
        <f>yint($B$3:B157,$D$3:D157)</f>
        <v>5.7966670331471783E-4</v>
      </c>
      <c r="I157" s="16">
        <f>MyReg($B$3:B157,$D$3:D157)</f>
        <v>0.35875073453454548</v>
      </c>
      <c r="J157" s="17">
        <f>STDEV($D$3:D157)</f>
        <v>1.3744599750372176E-2</v>
      </c>
      <c r="K157" s="4">
        <f>H157+B157*I157</f>
        <v>-9.1465833744480331E-3</v>
      </c>
      <c r="L157">
        <f t="shared" si="23"/>
        <v>-0.59583522107411102</v>
      </c>
      <c r="M157">
        <f>RSQ($D$3:D157,$B$3:B157)</f>
        <v>0.12078994800378089</v>
      </c>
      <c r="N157">
        <v>125</v>
      </c>
      <c r="O157" t="str">
        <f t="shared" si="21"/>
        <v/>
      </c>
      <c r="P157" t="str">
        <f t="shared" si="25"/>
        <v/>
      </c>
      <c r="Q157">
        <f t="shared" si="26"/>
        <v>0</v>
      </c>
      <c r="R157">
        <f t="shared" si="27"/>
        <v>0</v>
      </c>
      <c r="S157">
        <f t="shared" si="28"/>
        <v>0</v>
      </c>
      <c r="T157">
        <f t="shared" si="29"/>
        <v>0</v>
      </c>
      <c r="U157">
        <f t="shared" si="24"/>
        <v>0</v>
      </c>
      <c r="V157">
        <f t="shared" si="30"/>
        <v>0</v>
      </c>
      <c r="W157">
        <f t="shared" si="34"/>
        <v>0</v>
      </c>
      <c r="X157">
        <f>SUM($W$34:W157)</f>
        <v>126.06744375000019</v>
      </c>
      <c r="Y157">
        <f t="shared" si="31"/>
        <v>0</v>
      </c>
    </row>
    <row r="158" spans="1:25">
      <c r="A158">
        <v>104.30036440000001</v>
      </c>
      <c r="B158" s="2">
        <f t="shared" si="32"/>
        <v>-4.4368058934752055E-3</v>
      </c>
      <c r="C158">
        <v>109.7309101</v>
      </c>
      <c r="D158" s="3">
        <f t="shared" si="33"/>
        <v>-3.9975049586520152E-3</v>
      </c>
      <c r="E158" s="3">
        <f t="shared" si="20"/>
        <v>-2.9638156239747944E-3</v>
      </c>
      <c r="F158" s="3">
        <f>STDEV($E$32:E158)</f>
        <v>1.3197921190983246E-2</v>
      </c>
      <c r="G158" s="14">
        <f t="shared" si="22"/>
        <v>-0.22456685269492732</v>
      </c>
      <c r="H158" s="15">
        <f>yint($B$3:B158,$D$3:D158)</f>
        <v>5.6034188325941212E-4</v>
      </c>
      <c r="I158" s="16">
        <f>MyReg($B$3:B158,$D$3:D158)</f>
        <v>0.35927449976588455</v>
      </c>
      <c r="J158" s="17">
        <f>STDEV($D$3:D158)</f>
        <v>1.3705393874837817E-2</v>
      </c>
      <c r="K158" s="4">
        <f>H158+B158*I158</f>
        <v>-1.0336893346772208E-3</v>
      </c>
      <c r="L158">
        <f t="shared" si="23"/>
        <v>-0.22456685269492732</v>
      </c>
      <c r="M158">
        <f>RSQ($D$3:D158,$B$3:B158)</f>
        <v>0.12115349747659766</v>
      </c>
      <c r="N158">
        <v>126</v>
      </c>
      <c r="O158" t="str">
        <f t="shared" si="21"/>
        <v/>
      </c>
      <c r="P158" t="str">
        <f t="shared" si="25"/>
        <v/>
      </c>
      <c r="Q158">
        <f t="shared" si="26"/>
        <v>0</v>
      </c>
      <c r="R158">
        <f t="shared" si="27"/>
        <v>0</v>
      </c>
      <c r="S158">
        <f t="shared" si="28"/>
        <v>0</v>
      </c>
      <c r="T158">
        <f t="shared" si="29"/>
        <v>0</v>
      </c>
      <c r="U158">
        <f t="shared" si="24"/>
        <v>0</v>
      </c>
      <c r="V158">
        <f t="shared" si="30"/>
        <v>0</v>
      </c>
      <c r="W158">
        <f t="shared" si="34"/>
        <v>0</v>
      </c>
      <c r="X158">
        <f>SUM($W$34:W158)</f>
        <v>126.06744375000019</v>
      </c>
      <c r="Y158">
        <f t="shared" si="31"/>
        <v>0</v>
      </c>
    </row>
    <row r="159" spans="1:25">
      <c r="A159">
        <v>104.50632469999999</v>
      </c>
      <c r="B159" s="2">
        <f t="shared" si="32"/>
        <v>1.9746843760786205E-3</v>
      </c>
      <c r="C159">
        <v>107.2373683</v>
      </c>
      <c r="D159" s="3">
        <f t="shared" si="33"/>
        <v>-2.2724151269023354E-2</v>
      </c>
      <c r="E159" s="3">
        <f t="shared" si="20"/>
        <v>-2.3838852216972486E-2</v>
      </c>
      <c r="F159" s="3">
        <f>STDEV($E$32:E159)</f>
        <v>1.3321278760747238E-2</v>
      </c>
      <c r="G159" s="14">
        <f t="shared" si="22"/>
        <v>-1.7895318193638099</v>
      </c>
      <c r="H159" s="15">
        <f>yint($B$3:B159,$D$3:D159)</f>
        <v>4.0803303061322552E-4</v>
      </c>
      <c r="I159" s="16">
        <f>MyReg($B$3:B159,$D$3:D159)</f>
        <v>0.35786373047586856</v>
      </c>
      <c r="J159" s="17">
        <f>STDEV($D$3:D159)</f>
        <v>1.3788590532145064E-2</v>
      </c>
      <c r="K159" s="4">
        <f>H159+B159*I159</f>
        <v>1.1147009479491336E-3</v>
      </c>
      <c r="L159">
        <f t="shared" si="23"/>
        <v>-1.7895318193638099</v>
      </c>
      <c r="M159">
        <f>RSQ($D$3:D159,$B$3:B159)</f>
        <v>0.1180076682036304</v>
      </c>
      <c r="N159">
        <v>127</v>
      </c>
      <c r="O159" t="str">
        <f t="shared" si="21"/>
        <v>buyY</v>
      </c>
      <c r="P159" t="str">
        <f t="shared" si="25"/>
        <v/>
      </c>
      <c r="Q159">
        <f t="shared" si="26"/>
        <v>-10</v>
      </c>
      <c r="R159">
        <f t="shared" si="27"/>
        <v>0</v>
      </c>
      <c r="S159">
        <f t="shared" si="28"/>
        <v>10</v>
      </c>
      <c r="T159">
        <f t="shared" si="29"/>
        <v>0</v>
      </c>
      <c r="U159">
        <f t="shared" si="24"/>
        <v>20</v>
      </c>
      <c r="V159">
        <f t="shared" si="30"/>
        <v>-10</v>
      </c>
      <c r="W159">
        <f t="shared" si="34"/>
        <v>-27.310436000000067</v>
      </c>
      <c r="X159">
        <f>SUM($W$34:W159)</f>
        <v>98.757007750000128</v>
      </c>
      <c r="Y159">
        <f t="shared" si="31"/>
        <v>0</v>
      </c>
    </row>
    <row r="160" spans="1:25">
      <c r="A160">
        <v>104.7658698</v>
      </c>
      <c r="B160" s="2">
        <f t="shared" si="32"/>
        <v>2.4835348553790553E-3</v>
      </c>
      <c r="C160">
        <v>107.8985294</v>
      </c>
      <c r="D160" s="3">
        <f t="shared" si="33"/>
        <v>6.1653984099123132E-3</v>
      </c>
      <c r="E160" s="3">
        <f t="shared" si="20"/>
        <v>4.8369971631718432E-3</v>
      </c>
      <c r="F160" s="3">
        <f>STDEV($E$32:E160)</f>
        <v>1.3275023476297179E-2</v>
      </c>
      <c r="G160" s="14">
        <f t="shared" si="22"/>
        <v>0.36436825681012158</v>
      </c>
      <c r="H160" s="15">
        <f>yint($B$3:B160,$D$3:D160)</f>
        <v>4.3870421592173415E-4</v>
      </c>
      <c r="I160" s="16">
        <f>MyReg($B$3:B160,$D$3:D160)</f>
        <v>0.35823818976880967</v>
      </c>
      <c r="J160" s="17">
        <f>STDEV($D$3:D160)</f>
        <v>1.3751892633969056E-2</v>
      </c>
      <c r="K160" s="4">
        <f>H160+B160*I160</f>
        <v>1.3284012467404695E-3</v>
      </c>
      <c r="L160">
        <f t="shared" si="23"/>
        <v>0.36436825681012158</v>
      </c>
      <c r="M160">
        <f>RSQ($D$3:D160,$B$3:B160)</f>
        <v>0.11814872820132909</v>
      </c>
      <c r="N160">
        <v>128</v>
      </c>
      <c r="O160" t="str">
        <f t="shared" si="21"/>
        <v/>
      </c>
      <c r="P160" t="str">
        <f t="shared" si="25"/>
        <v>close</v>
      </c>
      <c r="Q160">
        <f t="shared" si="26"/>
        <v>0</v>
      </c>
      <c r="R160">
        <f t="shared" si="27"/>
        <v>0</v>
      </c>
      <c r="S160">
        <f t="shared" si="28"/>
        <v>0</v>
      </c>
      <c r="T160">
        <f t="shared" si="29"/>
        <v>0</v>
      </c>
      <c r="U160">
        <f t="shared" si="24"/>
        <v>0</v>
      </c>
      <c r="V160">
        <f t="shared" si="30"/>
        <v>10</v>
      </c>
      <c r="W160">
        <f t="shared" si="34"/>
        <v>31.326595999999967</v>
      </c>
      <c r="X160">
        <f>SUM($W$34:W160)</f>
        <v>130.08360375000009</v>
      </c>
      <c r="Y160">
        <f t="shared" si="31"/>
        <v>130.08360375000009</v>
      </c>
    </row>
    <row r="161" spans="1:25">
      <c r="A161">
        <v>102.7178512</v>
      </c>
      <c r="B161" s="2">
        <f t="shared" si="32"/>
        <v>-1.9548528580058674E-2</v>
      </c>
      <c r="C161">
        <v>107.0347148</v>
      </c>
      <c r="D161" s="3">
        <f t="shared" si="33"/>
        <v>-8.0058051282392902E-3</v>
      </c>
      <c r="E161" s="3">
        <f t="shared" ref="E161:E224" si="35">D161-K161</f>
        <v>-1.4120250595426485E-3</v>
      </c>
      <c r="F161" s="3">
        <f>STDEV($E$32:E161)</f>
        <v>1.3224407485052467E-2</v>
      </c>
      <c r="G161" s="14">
        <f t="shared" si="22"/>
        <v>-0.10677416444847596</v>
      </c>
      <c r="H161" s="15">
        <f>yint($B$3:B161,$D$3:D161)</f>
        <v>4.2937494022961584E-4</v>
      </c>
      <c r="I161" s="16">
        <f>MyReg($B$3:B161,$D$3:D161)</f>
        <v>0.35926770550344811</v>
      </c>
      <c r="J161" s="17">
        <f>STDEV($D$3:D161)</f>
        <v>1.3725186102260669E-2</v>
      </c>
      <c r="K161" s="4">
        <f t="shared" ref="K161:K224" si="36">H161+B161*I161</f>
        <v>-6.5937800686966417E-3</v>
      </c>
      <c r="L161">
        <f t="shared" si="23"/>
        <v>-0.10677416444847596</v>
      </c>
      <c r="M161">
        <f>RSQ($D$3:D161,$B$3:B161)</f>
        <v>0.12024826288670726</v>
      </c>
      <c r="N161">
        <v>129</v>
      </c>
      <c r="O161" t="str">
        <f t="shared" ref="O161:O224" si="37">IF(L161&gt;1.5,"sellY",IF(L161&lt;-1.5,"buyY",""))</f>
        <v/>
      </c>
      <c r="P161" t="str">
        <f t="shared" si="25"/>
        <v/>
      </c>
      <c r="Q161">
        <f t="shared" si="26"/>
        <v>0</v>
      </c>
      <c r="R161">
        <f t="shared" si="27"/>
        <v>0</v>
      </c>
      <c r="S161">
        <f t="shared" si="28"/>
        <v>0</v>
      </c>
      <c r="T161">
        <f t="shared" si="29"/>
        <v>0</v>
      </c>
      <c r="U161">
        <f t="shared" si="24"/>
        <v>0</v>
      </c>
      <c r="V161">
        <f t="shared" si="30"/>
        <v>0</v>
      </c>
      <c r="W161">
        <f t="shared" si="34"/>
        <v>0</v>
      </c>
      <c r="X161">
        <f>SUM($W$34:W161)</f>
        <v>130.08360375000009</v>
      </c>
      <c r="Y161">
        <f t="shared" si="31"/>
        <v>0</v>
      </c>
    </row>
    <row r="162" spans="1:25">
      <c r="A162">
        <v>102.56394779999999</v>
      </c>
      <c r="B162" s="2">
        <f t="shared" si="32"/>
        <v>-1.49831210643554E-3</v>
      </c>
      <c r="C162">
        <v>106.79847580000001</v>
      </c>
      <c r="D162" s="3">
        <f t="shared" si="33"/>
        <v>-2.2071250476205094E-3</v>
      </c>
      <c r="E162" s="3">
        <f t="shared" si="35"/>
        <v>-2.0848611545076501E-3</v>
      </c>
      <c r="F162" s="3">
        <f>STDEV($E$32:E162)</f>
        <v>1.3175191698901873E-2</v>
      </c>
      <c r="G162" s="14">
        <f t="shared" ref="G162:G225" si="38">E162/F162</f>
        <v>-0.15824142844778641</v>
      </c>
      <c r="H162" s="15">
        <f>yint($B$3:B162,$D$3:D162)</f>
        <v>4.1622886736935292E-4</v>
      </c>
      <c r="I162" s="16">
        <f>MyReg($B$3:B162,$D$3:D162)</f>
        <v>0.35939959249430209</v>
      </c>
      <c r="J162" s="17">
        <f>STDEV($D$3:D162)</f>
        <v>1.3683657233752393E-2</v>
      </c>
      <c r="K162" s="4">
        <f t="shared" si="36"/>
        <v>-1.2226389311285955E-4</v>
      </c>
      <c r="L162">
        <f t="shared" ref="L162:L225" si="39">(D162-K162)/F162</f>
        <v>-0.15824142844778641</v>
      </c>
      <c r="M162">
        <f>RSQ($D$3:D162,$B$3:B162)</f>
        <v>0.12031993024958111</v>
      </c>
      <c r="N162">
        <v>130</v>
      </c>
      <c r="O162" t="str">
        <f t="shared" si="37"/>
        <v/>
      </c>
      <c r="P162" t="str">
        <f t="shared" si="25"/>
        <v/>
      </c>
      <c r="Q162">
        <f t="shared" si="26"/>
        <v>0</v>
      </c>
      <c r="R162">
        <f t="shared" si="27"/>
        <v>0</v>
      </c>
      <c r="S162">
        <f t="shared" si="28"/>
        <v>0</v>
      </c>
      <c r="T162">
        <f t="shared" si="29"/>
        <v>0</v>
      </c>
      <c r="U162">
        <f t="shared" ref="U162:U225" si="40">ABS(Q162)+ABS(S162)</f>
        <v>0</v>
      </c>
      <c r="V162">
        <f t="shared" si="30"/>
        <v>0</v>
      </c>
      <c r="W162">
        <f t="shared" si="34"/>
        <v>0</v>
      </c>
      <c r="X162">
        <f>SUM($W$34:W162)</f>
        <v>130.08360375000009</v>
      </c>
      <c r="Y162">
        <f t="shared" si="31"/>
        <v>0</v>
      </c>
    </row>
    <row r="163" spans="1:25">
      <c r="A163">
        <v>103.0008516</v>
      </c>
      <c r="B163" s="2">
        <f t="shared" si="32"/>
        <v>4.2598184778531922E-3</v>
      </c>
      <c r="C163">
        <v>106.58735609999999</v>
      </c>
      <c r="D163" s="3">
        <f t="shared" si="33"/>
        <v>-1.9768044292633228E-3</v>
      </c>
      <c r="E163" s="3">
        <f t="shared" si="35"/>
        <v>-3.8973862122641694E-3</v>
      </c>
      <c r="F163" s="3">
        <f>STDEV($E$32:E163)</f>
        <v>1.3130016238883789E-2</v>
      </c>
      <c r="G163" s="14">
        <f t="shared" si="38"/>
        <v>-0.29683026596130813</v>
      </c>
      <c r="H163" s="15">
        <f>yint($B$3:B163,$D$3:D163)</f>
        <v>3.9200836063252678E-4</v>
      </c>
      <c r="I163" s="16">
        <f>MyReg($B$3:B163,$D$3:D163)</f>
        <v>0.3588353424718394</v>
      </c>
      <c r="J163" s="17">
        <f>STDEV($D$3:D163)</f>
        <v>1.3642230128556801E-2</v>
      </c>
      <c r="K163" s="4">
        <f t="shared" si="36"/>
        <v>1.9205817830008466E-3</v>
      </c>
      <c r="L163">
        <f t="shared" si="39"/>
        <v>-0.29683026596130813</v>
      </c>
      <c r="M163">
        <f>RSQ($D$3:D163,$B$3:B163)</f>
        <v>0.11998705915317832</v>
      </c>
      <c r="N163">
        <v>131</v>
      </c>
      <c r="O163" t="str">
        <f t="shared" si="37"/>
        <v/>
      </c>
      <c r="P163" t="str">
        <f t="shared" ref="P163:P226" si="41">IF(AND(OR(O162="sellY",P162="sellhold"),L163&gt;0.5),"sellhold",IF(AND(OR(O162="sellY",P162="sellhold"),L163&lt;0.5,O163&lt;&gt;"buyY"),"close",IF(AND(OR(O162="sellY",P162="sellhold"),L163&lt;0.5,O163="buyY"),"close&amp;buy",IF(AND(OR(O162="buyY",P162="buyhold"),L163&lt;-0.5),"buyhold",IF(AND(OR(O162="buyY",P162="buyhold"),L163&gt;-0.5,O163&lt;&gt;"sellY"),"close",IF(AND(OR(O162="buyY",P162="buyhold"),L163&gt;-0.5,O163="sellY"),"close&amp;sell",""))))))</f>
        <v/>
      </c>
      <c r="Q163">
        <f t="shared" ref="Q163:Q226" si="42">IF(O163="sellY",MAX(10+R163,Q162),IF(O163="buyY",MIN(-10+R163,Q162),IF(P163="sellhold",Q162+R163,IF(P163="buyhold",Q162+R163,0))))</f>
        <v>0</v>
      </c>
      <c r="R163">
        <f t="shared" ref="R163:R226" si="43">IF(AND(L163&gt;2.5,Q162&lt;15),10,IF(AND(L163&gt;2,Q162&lt;15),5,IF(AND(L163&lt;-2.5,Q162&gt;-15),-10,IF(AND(L163&lt;-2,Q162&gt;-15),-5,0))))</f>
        <v>0</v>
      </c>
      <c r="S163">
        <f t="shared" ref="S163:S226" si="44">IF(O163="sellY",MIN(-10+T163,S162),IF(O163="buyY",MAX(10+T163,S162),IF(P163="sellhold",S162+T163,IF(P163="buyhold",S162+T163,0))))</f>
        <v>0</v>
      </c>
      <c r="T163">
        <f t="shared" ref="T163:T226" si="45">IF(AND(L163&gt;2.5,Q162&lt;15),-10,IF(AND(L163&gt;2,Q162&lt;15),-5,IF(AND(L163&lt;-2.5,Q162&gt;-15),10,IF(AND(L163&lt;-2,Q162&gt;-15),5,0))))</f>
        <v>0</v>
      </c>
      <c r="U163">
        <f t="shared" si="40"/>
        <v>0</v>
      </c>
      <c r="V163">
        <f t="shared" ref="V163:V226" si="46">Q163-Q162</f>
        <v>0</v>
      </c>
      <c r="W163">
        <f t="shared" si="34"/>
        <v>0</v>
      </c>
      <c r="X163">
        <f>SUM($W$34:W163)</f>
        <v>130.08360375000009</v>
      </c>
      <c r="Y163">
        <f t="shared" si="31"/>
        <v>0</v>
      </c>
    </row>
    <row r="164" spans="1:25">
      <c r="A164">
        <v>104.42801009999999</v>
      </c>
      <c r="B164" s="2">
        <f t="shared" si="32"/>
        <v>1.3855793207830043E-2</v>
      </c>
      <c r="C164">
        <v>108.4921293</v>
      </c>
      <c r="D164" s="3">
        <f t="shared" si="33"/>
        <v>1.7870536147016863E-2</v>
      </c>
      <c r="E164" s="3">
        <f t="shared" si="35"/>
        <v>1.2347748817477465E-2</v>
      </c>
      <c r="F164" s="3">
        <f>STDEV($E$32:E164)</f>
        <v>1.3121708146480846E-2</v>
      </c>
      <c r="G164" s="14">
        <f t="shared" si="38"/>
        <v>0.94101687673864687</v>
      </c>
      <c r="H164" s="15">
        <f>yint($B$3:B164,$D$3:D164)</f>
        <v>4.6707139879522877E-4</v>
      </c>
      <c r="I164" s="16">
        <f>MyReg($B$3:B164,$D$3:D164)</f>
        <v>0.36488101799088163</v>
      </c>
      <c r="J164" s="17">
        <f>STDEV($D$3:D164)</f>
        <v>1.3668190850734337E-2</v>
      </c>
      <c r="K164" s="4">
        <f t="shared" si="36"/>
        <v>5.5227873295393987E-3</v>
      </c>
      <c r="L164">
        <f t="shared" si="39"/>
        <v>0.94101687673864687</v>
      </c>
      <c r="M164">
        <f>RSQ($D$3:D164,$B$3:B164)</f>
        <v>0.12363770417746678</v>
      </c>
      <c r="N164">
        <v>132</v>
      </c>
      <c r="O164" t="str">
        <f t="shared" si="37"/>
        <v/>
      </c>
      <c r="P164" t="str">
        <f t="shared" si="41"/>
        <v/>
      </c>
      <c r="Q164">
        <f t="shared" si="42"/>
        <v>0</v>
      </c>
      <c r="R164">
        <f t="shared" si="43"/>
        <v>0</v>
      </c>
      <c r="S164">
        <f t="shared" si="44"/>
        <v>0</v>
      </c>
      <c r="T164">
        <f t="shared" si="45"/>
        <v>0</v>
      </c>
      <c r="U164">
        <f t="shared" si="40"/>
        <v>0</v>
      </c>
      <c r="V164">
        <f t="shared" si="46"/>
        <v>0</v>
      </c>
      <c r="W164">
        <f t="shared" si="34"/>
        <v>0</v>
      </c>
      <c r="X164">
        <f>SUM($W$34:W164)</f>
        <v>130.08360375000009</v>
      </c>
      <c r="Y164">
        <f t="shared" ref="Y164:Y227" si="47">IF(P164="close",X164,0)</f>
        <v>0</v>
      </c>
    </row>
    <row r="165" spans="1:25">
      <c r="A165">
        <v>106.35809329999999</v>
      </c>
      <c r="B165" s="2">
        <f t="shared" si="32"/>
        <v>1.848242821204537E-2</v>
      </c>
      <c r="C165">
        <v>107.632304</v>
      </c>
      <c r="D165" s="3">
        <f t="shared" si="33"/>
        <v>-7.9252320472246191E-3</v>
      </c>
      <c r="E165" s="3">
        <f t="shared" si="35"/>
        <v>-1.4869445335629686E-2</v>
      </c>
      <c r="F165" s="3">
        <f>STDEV($E$32:E165)</f>
        <v>1.3138748760130844E-2</v>
      </c>
      <c r="G165" s="14">
        <f t="shared" si="38"/>
        <v>-1.1317246114600037</v>
      </c>
      <c r="H165" s="15">
        <f>yint($B$3:B165,$D$3:D165)</f>
        <v>3.7869775934969846E-4</v>
      </c>
      <c r="I165" s="16">
        <f>MyReg($B$3:B165,$D$3:D165)</f>
        <v>0.35523013825512878</v>
      </c>
      <c r="J165" s="17">
        <f>STDEV($D$3:D165)</f>
        <v>1.3642276758675798E-2</v>
      </c>
      <c r="K165" s="4">
        <f t="shared" si="36"/>
        <v>6.9442132884050675E-3</v>
      </c>
      <c r="L165">
        <f t="shared" si="39"/>
        <v>-1.1317246114600037</v>
      </c>
      <c r="M165">
        <f>RSQ($D$3:D165,$B$3:B165)</f>
        <v>0.11827050463941384</v>
      </c>
      <c r="N165">
        <v>133</v>
      </c>
      <c r="O165" t="str">
        <f t="shared" si="37"/>
        <v/>
      </c>
      <c r="P165" t="str">
        <f t="shared" si="41"/>
        <v/>
      </c>
      <c r="Q165">
        <f t="shared" si="42"/>
        <v>0</v>
      </c>
      <c r="R165">
        <f t="shared" si="43"/>
        <v>0</v>
      </c>
      <c r="S165">
        <f t="shared" si="44"/>
        <v>0</v>
      </c>
      <c r="T165">
        <f t="shared" si="45"/>
        <v>0</v>
      </c>
      <c r="U165">
        <f t="shared" si="40"/>
        <v>0</v>
      </c>
      <c r="V165">
        <f t="shared" si="46"/>
        <v>0</v>
      </c>
      <c r="W165">
        <f t="shared" si="34"/>
        <v>0</v>
      </c>
      <c r="X165">
        <f>SUM($W$34:W165)</f>
        <v>130.08360375000009</v>
      </c>
      <c r="Y165">
        <f t="shared" si="47"/>
        <v>0</v>
      </c>
    </row>
    <row r="166" spans="1:25">
      <c r="A166">
        <v>104.9849432</v>
      </c>
      <c r="B166" s="2">
        <f t="shared" si="32"/>
        <v>-1.2910631033284889E-2</v>
      </c>
      <c r="C166">
        <v>108.0054848</v>
      </c>
      <c r="D166" s="3">
        <f t="shared" si="33"/>
        <v>3.4671821203418637E-3</v>
      </c>
      <c r="E166" s="3">
        <f t="shared" si="35"/>
        <v>7.5802343753043535E-3</v>
      </c>
      <c r="F166" s="3">
        <f>STDEV($E$32:E166)</f>
        <v>1.3104639723051332E-2</v>
      </c>
      <c r="G166" s="14">
        <f t="shared" si="38"/>
        <v>0.57843897546992951</v>
      </c>
      <c r="H166" s="15">
        <f>yint($B$3:B166,$D$3:D166)</f>
        <v>4.2687020617991964E-4</v>
      </c>
      <c r="I166" s="16">
        <f>MyReg($B$3:B166,$D$3:D166)</f>
        <v>0.35164218150437709</v>
      </c>
      <c r="J166" s="17">
        <f>STDEV($D$3:D166)</f>
        <v>1.3602280508097806E-2</v>
      </c>
      <c r="K166" s="4">
        <f t="shared" si="36"/>
        <v>-4.1130522549624893E-3</v>
      </c>
      <c r="L166">
        <f t="shared" si="39"/>
        <v>0.57843897546992951</v>
      </c>
      <c r="M166">
        <f>RSQ($D$3:D166,$B$3:B166)</f>
        <v>0.11658982374254519</v>
      </c>
      <c r="N166">
        <v>134</v>
      </c>
      <c r="O166" t="str">
        <f t="shared" si="37"/>
        <v/>
      </c>
      <c r="P166" t="str">
        <f t="shared" si="41"/>
        <v/>
      </c>
      <c r="Q166">
        <f t="shared" si="42"/>
        <v>0</v>
      </c>
      <c r="R166">
        <f t="shared" si="43"/>
        <v>0</v>
      </c>
      <c r="S166">
        <f t="shared" si="44"/>
        <v>0</v>
      </c>
      <c r="T166">
        <f t="shared" si="45"/>
        <v>0</v>
      </c>
      <c r="U166">
        <f t="shared" si="40"/>
        <v>0</v>
      </c>
      <c r="V166">
        <f t="shared" si="46"/>
        <v>0</v>
      </c>
      <c r="W166">
        <f t="shared" si="34"/>
        <v>0</v>
      </c>
      <c r="X166">
        <f>SUM($W$34:W166)</f>
        <v>130.08360375000009</v>
      </c>
      <c r="Y166">
        <f t="shared" si="47"/>
        <v>0</v>
      </c>
    </row>
    <row r="167" spans="1:25">
      <c r="A167">
        <v>104.9855824</v>
      </c>
      <c r="B167" s="2">
        <f t="shared" si="32"/>
        <v>6.0884921257436453E-6</v>
      </c>
      <c r="C167">
        <v>108.8569706</v>
      </c>
      <c r="D167" s="3">
        <f t="shared" si="33"/>
        <v>7.883727401221681E-3</v>
      </c>
      <c r="E167" s="3">
        <f t="shared" si="35"/>
        <v>7.4094992723034679E-3</v>
      </c>
      <c r="F167" s="3">
        <f>STDEV($E$32:E167)</f>
        <v>1.3070043113368311E-2</v>
      </c>
      <c r="G167" s="14">
        <f t="shared" si="38"/>
        <v>0.56690702609273558</v>
      </c>
      <c r="H167" s="15">
        <f>yint($B$3:B167,$D$3:D167)</f>
        <v>4.7208775671827511E-4</v>
      </c>
      <c r="I167" s="16">
        <f>MyReg($B$3:B167,$D$3:D167)</f>
        <v>0.35154388898496503</v>
      </c>
      <c r="J167" s="17">
        <f>STDEV($D$3:D167)</f>
        <v>1.3572721804715398E-2</v>
      </c>
      <c r="K167" s="4">
        <f t="shared" si="36"/>
        <v>4.7422812891821339E-4</v>
      </c>
      <c r="L167">
        <f t="shared" si="39"/>
        <v>0.56690702609273558</v>
      </c>
      <c r="M167">
        <f>RSQ($D$3:D167,$B$3:B167)</f>
        <v>0.11631970571039744</v>
      </c>
      <c r="N167">
        <v>135</v>
      </c>
      <c r="O167" t="str">
        <f t="shared" si="37"/>
        <v/>
      </c>
      <c r="P167" t="str">
        <f t="shared" si="41"/>
        <v/>
      </c>
      <c r="Q167">
        <f t="shared" si="42"/>
        <v>0</v>
      </c>
      <c r="R167">
        <f t="shared" si="43"/>
        <v>0</v>
      </c>
      <c r="S167">
        <f t="shared" si="44"/>
        <v>0</v>
      </c>
      <c r="T167">
        <f t="shared" si="45"/>
        <v>0</v>
      </c>
      <c r="U167">
        <f t="shared" si="40"/>
        <v>0</v>
      </c>
      <c r="V167">
        <f t="shared" si="46"/>
        <v>0</v>
      </c>
      <c r="W167">
        <f t="shared" si="34"/>
        <v>0</v>
      </c>
      <c r="X167">
        <f>SUM($W$34:W167)</f>
        <v>130.08360375000009</v>
      </c>
      <c r="Y167">
        <f t="shared" si="47"/>
        <v>0</v>
      </c>
    </row>
    <row r="168" spans="1:25">
      <c r="A168">
        <v>104.73475310000001</v>
      </c>
      <c r="B168" s="2">
        <f t="shared" si="32"/>
        <v>-2.3891785354328079E-3</v>
      </c>
      <c r="C168">
        <v>108.9040688</v>
      </c>
      <c r="D168" s="3">
        <f t="shared" si="33"/>
        <v>4.3266131457095455E-4</v>
      </c>
      <c r="E168" s="3">
        <f t="shared" si="35"/>
        <v>7.9543916418944459E-4</v>
      </c>
      <c r="F168" s="3">
        <f>STDEV($E$32:E168)</f>
        <v>1.3021946412464498E-2</v>
      </c>
      <c r="G168" s="14">
        <f t="shared" si="38"/>
        <v>6.1084506032681632E-2</v>
      </c>
      <c r="H168" s="15">
        <f>yint($B$3:B168,$D$3:D168)</f>
        <v>4.7693812610705242E-4</v>
      </c>
      <c r="I168" s="16">
        <f>MyReg($B$3:B168,$D$3:D168)</f>
        <v>0.35146639871072882</v>
      </c>
      <c r="J168" s="17">
        <f>STDEV($D$3:D168)</f>
        <v>1.3531536528693515E-2</v>
      </c>
      <c r="K168" s="4">
        <f t="shared" si="36"/>
        <v>-3.6277784961849004E-4</v>
      </c>
      <c r="L168">
        <f t="shared" si="39"/>
        <v>6.1084506032681632E-2</v>
      </c>
      <c r="M168">
        <f>RSQ($D$3:D168,$B$3:B168)</f>
        <v>0.11629950418637817</v>
      </c>
      <c r="N168">
        <v>136</v>
      </c>
      <c r="O168" t="str">
        <f t="shared" si="37"/>
        <v/>
      </c>
      <c r="P168" t="str">
        <f t="shared" si="41"/>
        <v/>
      </c>
      <c r="Q168">
        <f t="shared" si="42"/>
        <v>0</v>
      </c>
      <c r="R168">
        <f t="shared" si="43"/>
        <v>0</v>
      </c>
      <c r="S168">
        <f t="shared" si="44"/>
        <v>0</v>
      </c>
      <c r="T168">
        <f t="shared" si="45"/>
        <v>0</v>
      </c>
      <c r="U168">
        <f t="shared" si="40"/>
        <v>0</v>
      </c>
      <c r="V168">
        <f t="shared" si="46"/>
        <v>0</v>
      </c>
      <c r="W168">
        <f t="shared" si="34"/>
        <v>0</v>
      </c>
      <c r="X168">
        <f>SUM($W$34:W168)</f>
        <v>130.08360375000009</v>
      </c>
      <c r="Y168">
        <f t="shared" si="47"/>
        <v>0</v>
      </c>
    </row>
    <row r="169" spans="1:25">
      <c r="A169">
        <v>106.5406813</v>
      </c>
      <c r="B169" s="2">
        <f t="shared" si="32"/>
        <v>1.7242874466660642E-2</v>
      </c>
      <c r="C169">
        <v>109.71019939999999</v>
      </c>
      <c r="D169" s="3">
        <f t="shared" si="33"/>
        <v>7.402208281863467E-3</v>
      </c>
      <c r="E169" s="3">
        <f t="shared" si="35"/>
        <v>8.513241032674446E-4</v>
      </c>
      <c r="F169" s="3">
        <f>STDEV($E$32:E169)</f>
        <v>1.2974389904221357E-2</v>
      </c>
      <c r="G169" s="14">
        <f t="shared" si="38"/>
        <v>6.5615732959470957E-2</v>
      </c>
      <c r="H169" s="15">
        <f>yint($B$3:B169,$D$3:D169)</f>
        <v>4.8188252931716496E-4</v>
      </c>
      <c r="I169" s="16">
        <f>MyReg($B$3:B169,$D$3:D169)</f>
        <v>0.35197157301199189</v>
      </c>
      <c r="J169" s="17">
        <f>STDEV($D$3:D169)</f>
        <v>1.3500967130452015E-2</v>
      </c>
      <c r="K169" s="4">
        <f t="shared" si="36"/>
        <v>6.5508841785960224E-3</v>
      </c>
      <c r="L169">
        <f t="shared" si="39"/>
        <v>6.5615732959470957E-2</v>
      </c>
      <c r="M169">
        <f>RSQ($D$3:D169,$B$3:B169)</f>
        <v>0.11761645258878477</v>
      </c>
      <c r="N169">
        <v>137</v>
      </c>
      <c r="O169" t="str">
        <f t="shared" si="37"/>
        <v/>
      </c>
      <c r="P169" t="str">
        <f t="shared" si="41"/>
        <v/>
      </c>
      <c r="Q169">
        <f t="shared" si="42"/>
        <v>0</v>
      </c>
      <c r="R169">
        <f t="shared" si="43"/>
        <v>0</v>
      </c>
      <c r="S169">
        <f t="shared" si="44"/>
        <v>0</v>
      </c>
      <c r="T169">
        <f t="shared" si="45"/>
        <v>0</v>
      </c>
      <c r="U169">
        <f t="shared" si="40"/>
        <v>0</v>
      </c>
      <c r="V169">
        <f t="shared" si="46"/>
        <v>0</v>
      </c>
      <c r="W169">
        <f t="shared" si="34"/>
        <v>0</v>
      </c>
      <c r="X169">
        <f>SUM($W$34:W169)</f>
        <v>130.08360375000009</v>
      </c>
      <c r="Y169">
        <f t="shared" si="47"/>
        <v>0</v>
      </c>
    </row>
    <row r="170" spans="1:25">
      <c r="A170">
        <v>105.5453459</v>
      </c>
      <c r="B170" s="2">
        <f t="shared" si="32"/>
        <v>-9.3423036895860529E-3</v>
      </c>
      <c r="C170">
        <v>110.498693</v>
      </c>
      <c r="D170" s="3">
        <f t="shared" si="33"/>
        <v>7.1870583073610711E-3</v>
      </c>
      <c r="E170" s="3">
        <f t="shared" si="35"/>
        <v>9.9009609689462083E-3</v>
      </c>
      <c r="F170" s="3">
        <f>STDEV($E$32:E170)</f>
        <v>1.2952351235471185E-2</v>
      </c>
      <c r="G170" s="14">
        <f t="shared" si="38"/>
        <v>0.76441418156045149</v>
      </c>
      <c r="H170" s="15">
        <f>yint($B$3:B170,$D$3:D170)</f>
        <v>5.4274294001111628E-4</v>
      </c>
      <c r="I170" s="16">
        <f>MyReg($B$3:B170,$D$3:D170)</f>
        <v>0.34859128003154766</v>
      </c>
      <c r="J170" s="17">
        <f>STDEV($D$3:D170)</f>
        <v>1.346994205134827E-2</v>
      </c>
      <c r="K170" s="4">
        <f t="shared" si="36"/>
        <v>-2.7139026615851363E-3</v>
      </c>
      <c r="L170">
        <f t="shared" si="39"/>
        <v>0.76441418156045149</v>
      </c>
      <c r="M170">
        <f>RSQ($D$3:D170,$B$3:B170)</f>
        <v>0.11558966857522228</v>
      </c>
      <c r="N170">
        <v>138</v>
      </c>
      <c r="O170" t="str">
        <f t="shared" si="37"/>
        <v/>
      </c>
      <c r="P170" t="str">
        <f t="shared" si="41"/>
        <v/>
      </c>
      <c r="Q170">
        <f t="shared" si="42"/>
        <v>0</v>
      </c>
      <c r="R170">
        <f t="shared" si="43"/>
        <v>0</v>
      </c>
      <c r="S170">
        <f t="shared" si="44"/>
        <v>0</v>
      </c>
      <c r="T170">
        <f t="shared" si="45"/>
        <v>0</v>
      </c>
      <c r="U170">
        <f t="shared" si="40"/>
        <v>0</v>
      </c>
      <c r="V170">
        <f t="shared" si="46"/>
        <v>0</v>
      </c>
      <c r="W170">
        <f t="shared" si="34"/>
        <v>0</v>
      </c>
      <c r="X170">
        <f>SUM($W$34:W170)</f>
        <v>130.08360375000009</v>
      </c>
      <c r="Y170">
        <f t="shared" si="47"/>
        <v>0</v>
      </c>
    </row>
    <row r="171" spans="1:25">
      <c r="A171">
        <v>103.4819876</v>
      </c>
      <c r="B171" s="2">
        <f t="shared" si="32"/>
        <v>-1.9549495834282962E-2</v>
      </c>
      <c r="C171">
        <v>112.11992239999999</v>
      </c>
      <c r="D171" s="3">
        <f t="shared" si="33"/>
        <v>1.4671932816436029E-2</v>
      </c>
      <c r="E171" s="3">
        <f t="shared" si="35"/>
        <v>2.0537936843739817E-2</v>
      </c>
      <c r="F171" s="3">
        <f>STDEV($E$32:E171)</f>
        <v>1.3016584729107872E-2</v>
      </c>
      <c r="G171" s="14">
        <f t="shared" si="38"/>
        <v>1.5778283836475624</v>
      </c>
      <c r="H171" s="15">
        <f>yint($B$3:B171,$D$3:D171)</f>
        <v>6.7078063919843241E-4</v>
      </c>
      <c r="I171" s="16">
        <f>MyReg($B$3:B171,$D$3:D171)</f>
        <v>0.33437100996942293</v>
      </c>
      <c r="J171" s="17">
        <f>STDEV($D$3:D171)</f>
        <v>1.3472824625586844E-2</v>
      </c>
      <c r="K171" s="4">
        <f t="shared" si="36"/>
        <v>-5.8660040273037879E-3</v>
      </c>
      <c r="L171">
        <f t="shared" si="39"/>
        <v>1.5778283836475624</v>
      </c>
      <c r="M171">
        <f>RSQ($D$3:D171,$B$3:B171)</f>
        <v>0.10712464386123786</v>
      </c>
      <c r="N171">
        <v>139</v>
      </c>
      <c r="O171" t="str">
        <f t="shared" si="37"/>
        <v>sellY</v>
      </c>
      <c r="P171" t="str">
        <f t="shared" si="41"/>
        <v/>
      </c>
      <c r="Q171">
        <f t="shared" si="42"/>
        <v>10</v>
      </c>
      <c r="R171">
        <f t="shared" si="43"/>
        <v>0</v>
      </c>
      <c r="S171">
        <f t="shared" si="44"/>
        <v>-10</v>
      </c>
      <c r="T171">
        <f t="shared" si="45"/>
        <v>0</v>
      </c>
      <c r="U171">
        <f t="shared" si="40"/>
        <v>20</v>
      </c>
      <c r="V171">
        <f t="shared" si="46"/>
        <v>10</v>
      </c>
      <c r="W171">
        <f t="shared" si="34"/>
        <v>86.379347999999965</v>
      </c>
      <c r="X171">
        <f>SUM($W$34:W171)</f>
        <v>216.46295175000006</v>
      </c>
      <c r="Y171">
        <f t="shared" si="47"/>
        <v>0</v>
      </c>
    </row>
    <row r="172" spans="1:25">
      <c r="A172">
        <v>104.5612576</v>
      </c>
      <c r="B172" s="2">
        <f t="shared" si="32"/>
        <v>1.0429544551964213E-2</v>
      </c>
      <c r="C172">
        <v>114.6334602</v>
      </c>
      <c r="D172" s="3">
        <f t="shared" si="33"/>
        <v>2.2418297713698819E-2</v>
      </c>
      <c r="E172" s="3">
        <f t="shared" si="35"/>
        <v>1.8089477299334047E-2</v>
      </c>
      <c r="F172" s="3">
        <f>STDEV($E$32:E172)</f>
        <v>1.3053197414227192E-2</v>
      </c>
      <c r="G172" s="14">
        <f t="shared" si="38"/>
        <v>1.3858272977330148</v>
      </c>
      <c r="H172" s="15">
        <f>yint($B$3:B172,$D$3:D172)</f>
        <v>7.7600493606159754E-4</v>
      </c>
      <c r="I172" s="16">
        <f>MyReg($B$3:B172,$D$3:D172)</f>
        <v>0.34064914921275885</v>
      </c>
      <c r="J172" s="17">
        <f>STDEV($D$3:D172)</f>
        <v>1.3535152727630458E-2</v>
      </c>
      <c r="K172" s="4">
        <f t="shared" si="36"/>
        <v>4.3288204143647714E-3</v>
      </c>
      <c r="L172">
        <f t="shared" si="39"/>
        <v>1.3858272977330148</v>
      </c>
      <c r="M172">
        <f>RSQ($D$3:D172,$B$3:B172)</f>
        <v>0.10989480345770371</v>
      </c>
      <c r="N172">
        <v>140</v>
      </c>
      <c r="O172" t="str">
        <f t="shared" si="37"/>
        <v/>
      </c>
      <c r="P172" t="str">
        <f t="shared" si="41"/>
        <v>sellhold</v>
      </c>
      <c r="Q172">
        <f t="shared" si="42"/>
        <v>10</v>
      </c>
      <c r="R172">
        <f t="shared" si="43"/>
        <v>0</v>
      </c>
      <c r="S172">
        <f t="shared" si="44"/>
        <v>-10</v>
      </c>
      <c r="T172">
        <f t="shared" si="45"/>
        <v>0</v>
      </c>
      <c r="U172">
        <f t="shared" si="40"/>
        <v>20</v>
      </c>
      <c r="V172">
        <f t="shared" si="46"/>
        <v>0</v>
      </c>
      <c r="W172">
        <f t="shared" si="34"/>
        <v>0</v>
      </c>
      <c r="X172">
        <f>SUM($W$34:W172)</f>
        <v>216.46295175000006</v>
      </c>
      <c r="Y172">
        <f t="shared" si="47"/>
        <v>0</v>
      </c>
    </row>
    <row r="173" spans="1:25">
      <c r="A173">
        <v>105.0126245</v>
      </c>
      <c r="B173" s="2">
        <f t="shared" si="32"/>
        <v>4.316770000287338E-3</v>
      </c>
      <c r="C173">
        <v>113.3786719</v>
      </c>
      <c r="D173" s="3">
        <f t="shared" si="33"/>
        <v>-1.0946091113456603E-2</v>
      </c>
      <c r="E173" s="3">
        <f t="shared" si="35"/>
        <v>-1.3108451782172598E-2</v>
      </c>
      <c r="F173" s="3">
        <f>STDEV($E$32:E173)</f>
        <v>1.3058661606497537E-2</v>
      </c>
      <c r="G173" s="14">
        <f t="shared" si="38"/>
        <v>-1.0038128084772704</v>
      </c>
      <c r="H173" s="15">
        <f>yint($B$3:B173,$D$3:D173)</f>
        <v>6.9951482151892909E-4</v>
      </c>
      <c r="I173" s="16">
        <f>MyReg($B$3:B173,$D$3:D173)</f>
        <v>0.33887509575439351</v>
      </c>
      <c r="J173" s="17">
        <f>STDEV($D$3:D173)</f>
        <v>1.3525628486907703E-2</v>
      </c>
      <c r="K173" s="4">
        <f t="shared" si="36"/>
        <v>2.1623606687159944E-3</v>
      </c>
      <c r="L173">
        <f t="shared" si="39"/>
        <v>-1.0038128084772704</v>
      </c>
      <c r="M173">
        <f>RSQ($D$3:D173,$B$3:B173)</f>
        <v>0.10832354124963779</v>
      </c>
      <c r="N173">
        <v>141</v>
      </c>
      <c r="O173" t="str">
        <f t="shared" si="37"/>
        <v/>
      </c>
      <c r="P173" t="str">
        <f t="shared" si="41"/>
        <v>close</v>
      </c>
      <c r="Q173">
        <f t="shared" si="42"/>
        <v>0</v>
      </c>
      <c r="R173">
        <f t="shared" si="43"/>
        <v>0</v>
      </c>
      <c r="S173">
        <f t="shared" si="44"/>
        <v>0</v>
      </c>
      <c r="T173">
        <f t="shared" si="45"/>
        <v>0</v>
      </c>
      <c r="U173">
        <f t="shared" si="40"/>
        <v>0</v>
      </c>
      <c r="V173">
        <f t="shared" si="46"/>
        <v>-10</v>
      </c>
      <c r="W173">
        <f t="shared" si="34"/>
        <v>-83.660473999999994</v>
      </c>
      <c r="X173">
        <f>SUM($W$34:W173)</f>
        <v>132.80247775000007</v>
      </c>
      <c r="Y173">
        <f t="shared" si="47"/>
        <v>132.80247775000007</v>
      </c>
    </row>
    <row r="174" spans="1:25">
      <c r="A174">
        <v>104.7411913</v>
      </c>
      <c r="B174" s="2">
        <f t="shared" si="32"/>
        <v>-2.5847673200473545E-3</v>
      </c>
      <c r="C174">
        <v>111.4903461</v>
      </c>
      <c r="D174" s="3">
        <f t="shared" si="33"/>
        <v>-1.6655035452042583E-2</v>
      </c>
      <c r="E174" s="3">
        <f t="shared" si="35"/>
        <v>-1.6377979245877514E-2</v>
      </c>
      <c r="F174" s="3">
        <f>STDEV($E$32:E174)</f>
        <v>1.3090233970453632E-2</v>
      </c>
      <c r="G174" s="14">
        <f t="shared" si="38"/>
        <v>-1.2511601612961809</v>
      </c>
      <c r="H174" s="15">
        <f>yint($B$3:B174,$D$3:D174)</f>
        <v>6.0312347316224062E-4</v>
      </c>
      <c r="I174" s="16">
        <f>MyReg($B$3:B174,$D$3:D174)</f>
        <v>0.34052569161667678</v>
      </c>
      <c r="J174" s="17">
        <f>STDEV($D$3:D174)</f>
        <v>1.3551728762732175E-2</v>
      </c>
      <c r="K174" s="4">
        <f t="shared" si="36"/>
        <v>-2.7705620616506887E-4</v>
      </c>
      <c r="L174">
        <f t="shared" si="39"/>
        <v>-1.2511601612961809</v>
      </c>
      <c r="M174">
        <f>RSQ($D$3:D174,$B$3:B174)</f>
        <v>0.10835532580576604</v>
      </c>
      <c r="N174">
        <v>142</v>
      </c>
      <c r="O174" t="str">
        <f t="shared" si="37"/>
        <v/>
      </c>
      <c r="P174" t="str">
        <f t="shared" si="41"/>
        <v/>
      </c>
      <c r="Q174">
        <f t="shared" si="42"/>
        <v>0</v>
      </c>
      <c r="R174">
        <f t="shared" si="43"/>
        <v>0</v>
      </c>
      <c r="S174">
        <f t="shared" si="44"/>
        <v>0</v>
      </c>
      <c r="T174">
        <f t="shared" si="45"/>
        <v>0</v>
      </c>
      <c r="U174">
        <f t="shared" si="40"/>
        <v>0</v>
      </c>
      <c r="V174">
        <f t="shared" si="46"/>
        <v>0</v>
      </c>
      <c r="W174">
        <f t="shared" si="34"/>
        <v>0</v>
      </c>
      <c r="X174">
        <f>SUM($W$34:W174)</f>
        <v>132.80247775000007</v>
      </c>
      <c r="Y174">
        <f t="shared" si="47"/>
        <v>0</v>
      </c>
    </row>
    <row r="175" spans="1:25">
      <c r="A175">
        <v>102.8646284</v>
      </c>
      <c r="B175" s="2">
        <f t="shared" si="32"/>
        <v>-1.7916188241788655E-2</v>
      </c>
      <c r="C175">
        <v>112.65692629999999</v>
      </c>
      <c r="D175" s="3">
        <f t="shared" si="33"/>
        <v>1.0463508642745156E-2</v>
      </c>
      <c r="E175" s="3">
        <f t="shared" si="35"/>
        <v>1.5691574444130753E-2</v>
      </c>
      <c r="F175" s="3">
        <f>STDEV($E$32:E175)</f>
        <v>1.3105460732331353E-2</v>
      </c>
      <c r="G175" s="14">
        <f t="shared" si="38"/>
        <v>1.1973310030542781</v>
      </c>
      <c r="H175" s="15">
        <f>yint($B$3:B175,$D$3:D175)</f>
        <v>6.9781805373399643E-4</v>
      </c>
      <c r="I175" s="16">
        <f>MyReg($B$3:B175,$D$3:D175)</f>
        <v>0.33075583796880137</v>
      </c>
      <c r="J175" s="17">
        <f>STDEV($D$3:D175)</f>
        <v>1.3532551487124646E-2</v>
      </c>
      <c r="K175" s="4">
        <f t="shared" si="36"/>
        <v>-5.2280658013855955E-3</v>
      </c>
      <c r="L175">
        <f t="shared" si="39"/>
        <v>1.1973310030542781</v>
      </c>
      <c r="M175">
        <f>RSQ($D$3:D175,$B$3:B175)</f>
        <v>0.10307361521764312</v>
      </c>
      <c r="N175">
        <v>143</v>
      </c>
      <c r="O175" t="str">
        <f t="shared" si="37"/>
        <v/>
      </c>
      <c r="P175" t="str">
        <f t="shared" si="41"/>
        <v/>
      </c>
      <c r="Q175">
        <f t="shared" si="42"/>
        <v>0</v>
      </c>
      <c r="R175">
        <f t="shared" si="43"/>
        <v>0</v>
      </c>
      <c r="S175">
        <f t="shared" si="44"/>
        <v>0</v>
      </c>
      <c r="T175">
        <f t="shared" si="45"/>
        <v>0</v>
      </c>
      <c r="U175">
        <f t="shared" si="40"/>
        <v>0</v>
      </c>
      <c r="V175">
        <f t="shared" si="46"/>
        <v>0</v>
      </c>
      <c r="W175">
        <f t="shared" si="34"/>
        <v>0</v>
      </c>
      <c r="X175">
        <f>SUM($W$34:W175)</f>
        <v>132.80247775000007</v>
      </c>
      <c r="Y175">
        <f t="shared" si="47"/>
        <v>0</v>
      </c>
    </row>
    <row r="176" spans="1:25">
      <c r="A176">
        <v>102.9928955</v>
      </c>
      <c r="B176" s="2">
        <f t="shared" si="32"/>
        <v>1.2469505017917528E-3</v>
      </c>
      <c r="C176">
        <v>110.6153832</v>
      </c>
      <c r="D176" s="3">
        <f t="shared" si="33"/>
        <v>-1.8121771710364856E-2</v>
      </c>
      <c r="E176" s="3">
        <f t="shared" si="35"/>
        <v>-1.9120859064271068E-2</v>
      </c>
      <c r="F176" s="3">
        <f>STDEV($E$32:E176)</f>
        <v>1.3162487842105646E-2</v>
      </c>
      <c r="G176" s="14">
        <f t="shared" si="38"/>
        <v>-1.4526781937913831</v>
      </c>
      <c r="H176" s="15">
        <f>yint($B$3:B176,$D$3:D176)</f>
        <v>5.8745295803353317E-4</v>
      </c>
      <c r="I176" s="16">
        <f>MyReg($B$3:B176,$D$3:D176)</f>
        <v>0.33011285955713493</v>
      </c>
      <c r="J176" s="17">
        <f>STDEV($D$3:D176)</f>
        <v>1.3569257507955354E-2</v>
      </c>
      <c r="K176" s="4">
        <f t="shared" si="36"/>
        <v>9.9908735390621299E-4</v>
      </c>
      <c r="L176">
        <f t="shared" si="39"/>
        <v>-1.4526781937913831</v>
      </c>
      <c r="M176">
        <f>RSQ($D$3:D176,$B$3:B176)</f>
        <v>0.1015316394424805</v>
      </c>
      <c r="N176">
        <v>144</v>
      </c>
      <c r="O176" t="str">
        <f t="shared" si="37"/>
        <v/>
      </c>
      <c r="P176" t="str">
        <f t="shared" si="41"/>
        <v/>
      </c>
      <c r="Q176">
        <f t="shared" si="42"/>
        <v>0</v>
      </c>
      <c r="R176">
        <f t="shared" si="43"/>
        <v>0</v>
      </c>
      <c r="S176">
        <f t="shared" si="44"/>
        <v>0</v>
      </c>
      <c r="T176">
        <f t="shared" si="45"/>
        <v>0</v>
      </c>
      <c r="U176">
        <f t="shared" si="40"/>
        <v>0</v>
      </c>
      <c r="V176">
        <f t="shared" si="46"/>
        <v>0</v>
      </c>
      <c r="W176">
        <f t="shared" si="34"/>
        <v>0</v>
      </c>
      <c r="X176">
        <f>SUM($W$34:W176)</f>
        <v>132.80247775000007</v>
      </c>
      <c r="Y176">
        <f t="shared" si="47"/>
        <v>0</v>
      </c>
    </row>
    <row r="177" spans="1:25">
      <c r="A177">
        <v>103.6297273</v>
      </c>
      <c r="B177" s="2">
        <f t="shared" si="32"/>
        <v>6.1832595045353969E-3</v>
      </c>
      <c r="C177">
        <v>111.2941194</v>
      </c>
      <c r="D177" s="3">
        <f t="shared" si="33"/>
        <v>6.1360018865803017E-3</v>
      </c>
      <c r="E177" s="3">
        <f t="shared" si="35"/>
        <v>3.4832317183963214E-3</v>
      </c>
      <c r="F177" s="3">
        <f>STDEV($E$32:E177)</f>
        <v>1.3119352232663797E-2</v>
      </c>
      <c r="G177" s="14">
        <f t="shared" si="38"/>
        <v>0.2655033310047103</v>
      </c>
      <c r="H177" s="15">
        <f>yint($B$3:B177,$D$3:D177)</f>
        <v>6.0729428272759197E-4</v>
      </c>
      <c r="I177" s="16">
        <f>MyReg($B$3:B177,$D$3:D177)</f>
        <v>0.33080867525550883</v>
      </c>
      <c r="J177" s="17">
        <f>STDEV($D$3:D177)</f>
        <v>1.3536513265188408E-2</v>
      </c>
      <c r="K177" s="4">
        <f t="shared" si="36"/>
        <v>2.6527701681839802E-3</v>
      </c>
      <c r="L177">
        <f t="shared" si="39"/>
        <v>0.2655033310047103</v>
      </c>
      <c r="M177">
        <f>RSQ($D$3:D177,$B$3:B177)</f>
        <v>0.10198511317100746</v>
      </c>
      <c r="N177">
        <v>145</v>
      </c>
      <c r="O177" t="str">
        <f t="shared" si="37"/>
        <v/>
      </c>
      <c r="P177" t="str">
        <f t="shared" si="41"/>
        <v/>
      </c>
      <c r="Q177">
        <f t="shared" si="42"/>
        <v>0</v>
      </c>
      <c r="R177">
        <f t="shared" si="43"/>
        <v>0</v>
      </c>
      <c r="S177">
        <f t="shared" si="44"/>
        <v>0</v>
      </c>
      <c r="T177">
        <f t="shared" si="45"/>
        <v>0</v>
      </c>
      <c r="U177">
        <f t="shared" si="40"/>
        <v>0</v>
      </c>
      <c r="V177">
        <f t="shared" si="46"/>
        <v>0</v>
      </c>
      <c r="W177">
        <f t="shared" si="34"/>
        <v>0</v>
      </c>
      <c r="X177">
        <f>SUM($W$34:W177)</f>
        <v>132.80247775000007</v>
      </c>
      <c r="Y177">
        <f t="shared" si="47"/>
        <v>0</v>
      </c>
    </row>
    <row r="178" spans="1:25">
      <c r="A178">
        <v>102.1791315</v>
      </c>
      <c r="B178" s="2">
        <f t="shared" si="32"/>
        <v>-1.3997873368909291E-2</v>
      </c>
      <c r="C178">
        <v>109.14260899999999</v>
      </c>
      <c r="D178" s="3">
        <f t="shared" si="33"/>
        <v>-1.9331752761053846E-2</v>
      </c>
      <c r="E178" s="3">
        <f t="shared" si="35"/>
        <v>-1.5118189867899912E-2</v>
      </c>
      <c r="F178" s="3">
        <f>STDEV($E$32:E178)</f>
        <v>1.3137778579094837E-2</v>
      </c>
      <c r="G178" s="14">
        <f t="shared" si="38"/>
        <v>-1.1507417161038438</v>
      </c>
      <c r="H178" s="15">
        <f>yint($B$3:B178,$D$3:D178)</f>
        <v>5.1880668339192944E-4</v>
      </c>
      <c r="I178" s="16">
        <f>MyReg($B$3:B178,$D$3:D178)</f>
        <v>0.33807775308618943</v>
      </c>
      <c r="J178" s="17">
        <f>STDEV($D$3:D178)</f>
        <v>1.35819991811135E-2</v>
      </c>
      <c r="K178" s="4">
        <f t="shared" si="36"/>
        <v>-4.2135628931539324E-3</v>
      </c>
      <c r="L178">
        <f t="shared" si="39"/>
        <v>-1.1507417161038438</v>
      </c>
      <c r="M178">
        <f>RSQ($D$3:D178,$B$3:B178)</f>
        <v>0.10591801358245712</v>
      </c>
      <c r="N178">
        <v>146</v>
      </c>
      <c r="O178" t="str">
        <f t="shared" si="37"/>
        <v/>
      </c>
      <c r="P178" t="str">
        <f t="shared" si="41"/>
        <v/>
      </c>
      <c r="Q178">
        <f t="shared" si="42"/>
        <v>0</v>
      </c>
      <c r="R178">
        <f t="shared" si="43"/>
        <v>0</v>
      </c>
      <c r="S178">
        <f t="shared" si="44"/>
        <v>0</v>
      </c>
      <c r="T178">
        <f t="shared" si="45"/>
        <v>0</v>
      </c>
      <c r="U178">
        <f t="shared" si="40"/>
        <v>0</v>
      </c>
      <c r="V178">
        <f t="shared" si="46"/>
        <v>0</v>
      </c>
      <c r="W178">
        <f t="shared" si="34"/>
        <v>0</v>
      </c>
      <c r="X178">
        <f>SUM($W$34:W178)</f>
        <v>132.80247775000007</v>
      </c>
      <c r="Y178">
        <f t="shared" si="47"/>
        <v>0</v>
      </c>
    </row>
    <row r="179" spans="1:25">
      <c r="A179">
        <v>102.67820570000001</v>
      </c>
      <c r="B179" s="2">
        <f t="shared" si="32"/>
        <v>4.8843065376809325E-3</v>
      </c>
      <c r="C179">
        <v>110.3205786</v>
      </c>
      <c r="D179" s="3">
        <f t="shared" si="33"/>
        <v>1.0792939721644473E-2</v>
      </c>
      <c r="E179" s="3">
        <f t="shared" si="35"/>
        <v>8.5679118890743117E-3</v>
      </c>
      <c r="F179" s="3">
        <f>STDEV($E$32:E179)</f>
        <v>1.3110179758976655E-2</v>
      </c>
      <c r="G179" s="14">
        <f t="shared" si="38"/>
        <v>0.65353122890689486</v>
      </c>
      <c r="H179" s="15">
        <f>yint($B$3:B179,$D$3:D179)</f>
        <v>5.672101461342042E-4</v>
      </c>
      <c r="I179" s="16">
        <f>MyReg($B$3:B179,$D$3:D179)</f>
        <v>0.3394172076724507</v>
      </c>
      <c r="J179" s="17">
        <f>STDEV($D$3:D179)</f>
        <v>1.3565059188461414E-2</v>
      </c>
      <c r="K179" s="4">
        <f t="shared" si="36"/>
        <v>2.2250278325701622E-3</v>
      </c>
      <c r="L179">
        <f t="shared" si="39"/>
        <v>0.65353122890689486</v>
      </c>
      <c r="M179">
        <f>RSQ($D$3:D179,$B$3:B179)</f>
        <v>0.10649503845036025</v>
      </c>
      <c r="N179">
        <v>147</v>
      </c>
      <c r="O179" t="str">
        <f t="shared" si="37"/>
        <v/>
      </c>
      <c r="P179" t="str">
        <f t="shared" si="41"/>
        <v/>
      </c>
      <c r="Q179">
        <f t="shared" si="42"/>
        <v>0</v>
      </c>
      <c r="R179">
        <f t="shared" si="43"/>
        <v>0</v>
      </c>
      <c r="S179">
        <f t="shared" si="44"/>
        <v>0</v>
      </c>
      <c r="T179">
        <f t="shared" si="45"/>
        <v>0</v>
      </c>
      <c r="U179">
        <f t="shared" si="40"/>
        <v>0</v>
      </c>
      <c r="V179">
        <f t="shared" si="46"/>
        <v>0</v>
      </c>
      <c r="W179">
        <f t="shared" si="34"/>
        <v>0</v>
      </c>
      <c r="X179">
        <f>SUM($W$34:W179)</f>
        <v>132.80247775000007</v>
      </c>
      <c r="Y179">
        <f t="shared" si="47"/>
        <v>0</v>
      </c>
    </row>
    <row r="180" spans="1:25">
      <c r="A180">
        <v>101.0481582</v>
      </c>
      <c r="B180" s="2">
        <f t="shared" si="32"/>
        <v>-1.5875301763283573E-2</v>
      </c>
      <c r="C180">
        <v>108.6184605</v>
      </c>
      <c r="D180" s="3">
        <f t="shared" si="33"/>
        <v>-1.5428835867255023E-2</v>
      </c>
      <c r="E180" s="3">
        <f t="shared" si="35"/>
        <v>-1.0457959356215393E-2</v>
      </c>
      <c r="F180" s="3">
        <f>STDEV($E$32:E180)</f>
        <v>1.3096417459036773E-2</v>
      </c>
      <c r="G180" s="14">
        <f t="shared" si="38"/>
        <v>-0.79853588883570648</v>
      </c>
      <c r="H180" s="15">
        <f>yint($B$3:B180,$D$3:D180)</f>
        <v>5.0680961324339822E-4</v>
      </c>
      <c r="I180" s="16">
        <f>MyReg($B$3:B180,$D$3:D180)</f>
        <v>0.34504453559124343</v>
      </c>
      <c r="J180" s="17">
        <f>STDEV($D$3:D180)</f>
        <v>1.3580243551511998E-2</v>
      </c>
      <c r="K180" s="4">
        <f t="shared" si="36"/>
        <v>-4.9708765110396298E-3</v>
      </c>
      <c r="L180">
        <f t="shared" si="39"/>
        <v>-0.79853588883570648</v>
      </c>
      <c r="M180">
        <f>RSQ($D$3:D180,$B$3:B180)</f>
        <v>0.11013034398131569</v>
      </c>
      <c r="N180">
        <v>148</v>
      </c>
      <c r="O180" t="str">
        <f t="shared" si="37"/>
        <v/>
      </c>
      <c r="P180" t="str">
        <f t="shared" si="41"/>
        <v/>
      </c>
      <c r="Q180">
        <f t="shared" si="42"/>
        <v>0</v>
      </c>
      <c r="R180">
        <f t="shared" si="43"/>
        <v>0</v>
      </c>
      <c r="S180">
        <f t="shared" si="44"/>
        <v>0</v>
      </c>
      <c r="T180">
        <f t="shared" si="45"/>
        <v>0</v>
      </c>
      <c r="U180">
        <f t="shared" si="40"/>
        <v>0</v>
      </c>
      <c r="V180">
        <f t="shared" si="46"/>
        <v>0</v>
      </c>
      <c r="W180">
        <f t="shared" si="34"/>
        <v>0</v>
      </c>
      <c r="X180">
        <f>SUM($W$34:W180)</f>
        <v>132.80247775000007</v>
      </c>
      <c r="Y180">
        <f t="shared" si="47"/>
        <v>0</v>
      </c>
    </row>
    <row r="181" spans="1:25">
      <c r="A181">
        <v>101.85127629999999</v>
      </c>
      <c r="B181" s="2">
        <f t="shared" si="32"/>
        <v>7.947874699610228E-3</v>
      </c>
      <c r="C181">
        <v>108.7272442</v>
      </c>
      <c r="D181" s="3">
        <f t="shared" si="33"/>
        <v>1.0015212837600805E-3</v>
      </c>
      <c r="E181" s="3">
        <f t="shared" si="35"/>
        <v>-2.2306278485392139E-3</v>
      </c>
      <c r="F181" s="3">
        <f>STDEV($E$32:E181)</f>
        <v>1.305415107537798E-2</v>
      </c>
      <c r="G181" s="14">
        <f t="shared" si="38"/>
        <v>-0.1708749834178418</v>
      </c>
      <c r="H181" s="15">
        <f>yint($B$3:B181,$D$3:D181)</f>
        <v>4.943606490775363E-4</v>
      </c>
      <c r="I181" s="16">
        <f>MyReg($B$3:B181,$D$3:D181)</f>
        <v>0.3444679976341376</v>
      </c>
      <c r="J181" s="17">
        <f>STDEV($D$3:D181)</f>
        <v>1.3542083963419087E-2</v>
      </c>
      <c r="K181" s="4">
        <f t="shared" si="36"/>
        <v>3.2321491322992945E-3</v>
      </c>
      <c r="L181">
        <f t="shared" si="39"/>
        <v>-0.1708749834178418</v>
      </c>
      <c r="M181">
        <f>RSQ($D$3:D181,$B$3:B181)</f>
        <v>0.10998212675900051</v>
      </c>
      <c r="N181">
        <v>149</v>
      </c>
      <c r="O181" t="str">
        <f t="shared" si="37"/>
        <v/>
      </c>
      <c r="P181" t="str">
        <f t="shared" si="41"/>
        <v/>
      </c>
      <c r="Q181">
        <f t="shared" si="42"/>
        <v>0</v>
      </c>
      <c r="R181">
        <f t="shared" si="43"/>
        <v>0</v>
      </c>
      <c r="S181">
        <f t="shared" si="44"/>
        <v>0</v>
      </c>
      <c r="T181">
        <f t="shared" si="45"/>
        <v>0</v>
      </c>
      <c r="U181">
        <f t="shared" si="40"/>
        <v>0</v>
      </c>
      <c r="V181">
        <f t="shared" si="46"/>
        <v>0</v>
      </c>
      <c r="W181">
        <f t="shared" si="34"/>
        <v>0</v>
      </c>
      <c r="X181">
        <f>SUM($W$34:W181)</f>
        <v>132.80247775000007</v>
      </c>
      <c r="Y181">
        <f t="shared" si="47"/>
        <v>0</v>
      </c>
    </row>
    <row r="182" spans="1:25">
      <c r="A182">
        <v>100.64408640000001</v>
      </c>
      <c r="B182" s="2">
        <f t="shared" si="32"/>
        <v>-1.1852476904111106E-2</v>
      </c>
      <c r="C182">
        <v>107.71664</v>
      </c>
      <c r="D182" s="3">
        <f t="shared" si="33"/>
        <v>-9.2948571210085262E-3</v>
      </c>
      <c r="E182" s="3">
        <f t="shared" si="35"/>
        <v>-5.6478099271876879E-3</v>
      </c>
      <c r="F182" s="3">
        <f>STDEV($E$32:E182)</f>
        <v>1.3019789148237865E-2</v>
      </c>
      <c r="G182" s="14">
        <f t="shared" si="38"/>
        <v>-0.4337865892361305</v>
      </c>
      <c r="H182" s="15">
        <f>yint($B$3:B182,$D$3:D182)</f>
        <v>4.6238847023781184E-4</v>
      </c>
      <c r="I182" s="16">
        <f>MyReg($B$3:B182,$D$3:D182)</f>
        <v>0.34671534880892846</v>
      </c>
      <c r="J182" s="17">
        <f>STDEV($D$3:D182)</f>
        <v>1.3524161121676023E-2</v>
      </c>
      <c r="K182" s="4">
        <f t="shared" si="36"/>
        <v>-3.6470471938208388E-3</v>
      </c>
      <c r="L182">
        <f t="shared" si="39"/>
        <v>-0.4337865892361305</v>
      </c>
      <c r="M182">
        <f>RSQ($D$3:D182,$B$3:B182)</f>
        <v>0.11162253614274793</v>
      </c>
      <c r="N182">
        <v>150</v>
      </c>
      <c r="O182" t="str">
        <f t="shared" si="37"/>
        <v/>
      </c>
      <c r="P182" t="str">
        <f t="shared" si="41"/>
        <v/>
      </c>
      <c r="Q182">
        <f t="shared" si="42"/>
        <v>0</v>
      </c>
      <c r="R182">
        <f t="shared" si="43"/>
        <v>0</v>
      </c>
      <c r="S182">
        <f t="shared" si="44"/>
        <v>0</v>
      </c>
      <c r="T182">
        <f t="shared" si="45"/>
        <v>0</v>
      </c>
      <c r="U182">
        <f t="shared" si="40"/>
        <v>0</v>
      </c>
      <c r="V182">
        <f t="shared" si="46"/>
        <v>0</v>
      </c>
      <c r="W182">
        <f t="shared" si="34"/>
        <v>0</v>
      </c>
      <c r="X182">
        <f>SUM($W$34:W182)</f>
        <v>132.80247775000007</v>
      </c>
      <c r="Y182">
        <f t="shared" si="47"/>
        <v>0</v>
      </c>
    </row>
    <row r="183" spans="1:25">
      <c r="A183">
        <v>100.16987640000001</v>
      </c>
      <c r="B183" s="2">
        <f t="shared" si="32"/>
        <v>-4.7117522445908888E-3</v>
      </c>
      <c r="C183">
        <v>105.44878370000001</v>
      </c>
      <c r="D183" s="3">
        <f t="shared" si="33"/>
        <v>-2.1053908662579814E-2</v>
      </c>
      <c r="E183" s="3">
        <f t="shared" si="35"/>
        <v>-1.9757721878080586E-2</v>
      </c>
      <c r="F183" s="3">
        <f>STDEV($E$32:E183)</f>
        <v>1.3078532561278135E-2</v>
      </c>
      <c r="G183" s="14">
        <f t="shared" si="38"/>
        <v>-1.5106986801086275</v>
      </c>
      <c r="H183" s="15">
        <f>yint($B$3:B183,$D$3:D183)</f>
        <v>3.5224627694179135E-4</v>
      </c>
      <c r="I183" s="16">
        <f>MyReg($B$3:B183,$D$3:D183)</f>
        <v>0.34985563244192763</v>
      </c>
      <c r="J183" s="17">
        <f>STDEV($D$3:D183)</f>
        <v>1.3581401060561689E-2</v>
      </c>
      <c r="K183" s="4">
        <f t="shared" si="36"/>
        <v>-1.2961867844992262E-3</v>
      </c>
      <c r="L183">
        <f t="shared" si="39"/>
        <v>-1.5106986801086275</v>
      </c>
      <c r="M183">
        <f>RSQ($D$3:D183,$B$3:B183)</f>
        <v>0.11215718363640458</v>
      </c>
      <c r="N183">
        <v>151</v>
      </c>
      <c r="O183" t="str">
        <f t="shared" si="37"/>
        <v>buyY</v>
      </c>
      <c r="P183" t="str">
        <f t="shared" si="41"/>
        <v/>
      </c>
      <c r="Q183">
        <f t="shared" si="42"/>
        <v>-10</v>
      </c>
      <c r="R183">
        <f t="shared" si="43"/>
        <v>0</v>
      </c>
      <c r="S183">
        <f t="shared" si="44"/>
        <v>10</v>
      </c>
      <c r="T183">
        <f t="shared" si="45"/>
        <v>0</v>
      </c>
      <c r="U183">
        <f t="shared" si="40"/>
        <v>20</v>
      </c>
      <c r="V183">
        <f t="shared" si="46"/>
        <v>-10</v>
      </c>
      <c r="W183">
        <f t="shared" si="34"/>
        <v>-52.789073000000002</v>
      </c>
      <c r="X183">
        <f>SUM($W$34:W183)</f>
        <v>80.013404750000063</v>
      </c>
      <c r="Y183">
        <f t="shared" si="47"/>
        <v>0</v>
      </c>
    </row>
    <row r="184" spans="1:25">
      <c r="A184">
        <v>101.874658</v>
      </c>
      <c r="B184" s="2">
        <f t="shared" si="32"/>
        <v>1.701890489704138E-2</v>
      </c>
      <c r="C184">
        <v>106.9261745</v>
      </c>
      <c r="D184" s="3">
        <f t="shared" si="33"/>
        <v>1.4010505841424842E-2</v>
      </c>
      <c r="E184" s="3">
        <f t="shared" si="35"/>
        <v>7.5906872974826302E-3</v>
      </c>
      <c r="F184" s="3">
        <f>STDEV($E$32:E184)</f>
        <v>1.3049120642426569E-2</v>
      </c>
      <c r="G184" s="14">
        <f t="shared" si="38"/>
        <v>0.58170105905857361</v>
      </c>
      <c r="H184" s="15">
        <f>yint($B$3:B184,$D$3:D184)</f>
        <v>3.9378943794279094E-4</v>
      </c>
      <c r="I184" s="16">
        <f>MyReg($B$3:B184,$D$3:D184)</f>
        <v>0.35407854632568075</v>
      </c>
      <c r="J184" s="17">
        <f>STDEV($D$3:D184)</f>
        <v>1.3581438110009295E-2</v>
      </c>
      <c r="K184" s="4">
        <f t="shared" si="36"/>
        <v>6.4198185439422123E-3</v>
      </c>
      <c r="L184">
        <f t="shared" si="39"/>
        <v>0.58170105905857361</v>
      </c>
      <c r="M184">
        <f>RSQ($D$3:D184,$B$3:B184)</f>
        <v>0.11531561794888887</v>
      </c>
      <c r="N184">
        <v>152</v>
      </c>
      <c r="O184" t="str">
        <f t="shared" si="37"/>
        <v/>
      </c>
      <c r="P184" t="str">
        <f t="shared" si="41"/>
        <v>close</v>
      </c>
      <c r="Q184">
        <f t="shared" si="42"/>
        <v>0</v>
      </c>
      <c r="R184">
        <f t="shared" si="43"/>
        <v>0</v>
      </c>
      <c r="S184">
        <f t="shared" si="44"/>
        <v>0</v>
      </c>
      <c r="T184">
        <f t="shared" si="45"/>
        <v>0</v>
      </c>
      <c r="U184">
        <f t="shared" si="40"/>
        <v>0</v>
      </c>
      <c r="V184">
        <f t="shared" si="46"/>
        <v>10</v>
      </c>
      <c r="W184">
        <f t="shared" si="34"/>
        <v>50.515165000000053</v>
      </c>
      <c r="X184">
        <f>SUM($W$34:W184)</f>
        <v>130.52856975000012</v>
      </c>
      <c r="Y184">
        <f t="shared" si="47"/>
        <v>130.52856975000012</v>
      </c>
    </row>
    <row r="185" spans="1:25">
      <c r="A185">
        <v>101.9409149</v>
      </c>
      <c r="B185" s="2">
        <f t="shared" si="32"/>
        <v>6.5037666187796252E-4</v>
      </c>
      <c r="C185">
        <v>108.6323898</v>
      </c>
      <c r="D185" s="3">
        <f t="shared" si="33"/>
        <v>1.5956947005524795E-2</v>
      </c>
      <c r="E185" s="3">
        <f t="shared" si="35"/>
        <v>1.5248980627444944E-2</v>
      </c>
      <c r="F185" s="3">
        <f>STDEV($E$32:E185)</f>
        <v>1.3062444939583917E-2</v>
      </c>
      <c r="G185" s="14">
        <f t="shared" si="38"/>
        <v>1.1673909974720762</v>
      </c>
      <c r="H185" s="15">
        <f>yint($B$3:B185,$D$3:D185)</f>
        <v>4.7753210271905919E-4</v>
      </c>
      <c r="I185" s="16">
        <f>MyReg($B$3:B185,$D$3:D185)</f>
        <v>0.3543089548991698</v>
      </c>
      <c r="J185" s="17">
        <f>STDEV($D$3:D185)</f>
        <v>1.3592436534516991E-2</v>
      </c>
      <c r="K185" s="4">
        <f t="shared" si="36"/>
        <v>7.0796637807985082E-4</v>
      </c>
      <c r="L185">
        <f t="shared" si="39"/>
        <v>1.1673909974720762</v>
      </c>
      <c r="M185">
        <f>RSQ($D$3:D185,$B$3:B185)</f>
        <v>0.11464635892441569</v>
      </c>
      <c r="N185">
        <v>153</v>
      </c>
      <c r="O185" t="str">
        <f t="shared" si="37"/>
        <v/>
      </c>
      <c r="P185" t="str">
        <f t="shared" si="41"/>
        <v/>
      </c>
      <c r="Q185">
        <f t="shared" si="42"/>
        <v>0</v>
      </c>
      <c r="R185">
        <f t="shared" si="43"/>
        <v>0</v>
      </c>
      <c r="S185">
        <f t="shared" si="44"/>
        <v>0</v>
      </c>
      <c r="T185">
        <f t="shared" si="45"/>
        <v>0</v>
      </c>
      <c r="U185">
        <f t="shared" si="40"/>
        <v>0</v>
      </c>
      <c r="V185">
        <f t="shared" si="46"/>
        <v>0</v>
      </c>
      <c r="W185">
        <f t="shared" si="34"/>
        <v>0</v>
      </c>
      <c r="X185">
        <f>SUM($W$34:W185)</f>
        <v>130.52856975000012</v>
      </c>
      <c r="Y185">
        <f t="shared" si="47"/>
        <v>0</v>
      </c>
    </row>
    <row r="186" spans="1:25">
      <c r="A186">
        <v>102.3259372</v>
      </c>
      <c r="B186" s="2">
        <f t="shared" si="32"/>
        <v>3.776916269367353E-3</v>
      </c>
      <c r="C186">
        <v>107.182965</v>
      </c>
      <c r="D186" s="3">
        <f t="shared" si="33"/>
        <v>-1.3342473664332503E-2</v>
      </c>
      <c r="E186" s="3">
        <f t="shared" si="35"/>
        <v>-1.5069536356530909E-2</v>
      </c>
      <c r="F186" s="3">
        <f>STDEV($E$32:E186)</f>
        <v>1.3078719810303863E-2</v>
      </c>
      <c r="G186" s="14">
        <f t="shared" si="38"/>
        <v>-1.1522179980229115</v>
      </c>
      <c r="H186" s="15">
        <f>yint($B$3:B186,$D$3:D186)</f>
        <v>3.9551753341027143E-4</v>
      </c>
      <c r="I186" s="16">
        <f>MyReg($B$3:B186,$D$3:D186)</f>
        <v>0.35254823348550762</v>
      </c>
      <c r="J186" s="17">
        <f>STDEV($D$3:D186)</f>
        <v>1.3593852523766981E-2</v>
      </c>
      <c r="K186" s="4">
        <f t="shared" si="36"/>
        <v>1.7270626921984055E-3</v>
      </c>
      <c r="L186">
        <f t="shared" si="39"/>
        <v>-1.1522179980229115</v>
      </c>
      <c r="M186">
        <f>RSQ($D$3:D186,$B$3:B186)</f>
        <v>0.11291300109453274</v>
      </c>
      <c r="N186">
        <v>154</v>
      </c>
      <c r="O186" t="str">
        <f t="shared" si="37"/>
        <v/>
      </c>
      <c r="P186" t="str">
        <f t="shared" si="41"/>
        <v/>
      </c>
      <c r="Q186">
        <f t="shared" si="42"/>
        <v>0</v>
      </c>
      <c r="R186">
        <f t="shared" si="43"/>
        <v>0</v>
      </c>
      <c r="S186">
        <f t="shared" si="44"/>
        <v>0</v>
      </c>
      <c r="T186">
        <f t="shared" si="45"/>
        <v>0</v>
      </c>
      <c r="U186">
        <f t="shared" si="40"/>
        <v>0</v>
      </c>
      <c r="V186">
        <f t="shared" si="46"/>
        <v>0</v>
      </c>
      <c r="W186">
        <f t="shared" si="34"/>
        <v>0</v>
      </c>
      <c r="X186">
        <f>SUM($W$34:W186)</f>
        <v>130.52856975000012</v>
      </c>
      <c r="Y186">
        <f t="shared" si="47"/>
        <v>0</v>
      </c>
    </row>
    <row r="187" spans="1:25">
      <c r="A187">
        <v>101.6792312</v>
      </c>
      <c r="B187" s="2">
        <f t="shared" si="32"/>
        <v>-6.3200593876407193E-3</v>
      </c>
      <c r="C187">
        <v>106.51509489999999</v>
      </c>
      <c r="D187" s="3">
        <f t="shared" si="33"/>
        <v>-6.2311217085662986E-3</v>
      </c>
      <c r="E187" s="3">
        <f t="shared" si="35"/>
        <v>-4.3687096352270248E-3</v>
      </c>
      <c r="F187" s="3">
        <f>STDEV($E$32:E187)</f>
        <v>1.3041700966442782E-2</v>
      </c>
      <c r="G187" s="14">
        <f t="shared" si="38"/>
        <v>-0.33498004949415905</v>
      </c>
      <c r="H187" s="15">
        <f>yint($B$3:B187,$D$3:D187)</f>
        <v>3.7158106120890899E-4</v>
      </c>
      <c r="I187" s="16">
        <f>MyReg($B$3:B187,$D$3:D187)</f>
        <v>0.35347660481116672</v>
      </c>
      <c r="J187" s="17">
        <f>STDEV($D$3:D187)</f>
        <v>1.3565809027814665E-2</v>
      </c>
      <c r="K187" s="4">
        <f t="shared" si="36"/>
        <v>-1.862412073339274E-3</v>
      </c>
      <c r="L187">
        <f t="shared" si="39"/>
        <v>-0.33498004949415905</v>
      </c>
      <c r="M187">
        <f>RSQ($D$3:D187,$B$3:B187)</f>
        <v>0.11351520343399497</v>
      </c>
      <c r="N187">
        <v>155</v>
      </c>
      <c r="O187" t="str">
        <f t="shared" si="37"/>
        <v/>
      </c>
      <c r="P187" t="str">
        <f t="shared" si="41"/>
        <v/>
      </c>
      <c r="Q187">
        <f t="shared" si="42"/>
        <v>0</v>
      </c>
      <c r="R187">
        <f t="shared" si="43"/>
        <v>0</v>
      </c>
      <c r="S187">
        <f t="shared" si="44"/>
        <v>0</v>
      </c>
      <c r="T187">
        <f t="shared" si="45"/>
        <v>0</v>
      </c>
      <c r="U187">
        <f t="shared" si="40"/>
        <v>0</v>
      </c>
      <c r="V187">
        <f t="shared" si="46"/>
        <v>0</v>
      </c>
      <c r="W187">
        <f t="shared" si="34"/>
        <v>0</v>
      </c>
      <c r="X187">
        <f>SUM($W$34:W187)</f>
        <v>130.52856975000012</v>
      </c>
      <c r="Y187">
        <f t="shared" si="47"/>
        <v>0</v>
      </c>
    </row>
    <row r="188" spans="1:25">
      <c r="A188">
        <v>100.6140766</v>
      </c>
      <c r="B188" s="2">
        <f t="shared" si="32"/>
        <v>-1.0475635854335606E-2</v>
      </c>
      <c r="C188">
        <v>105.5251858</v>
      </c>
      <c r="D188" s="3">
        <f t="shared" si="33"/>
        <v>-9.2936038871237157E-3</v>
      </c>
      <c r="E188" s="3">
        <f t="shared" si="35"/>
        <v>-5.9085754551405131E-3</v>
      </c>
      <c r="F188" s="3">
        <f>STDEV($E$32:E188)</f>
        <v>1.3009026307872292E-2</v>
      </c>
      <c r="G188" s="14">
        <f t="shared" si="38"/>
        <v>-0.45419044556509147</v>
      </c>
      <c r="H188" s="15">
        <f>yint($B$3:B188,$D$3:D188)</f>
        <v>3.3928873812346332E-4</v>
      </c>
      <c r="I188" s="16">
        <f>MyReg($B$3:B188,$D$3:D188)</f>
        <v>0.35552182434494067</v>
      </c>
      <c r="J188" s="17">
        <f>STDEV($D$3:D188)</f>
        <v>1.3547879056545841E-2</v>
      </c>
      <c r="K188" s="4">
        <f t="shared" si="36"/>
        <v>-3.3850284319832022E-3</v>
      </c>
      <c r="L188">
        <f t="shared" si="39"/>
        <v>-0.45419044556509147</v>
      </c>
      <c r="M188">
        <f>RSQ($D$3:D188,$B$3:B188)</f>
        <v>0.11493422689546656</v>
      </c>
      <c r="N188">
        <v>156</v>
      </c>
      <c r="O188" t="str">
        <f t="shared" si="37"/>
        <v/>
      </c>
      <c r="P188" t="str">
        <f t="shared" si="41"/>
        <v/>
      </c>
      <c r="Q188">
        <f t="shared" si="42"/>
        <v>0</v>
      </c>
      <c r="R188">
        <f t="shared" si="43"/>
        <v>0</v>
      </c>
      <c r="S188">
        <f t="shared" si="44"/>
        <v>0</v>
      </c>
      <c r="T188">
        <f t="shared" si="45"/>
        <v>0</v>
      </c>
      <c r="U188">
        <f t="shared" si="40"/>
        <v>0</v>
      </c>
      <c r="V188">
        <f t="shared" si="46"/>
        <v>0</v>
      </c>
      <c r="W188">
        <f t="shared" si="34"/>
        <v>0</v>
      </c>
      <c r="X188">
        <f>SUM($W$34:W188)</f>
        <v>130.52856975000012</v>
      </c>
      <c r="Y188">
        <f t="shared" si="47"/>
        <v>0</v>
      </c>
    </row>
    <row r="189" spans="1:25">
      <c r="A189">
        <v>100.1477416</v>
      </c>
      <c r="B189" s="2">
        <f t="shared" si="32"/>
        <v>-4.6348882359071499E-3</v>
      </c>
      <c r="C189">
        <v>105.81533930000001</v>
      </c>
      <c r="D189" s="3">
        <f t="shared" si="33"/>
        <v>2.7496137324972366E-3</v>
      </c>
      <c r="E189" s="3">
        <f t="shared" si="35"/>
        <v>4.0334951235481767E-3</v>
      </c>
      <c r="F189" s="3">
        <f>STDEV($E$32:E189)</f>
        <v>1.297115485125412E-2</v>
      </c>
      <c r="G189" s="14">
        <f t="shared" si="38"/>
        <v>0.3109588290173097</v>
      </c>
      <c r="H189" s="15">
        <f>yint($B$3:B189,$D$3:D189)</f>
        <v>3.6104610684756689E-4</v>
      </c>
      <c r="I189" s="16">
        <f>MyReg($B$3:B189,$D$3:D189)</f>
        <v>0.35490122181480355</v>
      </c>
      <c r="J189" s="17">
        <f>STDEV($D$3:D189)</f>
        <v>1.3512521620744386E-2</v>
      </c>
      <c r="K189" s="4">
        <f t="shared" si="36"/>
        <v>-1.2838813910509401E-3</v>
      </c>
      <c r="L189">
        <f t="shared" si="39"/>
        <v>0.3109588290173097</v>
      </c>
      <c r="M189">
        <f>RSQ($D$3:D189,$B$3:B189)</f>
        <v>0.11459774698477346</v>
      </c>
      <c r="N189">
        <v>157</v>
      </c>
      <c r="O189" t="str">
        <f t="shared" si="37"/>
        <v/>
      </c>
      <c r="P189" t="str">
        <f t="shared" si="41"/>
        <v/>
      </c>
      <c r="Q189">
        <f t="shared" si="42"/>
        <v>0</v>
      </c>
      <c r="R189">
        <f t="shared" si="43"/>
        <v>0</v>
      </c>
      <c r="S189">
        <f t="shared" si="44"/>
        <v>0</v>
      </c>
      <c r="T189">
        <f t="shared" si="45"/>
        <v>0</v>
      </c>
      <c r="U189">
        <f t="shared" si="40"/>
        <v>0</v>
      </c>
      <c r="V189">
        <f t="shared" si="46"/>
        <v>0</v>
      </c>
      <c r="W189">
        <f t="shared" si="34"/>
        <v>0</v>
      </c>
      <c r="X189">
        <f>SUM($W$34:W189)</f>
        <v>130.52856975000012</v>
      </c>
      <c r="Y189">
        <f t="shared" si="47"/>
        <v>0</v>
      </c>
    </row>
    <row r="190" spans="1:25">
      <c r="A190">
        <v>101.26850279999999</v>
      </c>
      <c r="B190" s="2">
        <f t="shared" si="32"/>
        <v>1.119107812212502E-2</v>
      </c>
      <c r="C190">
        <v>105.9682358</v>
      </c>
      <c r="D190" s="3">
        <f t="shared" si="33"/>
        <v>1.4449370101863586E-3</v>
      </c>
      <c r="E190" s="3">
        <f t="shared" si="35"/>
        <v>-2.8611263007570068E-3</v>
      </c>
      <c r="F190" s="3">
        <f>STDEV($E$32:E190)</f>
        <v>1.2932325891998433E-2</v>
      </c>
      <c r="G190" s="14">
        <f t="shared" si="38"/>
        <v>-0.22123833907767976</v>
      </c>
      <c r="H190" s="15">
        <f>yint($B$3:B190,$D$3:D190)</f>
        <v>3.4583895514534227E-4</v>
      </c>
      <c r="I190" s="16">
        <f>MyReg($B$3:B190,$D$3:D190)</f>
        <v>0.35387335452234653</v>
      </c>
      <c r="J190" s="17">
        <f>STDEV($D$3:D190)</f>
        <v>1.3476561770389727E-2</v>
      </c>
      <c r="K190" s="4">
        <f t="shared" si="36"/>
        <v>4.3060633109433654E-3</v>
      </c>
      <c r="L190">
        <f t="shared" si="39"/>
        <v>-0.22123833907767976</v>
      </c>
      <c r="M190">
        <f>RSQ($D$3:D190,$B$3:B190)</f>
        <v>0.11438315158061343</v>
      </c>
      <c r="N190">
        <v>158</v>
      </c>
      <c r="O190" t="str">
        <f t="shared" si="37"/>
        <v/>
      </c>
      <c r="P190" t="str">
        <f t="shared" si="41"/>
        <v/>
      </c>
      <c r="Q190">
        <f t="shared" si="42"/>
        <v>0</v>
      </c>
      <c r="R190">
        <f t="shared" si="43"/>
        <v>0</v>
      </c>
      <c r="S190">
        <f t="shared" si="44"/>
        <v>0</v>
      </c>
      <c r="T190">
        <f t="shared" si="45"/>
        <v>0</v>
      </c>
      <c r="U190">
        <f t="shared" si="40"/>
        <v>0</v>
      </c>
      <c r="V190">
        <f t="shared" si="46"/>
        <v>0</v>
      </c>
      <c r="W190">
        <f t="shared" si="34"/>
        <v>0</v>
      </c>
      <c r="X190">
        <f>SUM($W$34:W190)</f>
        <v>130.52856975000012</v>
      </c>
      <c r="Y190">
        <f t="shared" si="47"/>
        <v>0</v>
      </c>
    </row>
    <row r="191" spans="1:25">
      <c r="A191">
        <v>103.1922129</v>
      </c>
      <c r="B191" s="2">
        <f t="shared" si="32"/>
        <v>1.8996134501951065E-2</v>
      </c>
      <c r="C191">
        <v>105.5452545</v>
      </c>
      <c r="D191" s="3">
        <f t="shared" si="33"/>
        <v>-3.99158575026502E-3</v>
      </c>
      <c r="E191" s="3">
        <f t="shared" si="35"/>
        <v>-1.0877249658748204E-2</v>
      </c>
      <c r="F191" s="3">
        <f>STDEV($E$32:E191)</f>
        <v>1.2921220575732409E-2</v>
      </c>
      <c r="G191" s="14">
        <f t="shared" si="38"/>
        <v>-0.84181286086679574</v>
      </c>
      <c r="H191" s="15">
        <f>yint($B$3:B191,$D$3:D191)</f>
        <v>2.8896926770594777E-4</v>
      </c>
      <c r="I191" s="16">
        <f>MyReg($B$3:B191,$D$3:D191)</f>
        <v>0.34726510491382856</v>
      </c>
      <c r="J191" s="17">
        <f>STDEV($D$3:D191)</f>
        <v>1.3444465394551661E-2</v>
      </c>
      <c r="K191" s="4">
        <f t="shared" si="36"/>
        <v>6.885663908483183E-3</v>
      </c>
      <c r="L191">
        <f t="shared" si="39"/>
        <v>-0.84181286086679574</v>
      </c>
      <c r="M191">
        <f>RSQ($D$3:D191,$B$3:B191)</f>
        <v>0.11134273127625792</v>
      </c>
      <c r="N191">
        <v>159</v>
      </c>
      <c r="O191" t="str">
        <f t="shared" si="37"/>
        <v/>
      </c>
      <c r="P191" t="str">
        <f t="shared" si="41"/>
        <v/>
      </c>
      <c r="Q191">
        <f t="shared" si="42"/>
        <v>0</v>
      </c>
      <c r="R191">
        <f t="shared" si="43"/>
        <v>0</v>
      </c>
      <c r="S191">
        <f t="shared" si="44"/>
        <v>0</v>
      </c>
      <c r="T191">
        <f t="shared" si="45"/>
        <v>0</v>
      </c>
      <c r="U191">
        <f t="shared" si="40"/>
        <v>0</v>
      </c>
      <c r="V191">
        <f t="shared" si="46"/>
        <v>0</v>
      </c>
      <c r="W191">
        <f t="shared" si="34"/>
        <v>0</v>
      </c>
      <c r="X191">
        <f>SUM($W$34:W191)</f>
        <v>130.52856975000012</v>
      </c>
      <c r="Y191">
        <f t="shared" si="47"/>
        <v>0</v>
      </c>
    </row>
    <row r="192" spans="1:25">
      <c r="A192">
        <v>103.2308412</v>
      </c>
      <c r="B192" s="2">
        <f t="shared" si="32"/>
        <v>3.7433347841307095E-4</v>
      </c>
      <c r="C192">
        <v>104.7021039</v>
      </c>
      <c r="D192" s="3">
        <f t="shared" si="33"/>
        <v>-7.988522117780306E-3</v>
      </c>
      <c r="E192" s="3">
        <f t="shared" si="35"/>
        <v>-8.3632302727519349E-3</v>
      </c>
      <c r="F192" s="3">
        <f>STDEV($E$32:E192)</f>
        <v>1.2898098265671417E-2</v>
      </c>
      <c r="G192" s="14">
        <f t="shared" si="38"/>
        <v>-0.64840801337441067</v>
      </c>
      <c r="H192" s="15">
        <f>yint($B$3:B192,$D$3:D192)</f>
        <v>2.4472768315682986E-4</v>
      </c>
      <c r="I192" s="16">
        <f>MyReg($B$3:B192,$D$3:D192)</f>
        <v>0.34723175807258899</v>
      </c>
      <c r="J192" s="17">
        <f>STDEV($D$3:D192)</f>
        <v>1.3422573408064228E-2</v>
      </c>
      <c r="K192" s="4">
        <f t="shared" si="36"/>
        <v>3.7470815497162805E-4</v>
      </c>
      <c r="L192">
        <f t="shared" si="39"/>
        <v>-0.64840801337441067</v>
      </c>
      <c r="M192">
        <f>RSQ($D$3:D192,$B$3:B192)</f>
        <v>0.11109390142434011</v>
      </c>
      <c r="N192">
        <v>160</v>
      </c>
      <c r="O192" t="str">
        <f t="shared" si="37"/>
        <v/>
      </c>
      <c r="P192" t="str">
        <f t="shared" si="41"/>
        <v/>
      </c>
      <c r="Q192">
        <f t="shared" si="42"/>
        <v>0</v>
      </c>
      <c r="R192">
        <f t="shared" si="43"/>
        <v>0</v>
      </c>
      <c r="S192">
        <f t="shared" si="44"/>
        <v>0</v>
      </c>
      <c r="T192">
        <f t="shared" si="45"/>
        <v>0</v>
      </c>
      <c r="U192">
        <f t="shared" si="40"/>
        <v>0</v>
      </c>
      <c r="V192">
        <f t="shared" si="46"/>
        <v>0</v>
      </c>
      <c r="W192">
        <f t="shared" si="34"/>
        <v>0</v>
      </c>
      <c r="X192">
        <f>SUM($W$34:W192)</f>
        <v>130.52856975000012</v>
      </c>
      <c r="Y192">
        <f t="shared" si="47"/>
        <v>0</v>
      </c>
    </row>
    <row r="193" spans="1:25">
      <c r="A193">
        <v>103.6936609</v>
      </c>
      <c r="B193" s="2">
        <f t="shared" si="32"/>
        <v>4.4833471724145665E-3</v>
      </c>
      <c r="C193">
        <v>106.1942177</v>
      </c>
      <c r="D193" s="3">
        <f t="shared" si="33"/>
        <v>1.4251039324148658E-2</v>
      </c>
      <c r="E193" s="3">
        <f t="shared" si="35"/>
        <v>1.2377337021509116E-2</v>
      </c>
      <c r="F193" s="3">
        <f>STDEV($E$32:E193)</f>
        <v>1.2894331156996022E-2</v>
      </c>
      <c r="G193" s="14">
        <f t="shared" si="38"/>
        <v>0.95990531581729988</v>
      </c>
      <c r="H193" s="15">
        <f>yint($B$3:B193,$D$3:D193)</f>
        <v>3.0945422609585094E-4</v>
      </c>
      <c r="I193" s="16">
        <f>MyReg($B$3:B193,$D$3:D193)</f>
        <v>0.34890183971660704</v>
      </c>
      <c r="J193" s="17">
        <f>STDEV($D$3:D193)</f>
        <v>1.3425038344764729E-2</v>
      </c>
      <c r="K193" s="4">
        <f t="shared" si="36"/>
        <v>1.8737023026395416E-3</v>
      </c>
      <c r="L193">
        <f t="shared" si="39"/>
        <v>0.95990531581729988</v>
      </c>
      <c r="M193">
        <f>RSQ($D$3:D193,$B$3:B193)</f>
        <v>0.11159719491825386</v>
      </c>
      <c r="N193">
        <v>161</v>
      </c>
      <c r="O193" t="str">
        <f t="shared" si="37"/>
        <v/>
      </c>
      <c r="P193" t="str">
        <f t="shared" si="41"/>
        <v/>
      </c>
      <c r="Q193">
        <f t="shared" si="42"/>
        <v>0</v>
      </c>
      <c r="R193">
        <f t="shared" si="43"/>
        <v>0</v>
      </c>
      <c r="S193">
        <f t="shared" si="44"/>
        <v>0</v>
      </c>
      <c r="T193">
        <f t="shared" si="45"/>
        <v>0</v>
      </c>
      <c r="U193">
        <f t="shared" si="40"/>
        <v>0</v>
      </c>
      <c r="V193">
        <f t="shared" si="46"/>
        <v>0</v>
      </c>
      <c r="W193">
        <f t="shared" si="34"/>
        <v>0</v>
      </c>
      <c r="X193">
        <f>SUM($W$34:W193)</f>
        <v>130.52856975000012</v>
      </c>
      <c r="Y193">
        <f t="shared" si="47"/>
        <v>0</v>
      </c>
    </row>
    <row r="194" spans="1:25">
      <c r="A194">
        <v>103.9932184</v>
      </c>
      <c r="B194" s="2">
        <f t="shared" si="32"/>
        <v>2.8888699405539642E-3</v>
      </c>
      <c r="C194">
        <v>106.93512490000001</v>
      </c>
      <c r="D194" s="3">
        <f t="shared" si="33"/>
        <v>6.9769071805122346E-3</v>
      </c>
      <c r="E194" s="3">
        <f t="shared" si="35"/>
        <v>5.6288228274243516E-3</v>
      </c>
      <c r="F194" s="3">
        <f>STDEV($E$32:E194)</f>
        <v>1.2861663260890138E-2</v>
      </c>
      <c r="G194" s="14">
        <f t="shared" si="38"/>
        <v>0.43764346128859766</v>
      </c>
      <c r="H194" s="15">
        <f>yint($B$3:B194,$D$3:D194)</f>
        <v>3.3879685440604509E-4</v>
      </c>
      <c r="I194" s="16">
        <f>MyReg($B$3:B194,$D$3:D194)</f>
        <v>0.34937104108200151</v>
      </c>
      <c r="J194" s="17">
        <f>STDEV($D$3:D194)</f>
        <v>1.3398247045127815E-2</v>
      </c>
      <c r="K194" s="4">
        <f t="shared" si="36"/>
        <v>1.3480843530878834E-3</v>
      </c>
      <c r="L194">
        <f t="shared" si="39"/>
        <v>0.43764346128859766</v>
      </c>
      <c r="M194">
        <f>RSQ($D$3:D194,$B$3:B194)</f>
        <v>0.11178155252065275</v>
      </c>
      <c r="N194">
        <v>162</v>
      </c>
      <c r="O194" t="str">
        <f t="shared" si="37"/>
        <v/>
      </c>
      <c r="P194" t="str">
        <f t="shared" si="41"/>
        <v/>
      </c>
      <c r="Q194">
        <f t="shared" si="42"/>
        <v>0</v>
      </c>
      <c r="R194">
        <f t="shared" si="43"/>
        <v>0</v>
      </c>
      <c r="S194">
        <f t="shared" si="44"/>
        <v>0</v>
      </c>
      <c r="T194">
        <f t="shared" si="45"/>
        <v>0</v>
      </c>
      <c r="U194">
        <f t="shared" si="40"/>
        <v>0</v>
      </c>
      <c r="V194">
        <f t="shared" si="46"/>
        <v>0</v>
      </c>
      <c r="W194">
        <f t="shared" si="34"/>
        <v>0</v>
      </c>
      <c r="X194">
        <f>SUM($W$34:W194)</f>
        <v>130.52856975000012</v>
      </c>
      <c r="Y194">
        <f t="shared" si="47"/>
        <v>0</v>
      </c>
    </row>
    <row r="195" spans="1:25">
      <c r="A195">
        <v>103.01628770000001</v>
      </c>
      <c r="B195" s="2">
        <f t="shared" si="32"/>
        <v>-9.3941769956799124E-3</v>
      </c>
      <c r="C195">
        <v>105.10789579999999</v>
      </c>
      <c r="D195" s="3">
        <f t="shared" si="33"/>
        <v>-1.7087267646703902E-2</v>
      </c>
      <c r="E195" s="3">
        <f t="shared" si="35"/>
        <v>-1.4029078890108097E-2</v>
      </c>
      <c r="F195" s="3">
        <f>STDEV($E$32:E195)</f>
        <v>1.2870014133238121E-2</v>
      </c>
      <c r="G195" s="14">
        <f t="shared" si="38"/>
        <v>-1.0900593227692403</v>
      </c>
      <c r="H195" s="15">
        <f>yint($B$3:B195,$D$3:D195)</f>
        <v>2.6449319205695571E-4</v>
      </c>
      <c r="I195" s="16">
        <f>MyReg($B$3:B195,$D$3:D195)</f>
        <v>0.35369590653665112</v>
      </c>
      <c r="J195" s="17">
        <f>STDEV($D$3:D195)</f>
        <v>1.3422724888783929E-2</v>
      </c>
      <c r="K195" s="4">
        <f t="shared" si="36"/>
        <v>-3.0581887565958045E-3</v>
      </c>
      <c r="L195">
        <f t="shared" si="39"/>
        <v>-1.0900593227692403</v>
      </c>
      <c r="M195">
        <f>RSQ($D$3:D195,$B$3:B195)</f>
        <v>0.11389127906682446</v>
      </c>
      <c r="N195">
        <v>163</v>
      </c>
      <c r="O195" t="str">
        <f t="shared" si="37"/>
        <v/>
      </c>
      <c r="P195" t="str">
        <f t="shared" si="41"/>
        <v/>
      </c>
      <c r="Q195">
        <f t="shared" si="42"/>
        <v>0</v>
      </c>
      <c r="R195">
        <f t="shared" si="43"/>
        <v>0</v>
      </c>
      <c r="S195">
        <f t="shared" si="44"/>
        <v>0</v>
      </c>
      <c r="T195">
        <f t="shared" si="45"/>
        <v>0</v>
      </c>
      <c r="U195">
        <f t="shared" si="40"/>
        <v>0</v>
      </c>
      <c r="V195">
        <f t="shared" si="46"/>
        <v>0</v>
      </c>
      <c r="W195">
        <f t="shared" si="34"/>
        <v>0</v>
      </c>
      <c r="X195">
        <f>SUM($W$34:W195)</f>
        <v>130.52856975000012</v>
      </c>
      <c r="Y195">
        <f t="shared" si="47"/>
        <v>0</v>
      </c>
    </row>
    <row r="196" spans="1:25">
      <c r="A196">
        <v>101.9758549</v>
      </c>
      <c r="B196" s="2">
        <f t="shared" ref="B196:B259" si="48">(A196-A195)/A195</f>
        <v>-1.0099692225659622E-2</v>
      </c>
      <c r="C196">
        <v>102.3256511</v>
      </c>
      <c r="D196" s="3">
        <f t="shared" ref="D196:D259" si="49">(C196-C195)/C195</f>
        <v>-2.6470368175708383E-2</v>
      </c>
      <c r="E196" s="3">
        <f t="shared" si="35"/>
        <v>-2.2965753450414517E-2</v>
      </c>
      <c r="F196" s="3">
        <f>STDEV($E$32:E196)</f>
        <v>1.2955604615686477E-2</v>
      </c>
      <c r="G196" s="14">
        <f t="shared" si="38"/>
        <v>-1.7726500716614864</v>
      </c>
      <c r="H196" s="15">
        <f>yint($B$3:B196,$D$3:D196)</f>
        <v>1.4372451487163607E-4</v>
      </c>
      <c r="I196" s="16">
        <f>MyReg($B$3:B196,$D$3:D196)</f>
        <v>0.36123271468574147</v>
      </c>
      <c r="J196" s="17">
        <f>STDEV($D$3:D196)</f>
        <v>1.3525653831126963E-2</v>
      </c>
      <c r="K196" s="4">
        <f t="shared" si="36"/>
        <v>-3.5046147252938671E-3</v>
      </c>
      <c r="L196">
        <f t="shared" si="39"/>
        <v>-1.7726500716614864</v>
      </c>
      <c r="M196">
        <f>RSQ($D$3:D196,$B$3:B196)</f>
        <v>0.11678210042322507</v>
      </c>
      <c r="N196">
        <v>164</v>
      </c>
      <c r="O196" t="str">
        <f t="shared" si="37"/>
        <v>buyY</v>
      </c>
      <c r="P196" t="str">
        <f t="shared" si="41"/>
        <v/>
      </c>
      <c r="Q196">
        <f t="shared" si="42"/>
        <v>-10</v>
      </c>
      <c r="R196">
        <f t="shared" si="43"/>
        <v>0</v>
      </c>
      <c r="S196">
        <f t="shared" si="44"/>
        <v>10</v>
      </c>
      <c r="T196">
        <f t="shared" si="45"/>
        <v>0</v>
      </c>
      <c r="U196">
        <f t="shared" si="40"/>
        <v>20</v>
      </c>
      <c r="V196">
        <f t="shared" si="46"/>
        <v>-10</v>
      </c>
      <c r="W196">
        <f t="shared" si="34"/>
        <v>-3.4979620000000011</v>
      </c>
      <c r="X196">
        <f>SUM($W$34:W196)</f>
        <v>127.03060775000012</v>
      </c>
      <c r="Y196">
        <f t="shared" si="47"/>
        <v>0</v>
      </c>
    </row>
    <row r="197" spans="1:25">
      <c r="A197">
        <v>103.6266189</v>
      </c>
      <c r="B197" s="2">
        <f t="shared" si="48"/>
        <v>1.6187792704643413E-2</v>
      </c>
      <c r="C197">
        <v>104.2331731</v>
      </c>
      <c r="D197" s="3">
        <f t="shared" si="49"/>
        <v>1.8641679573930415E-2</v>
      </c>
      <c r="E197" s="3">
        <f t="shared" si="35"/>
        <v>1.2484824489878796E-2</v>
      </c>
      <c r="F197" s="3">
        <f>STDEV($E$32:E197)</f>
        <v>1.2952897748595569E-2</v>
      </c>
      <c r="G197" s="14">
        <f t="shared" si="38"/>
        <v>0.96386343289342147</v>
      </c>
      <c r="H197" s="15">
        <f>yint($B$3:B197,$D$3:D197)</f>
        <v>2.0692674265327158E-4</v>
      </c>
      <c r="I197" s="16">
        <f>MyReg($B$3:B197,$D$3:D197)</f>
        <v>0.36755649457332323</v>
      </c>
      <c r="J197" s="17">
        <f>STDEV($D$3:D197)</f>
        <v>1.355516789283392E-2</v>
      </c>
      <c r="K197" s="4">
        <f t="shared" si="36"/>
        <v>6.15685508405162E-3</v>
      </c>
      <c r="L197">
        <f t="shared" si="39"/>
        <v>0.96386343289342147</v>
      </c>
      <c r="M197">
        <f>RSQ($D$3:D197,$B$3:B197)</f>
        <v>0.1207261642858468</v>
      </c>
      <c r="N197">
        <v>165</v>
      </c>
      <c r="O197" t="str">
        <f t="shared" si="37"/>
        <v/>
      </c>
      <c r="P197" t="str">
        <f t="shared" si="41"/>
        <v>close</v>
      </c>
      <c r="Q197">
        <f t="shared" si="42"/>
        <v>0</v>
      </c>
      <c r="R197">
        <f t="shared" si="43"/>
        <v>0</v>
      </c>
      <c r="S197">
        <f t="shared" si="44"/>
        <v>0</v>
      </c>
      <c r="T197">
        <f t="shared" si="45"/>
        <v>0</v>
      </c>
      <c r="U197">
        <f t="shared" si="40"/>
        <v>0</v>
      </c>
      <c r="V197">
        <f t="shared" si="46"/>
        <v>10</v>
      </c>
      <c r="W197">
        <f t="shared" si="34"/>
        <v>6.0655420000000504</v>
      </c>
      <c r="X197">
        <f>SUM($W$34:W197)</f>
        <v>133.09614975000017</v>
      </c>
      <c r="Y197">
        <f t="shared" si="47"/>
        <v>133.09614975000017</v>
      </c>
    </row>
    <row r="198" spans="1:25">
      <c r="A198">
        <v>103.5513188</v>
      </c>
      <c r="B198" s="2">
        <f t="shared" si="48"/>
        <v>-7.2664823767585695E-4</v>
      </c>
      <c r="C198">
        <v>104.3627182</v>
      </c>
      <c r="D198" s="3">
        <f t="shared" si="49"/>
        <v>1.242839454534474E-3</v>
      </c>
      <c r="E198" s="3">
        <f t="shared" si="35"/>
        <v>1.2963092863452097E-3</v>
      </c>
      <c r="F198" s="3">
        <f>STDEV($E$32:E198)</f>
        <v>1.2914200842289789E-2</v>
      </c>
      <c r="G198" s="14">
        <f t="shared" si="38"/>
        <v>0.10037859114752345</v>
      </c>
      <c r="H198" s="15">
        <f>yint($B$3:B198,$D$3:D198)</f>
        <v>2.1358514273220666E-4</v>
      </c>
      <c r="I198" s="16">
        <f>MyReg($B$3:B198,$D$3:D198)</f>
        <v>0.36751616627751355</v>
      </c>
      <c r="J198" s="17">
        <f>STDEV($D$3:D198)</f>
        <v>1.3520532652531244E-2</v>
      </c>
      <c r="K198" s="4">
        <f t="shared" si="36"/>
        <v>-5.3469831810735741E-5</v>
      </c>
      <c r="L198">
        <f t="shared" si="39"/>
        <v>0.10037859114752345</v>
      </c>
      <c r="M198">
        <f>RSQ($D$3:D198,$B$3:B198)</f>
        <v>0.12070040692798255</v>
      </c>
      <c r="N198">
        <v>166</v>
      </c>
      <c r="O198" t="str">
        <f t="shared" si="37"/>
        <v/>
      </c>
      <c r="P198" t="str">
        <f t="shared" si="41"/>
        <v/>
      </c>
      <c r="Q198">
        <f t="shared" si="42"/>
        <v>0</v>
      </c>
      <c r="R198">
        <f t="shared" si="43"/>
        <v>0</v>
      </c>
      <c r="S198">
        <f t="shared" si="44"/>
        <v>0</v>
      </c>
      <c r="T198">
        <f t="shared" si="45"/>
        <v>0</v>
      </c>
      <c r="U198">
        <f t="shared" si="40"/>
        <v>0</v>
      </c>
      <c r="V198">
        <f t="shared" si="46"/>
        <v>0</v>
      </c>
      <c r="W198">
        <f t="shared" si="34"/>
        <v>0</v>
      </c>
      <c r="X198">
        <f>SUM($W$34:W198)</f>
        <v>133.09614975000017</v>
      </c>
      <c r="Y198">
        <f t="shared" si="47"/>
        <v>0</v>
      </c>
    </row>
    <row r="199" spans="1:25">
      <c r="A199">
        <v>104.159569</v>
      </c>
      <c r="B199" s="2">
        <f t="shared" si="48"/>
        <v>5.8739010477962209E-3</v>
      </c>
      <c r="C199">
        <v>102.6330628</v>
      </c>
      <c r="D199" s="3">
        <f t="shared" si="49"/>
        <v>-1.6573498945143407E-2</v>
      </c>
      <c r="E199" s="3">
        <f t="shared" si="35"/>
        <v>-1.8831125084345195E-2</v>
      </c>
      <c r="F199" s="3">
        <f>STDEV($E$32:E199)</f>
        <v>1.2957439441299129E-2</v>
      </c>
      <c r="G199" s="14">
        <f t="shared" si="38"/>
        <v>-1.453306046279863</v>
      </c>
      <c r="H199" s="15">
        <f>yint($B$3:B199,$D$3:D199)</f>
        <v>1.1836854115481584E-4</v>
      </c>
      <c r="I199" s="16">
        <f>MyReg($B$3:B199,$D$3:D199)</f>
        <v>0.36419707799633116</v>
      </c>
      <c r="J199" s="17">
        <f>STDEV($D$3:D199)</f>
        <v>1.3539531005436515E-2</v>
      </c>
      <c r="K199" s="4">
        <f t="shared" si="36"/>
        <v>2.2576261392017877E-3</v>
      </c>
      <c r="L199">
        <f t="shared" si="39"/>
        <v>-1.453306046279863</v>
      </c>
      <c r="M199">
        <f>RSQ($D$3:D199,$B$3:B199)</f>
        <v>0.11771045622190117</v>
      </c>
      <c r="N199">
        <v>167</v>
      </c>
      <c r="O199" t="str">
        <f t="shared" si="37"/>
        <v/>
      </c>
      <c r="P199" t="str">
        <f t="shared" si="41"/>
        <v/>
      </c>
      <c r="Q199">
        <f t="shared" si="42"/>
        <v>0</v>
      </c>
      <c r="R199">
        <f t="shared" si="43"/>
        <v>0</v>
      </c>
      <c r="S199">
        <f t="shared" si="44"/>
        <v>0</v>
      </c>
      <c r="T199">
        <f t="shared" si="45"/>
        <v>0</v>
      </c>
      <c r="U199">
        <f t="shared" si="40"/>
        <v>0</v>
      </c>
      <c r="V199">
        <f t="shared" si="46"/>
        <v>0</v>
      </c>
      <c r="W199">
        <f t="shared" si="34"/>
        <v>0</v>
      </c>
      <c r="X199">
        <f>SUM($W$34:W199)</f>
        <v>133.09614975000017</v>
      </c>
      <c r="Y199">
        <f t="shared" si="47"/>
        <v>0</v>
      </c>
    </row>
    <row r="200" spans="1:25">
      <c r="A200">
        <v>104.7727849</v>
      </c>
      <c r="B200" s="2">
        <f t="shared" si="48"/>
        <v>5.8872737847062342E-3</v>
      </c>
      <c r="C200">
        <v>105.01015030000001</v>
      </c>
      <c r="D200" s="3">
        <f t="shared" si="49"/>
        <v>2.316103052124838E-2</v>
      </c>
      <c r="E200" s="3">
        <f t="shared" si="35"/>
        <v>2.077266302752832E-2</v>
      </c>
      <c r="F200" s="3">
        <f>STDEV($E$32:E200)</f>
        <v>1.3018049571421135E-2</v>
      </c>
      <c r="G200" s="14">
        <f t="shared" si="38"/>
        <v>1.5956816659487219</v>
      </c>
      <c r="H200" s="15">
        <f>yint($B$3:B200,$D$3:D200)</f>
        <v>2.2276376051168966E-4</v>
      </c>
      <c r="I200" s="16">
        <f>MyReg($B$3:B200,$D$3:D200)</f>
        <v>0.36784491640835593</v>
      </c>
      <c r="J200" s="17">
        <f>STDEV($D$3:D200)</f>
        <v>1.3603148375349029E-2</v>
      </c>
      <c r="K200" s="4">
        <f t="shared" si="36"/>
        <v>2.3883674937200594E-3</v>
      </c>
      <c r="L200">
        <f t="shared" si="39"/>
        <v>1.5956816659487219</v>
      </c>
      <c r="M200">
        <f>RSQ($D$3:D200,$B$3:B200)</f>
        <v>0.11847167981666347</v>
      </c>
      <c r="N200">
        <v>168</v>
      </c>
      <c r="O200" t="str">
        <f t="shared" si="37"/>
        <v>sellY</v>
      </c>
      <c r="P200" t="str">
        <f t="shared" si="41"/>
        <v/>
      </c>
      <c r="Q200">
        <f t="shared" si="42"/>
        <v>10</v>
      </c>
      <c r="R200">
        <f t="shared" si="43"/>
        <v>0</v>
      </c>
      <c r="S200">
        <f t="shared" si="44"/>
        <v>-10</v>
      </c>
      <c r="T200">
        <f t="shared" si="45"/>
        <v>0</v>
      </c>
      <c r="U200">
        <f t="shared" si="40"/>
        <v>20</v>
      </c>
      <c r="V200">
        <f t="shared" si="46"/>
        <v>10</v>
      </c>
      <c r="W200">
        <f t="shared" si="34"/>
        <v>2.3736540000000161</v>
      </c>
      <c r="X200">
        <f>SUM($W$34:W200)</f>
        <v>135.46980375000018</v>
      </c>
      <c r="Y200">
        <f t="shared" si="47"/>
        <v>0</v>
      </c>
    </row>
    <row r="201" spans="1:25">
      <c r="A201">
        <v>104.4769428</v>
      </c>
      <c r="B201" s="2">
        <f t="shared" si="48"/>
        <v>-2.8236540651502863E-3</v>
      </c>
      <c r="C201">
        <v>104.8333425</v>
      </c>
      <c r="D201" s="3">
        <f t="shared" si="49"/>
        <v>-1.6837210450122168E-3</v>
      </c>
      <c r="E201" s="3">
        <f t="shared" si="35"/>
        <v>-8.6319185895360889E-4</v>
      </c>
      <c r="F201" s="3">
        <f>STDEV($E$32:E201)</f>
        <v>1.2979662448459892E-2</v>
      </c>
      <c r="G201" s="14">
        <f t="shared" si="38"/>
        <v>-6.6503413504103215E-2</v>
      </c>
      <c r="H201" s="15">
        <f>yint($B$3:B201,$D$3:D201)</f>
        <v>2.183773685750607E-4</v>
      </c>
      <c r="I201" s="16">
        <f>MyReg($B$3:B201,$D$3:D201)</f>
        <v>0.36792982803946056</v>
      </c>
      <c r="J201" s="17">
        <f>STDEV($D$3:D201)</f>
        <v>1.356951112061568E-2</v>
      </c>
      <c r="K201" s="4">
        <f t="shared" si="36"/>
        <v>-8.2052918605860794E-4</v>
      </c>
      <c r="L201">
        <f t="shared" si="39"/>
        <v>-6.6503413504103215E-2</v>
      </c>
      <c r="M201">
        <f>RSQ($D$3:D201,$B$3:B201)</f>
        <v>0.11854956532444551</v>
      </c>
      <c r="N201">
        <v>169</v>
      </c>
      <c r="O201" t="str">
        <f t="shared" si="37"/>
        <v/>
      </c>
      <c r="P201" t="str">
        <f t="shared" si="41"/>
        <v>close</v>
      </c>
      <c r="Q201">
        <f t="shared" si="42"/>
        <v>0</v>
      </c>
      <c r="R201">
        <f t="shared" si="43"/>
        <v>0</v>
      </c>
      <c r="S201">
        <f t="shared" si="44"/>
        <v>0</v>
      </c>
      <c r="T201">
        <f t="shared" si="45"/>
        <v>0</v>
      </c>
      <c r="U201">
        <f t="shared" si="40"/>
        <v>0</v>
      </c>
      <c r="V201">
        <f t="shared" si="46"/>
        <v>-10</v>
      </c>
      <c r="W201">
        <f t="shared" si="34"/>
        <v>-3.5639969999999721</v>
      </c>
      <c r="X201">
        <f>SUM($W$34:W201)</f>
        <v>131.90580675000021</v>
      </c>
      <c r="Y201">
        <f t="shared" si="47"/>
        <v>131.90580675000021</v>
      </c>
    </row>
    <row r="202" spans="1:25">
      <c r="A202">
        <v>103.1421751</v>
      </c>
      <c r="B202" s="2">
        <f t="shared" si="48"/>
        <v>-1.2775715523712667E-2</v>
      </c>
      <c r="C202">
        <v>106.0990439</v>
      </c>
      <c r="D202" s="3">
        <f t="shared" si="49"/>
        <v>1.2073462219331579E-2</v>
      </c>
      <c r="E202" s="3">
        <f t="shared" si="35"/>
        <v>1.638556209964406E-2</v>
      </c>
      <c r="F202" s="3">
        <f>STDEV($E$32:E202)</f>
        <v>1.3001693481059907E-2</v>
      </c>
      <c r="G202" s="14">
        <f t="shared" si="38"/>
        <v>1.2602636820744599</v>
      </c>
      <c r="H202" s="15">
        <f>yint($B$3:B202,$D$3:D202)</f>
        <v>3.0273199879104432E-4</v>
      </c>
      <c r="I202" s="16">
        <f>MyReg($B$3:B202,$D$3:D202)</f>
        <v>0.36121905427042866</v>
      </c>
      <c r="J202" s="17">
        <f>STDEV($D$3:D202)</f>
        <v>1.3560826887862967E-2</v>
      </c>
      <c r="K202" s="4">
        <f t="shared" si="36"/>
        <v>-4.3120998803124798E-3</v>
      </c>
      <c r="L202">
        <f t="shared" si="39"/>
        <v>1.2602636820744599</v>
      </c>
      <c r="M202">
        <f>RSQ($D$3:D202,$B$3:B202)</f>
        <v>0.11444253325183819</v>
      </c>
      <c r="N202">
        <v>170</v>
      </c>
      <c r="O202" t="str">
        <f t="shared" si="37"/>
        <v/>
      </c>
      <c r="P202" t="str">
        <f t="shared" si="41"/>
        <v/>
      </c>
      <c r="Q202">
        <f t="shared" si="42"/>
        <v>0</v>
      </c>
      <c r="R202">
        <f t="shared" si="43"/>
        <v>0</v>
      </c>
      <c r="S202">
        <f t="shared" si="44"/>
        <v>0</v>
      </c>
      <c r="T202">
        <f t="shared" si="45"/>
        <v>0</v>
      </c>
      <c r="U202">
        <f t="shared" si="40"/>
        <v>0</v>
      </c>
      <c r="V202">
        <f t="shared" si="46"/>
        <v>0</v>
      </c>
      <c r="W202">
        <f t="shared" si="34"/>
        <v>0</v>
      </c>
      <c r="X202">
        <f>SUM($W$34:W202)</f>
        <v>131.90580675000021</v>
      </c>
      <c r="Y202">
        <f t="shared" si="47"/>
        <v>0</v>
      </c>
    </row>
    <row r="203" spans="1:25">
      <c r="A203">
        <v>102.8902009</v>
      </c>
      <c r="B203" s="2">
        <f t="shared" si="48"/>
        <v>-2.4429793123492746E-3</v>
      </c>
      <c r="C203">
        <v>105.8554944</v>
      </c>
      <c r="D203" s="3">
        <f t="shared" si="49"/>
        <v>-2.2954919389240633E-3</v>
      </c>
      <c r="E203" s="3">
        <f t="shared" si="35"/>
        <v>-1.7068576363290251E-3</v>
      </c>
      <c r="F203" s="3">
        <f>STDEV($E$32:E203)</f>
        <v>1.2964378139231328E-2</v>
      </c>
      <c r="G203" s="14">
        <f t="shared" si="38"/>
        <v>-0.13165750165555001</v>
      </c>
      <c r="H203" s="15">
        <f>yint($B$3:B203,$D$3:D203)</f>
        <v>2.9416426007426841E-4</v>
      </c>
      <c r="I203" s="16">
        <f>MyReg($B$3:B203,$D$3:D203)</f>
        <v>0.36136145656524998</v>
      </c>
      <c r="J203" s="17">
        <f>STDEV($D$3:D203)</f>
        <v>1.3528206131290205E-2</v>
      </c>
      <c r="K203" s="4">
        <f t="shared" si="36"/>
        <v>-5.8863430259503821E-4</v>
      </c>
      <c r="L203">
        <f t="shared" si="39"/>
        <v>-0.13165750165555001</v>
      </c>
      <c r="M203">
        <f>RSQ($D$3:D203,$B$3:B203)</f>
        <v>0.11453582570161758</v>
      </c>
      <c r="N203">
        <v>171</v>
      </c>
      <c r="O203" t="str">
        <f t="shared" si="37"/>
        <v/>
      </c>
      <c r="P203" t="str">
        <f t="shared" si="41"/>
        <v/>
      </c>
      <c r="Q203">
        <f t="shared" si="42"/>
        <v>0</v>
      </c>
      <c r="R203">
        <f t="shared" si="43"/>
        <v>0</v>
      </c>
      <c r="S203">
        <f t="shared" si="44"/>
        <v>0</v>
      </c>
      <c r="T203">
        <f t="shared" si="45"/>
        <v>0</v>
      </c>
      <c r="U203">
        <f t="shared" si="40"/>
        <v>0</v>
      </c>
      <c r="V203">
        <f t="shared" si="46"/>
        <v>0</v>
      </c>
      <c r="W203">
        <f t="shared" si="34"/>
        <v>0</v>
      </c>
      <c r="X203">
        <f>SUM($W$34:W203)</f>
        <v>131.90580675000021</v>
      </c>
      <c r="Y203">
        <f t="shared" si="47"/>
        <v>0</v>
      </c>
    </row>
    <row r="204" spans="1:25">
      <c r="A204">
        <v>103.5281968</v>
      </c>
      <c r="B204" s="2">
        <f t="shared" si="48"/>
        <v>6.2007450118605712E-3</v>
      </c>
      <c r="C204">
        <v>104.7665013</v>
      </c>
      <c r="D204" s="3">
        <f t="shared" si="49"/>
        <v>-1.0287544412999276E-2</v>
      </c>
      <c r="E204" s="3">
        <f t="shared" si="35"/>
        <v>-1.2744819753557741E-2</v>
      </c>
      <c r="F204" s="3">
        <f>STDEV($E$32:E204)</f>
        <v>1.2963586361401547E-2</v>
      </c>
      <c r="G204" s="14">
        <f t="shared" si="38"/>
        <v>-0.98312453037724401</v>
      </c>
      <c r="H204" s="15">
        <f>yint($B$3:B204,$D$3:D204)</f>
        <v>2.312831346131553E-4</v>
      </c>
      <c r="I204" s="16">
        <f>MyReg($B$3:B204,$D$3:D204)</f>
        <v>0.35898786382725106</v>
      </c>
      <c r="J204" s="17">
        <f>STDEV($D$3:D204)</f>
        <v>1.3515346540064838E-2</v>
      </c>
      <c r="K204" s="4">
        <f t="shared" si="36"/>
        <v>2.4572753405584643E-3</v>
      </c>
      <c r="L204">
        <f t="shared" si="39"/>
        <v>-0.98312453037724401</v>
      </c>
      <c r="M204">
        <f>RSQ($D$3:D204,$B$3:B204)</f>
        <v>0.11281274616887729</v>
      </c>
      <c r="N204">
        <v>172</v>
      </c>
      <c r="O204" t="str">
        <f t="shared" si="37"/>
        <v/>
      </c>
      <c r="P204" t="str">
        <f t="shared" si="41"/>
        <v/>
      </c>
      <c r="Q204">
        <f t="shared" si="42"/>
        <v>0</v>
      </c>
      <c r="R204">
        <f t="shared" si="43"/>
        <v>0</v>
      </c>
      <c r="S204">
        <f t="shared" si="44"/>
        <v>0</v>
      </c>
      <c r="T204">
        <f t="shared" si="45"/>
        <v>0</v>
      </c>
      <c r="U204">
        <f t="shared" si="40"/>
        <v>0</v>
      </c>
      <c r="V204">
        <f t="shared" si="46"/>
        <v>0</v>
      </c>
      <c r="W204">
        <f t="shared" ref="W204:W267" si="50">IF(ABS(V204)&gt;0,V204*(C204-A204),0)</f>
        <v>0</v>
      </c>
      <c r="X204">
        <f>SUM($W$34:W204)</f>
        <v>131.90580675000021</v>
      </c>
      <c r="Y204">
        <f t="shared" si="47"/>
        <v>0</v>
      </c>
    </row>
    <row r="205" spans="1:25">
      <c r="A205">
        <v>105.42125950000001</v>
      </c>
      <c r="B205" s="2">
        <f t="shared" si="48"/>
        <v>1.8285479304320323E-2</v>
      </c>
      <c r="C205">
        <v>106.2674854</v>
      </c>
      <c r="D205" s="3">
        <f t="shared" si="49"/>
        <v>1.4326946890226988E-2</v>
      </c>
      <c r="E205" s="3">
        <f t="shared" si="35"/>
        <v>7.4195871046756675E-3</v>
      </c>
      <c r="F205" s="3">
        <f>STDEV($E$32:E205)</f>
        <v>1.2938147773531406E-2</v>
      </c>
      <c r="G205" s="14">
        <f t="shared" si="38"/>
        <v>0.5734659423085664</v>
      </c>
      <c r="H205" s="15">
        <f>yint($B$3:B205,$D$3:D205)</f>
        <v>2.6696805018011193E-4</v>
      </c>
      <c r="I205" s="16">
        <f>MyReg($B$3:B205,$D$3:D205)</f>
        <v>0.36315108971752674</v>
      </c>
      <c r="J205" s="17">
        <f>STDEV($D$3:D205)</f>
        <v>1.3517639848514385E-2</v>
      </c>
      <c r="K205" s="4">
        <f t="shared" si="36"/>
        <v>6.9073597855513202E-3</v>
      </c>
      <c r="L205">
        <f t="shared" si="39"/>
        <v>0.5734659423085664</v>
      </c>
      <c r="M205">
        <f>RSQ($D$3:D205,$B$3:B205)</f>
        <v>0.11599035695424322</v>
      </c>
      <c r="N205">
        <v>173</v>
      </c>
      <c r="O205" t="str">
        <f t="shared" si="37"/>
        <v/>
      </c>
      <c r="P205" t="str">
        <f t="shared" si="41"/>
        <v/>
      </c>
      <c r="Q205">
        <f t="shared" si="42"/>
        <v>0</v>
      </c>
      <c r="R205">
        <f t="shared" si="43"/>
        <v>0</v>
      </c>
      <c r="S205">
        <f t="shared" si="44"/>
        <v>0</v>
      </c>
      <c r="T205">
        <f t="shared" si="45"/>
        <v>0</v>
      </c>
      <c r="U205">
        <f t="shared" si="40"/>
        <v>0</v>
      </c>
      <c r="V205">
        <f t="shared" si="46"/>
        <v>0</v>
      </c>
      <c r="W205">
        <f t="shared" si="50"/>
        <v>0</v>
      </c>
      <c r="X205">
        <f>SUM($W$34:W205)</f>
        <v>131.90580675000021</v>
      </c>
      <c r="Y205">
        <f t="shared" si="47"/>
        <v>0</v>
      </c>
    </row>
    <row r="206" spans="1:25">
      <c r="A206">
        <v>106.7711584</v>
      </c>
      <c r="B206" s="2">
        <f t="shared" si="48"/>
        <v>1.2804807174590808E-2</v>
      </c>
      <c r="C206">
        <v>108.56986240000001</v>
      </c>
      <c r="D206" s="3">
        <f t="shared" si="49"/>
        <v>2.1665865069956828E-2</v>
      </c>
      <c r="E206" s="3">
        <f t="shared" si="35"/>
        <v>1.658771620743292E-2</v>
      </c>
      <c r="F206" s="3">
        <f>STDEV($E$32:E206)</f>
        <v>1.2961068713649321E-2</v>
      </c>
      <c r="G206" s="14">
        <f t="shared" si="38"/>
        <v>1.2798108376637469</v>
      </c>
      <c r="H206" s="15">
        <f>yint($B$3:B206,$D$3:D206)</f>
        <v>3.4651536566525983E-4</v>
      </c>
      <c r="I206" s="16">
        <f>MyReg($B$3:B206,$D$3:D206)</f>
        <v>0.36952008978689305</v>
      </c>
      <c r="J206" s="17">
        <f>STDEV($D$3:D206)</f>
        <v>1.3566329518873325E-2</v>
      </c>
      <c r="K206" s="4">
        <f t="shared" si="36"/>
        <v>5.0781488625239075E-3</v>
      </c>
      <c r="L206">
        <f t="shared" si="39"/>
        <v>1.2798108376637469</v>
      </c>
      <c r="M206">
        <f>RSQ($D$3:D206,$B$3:B206)</f>
        <v>0.119211749668241</v>
      </c>
      <c r="N206">
        <v>174</v>
      </c>
      <c r="O206" t="str">
        <f t="shared" si="37"/>
        <v/>
      </c>
      <c r="P206" t="str">
        <f t="shared" si="41"/>
        <v/>
      </c>
      <c r="Q206">
        <f t="shared" si="42"/>
        <v>0</v>
      </c>
      <c r="R206">
        <f t="shared" si="43"/>
        <v>0</v>
      </c>
      <c r="S206">
        <f t="shared" si="44"/>
        <v>0</v>
      </c>
      <c r="T206">
        <f t="shared" si="45"/>
        <v>0</v>
      </c>
      <c r="U206">
        <f t="shared" si="40"/>
        <v>0</v>
      </c>
      <c r="V206">
        <f t="shared" si="46"/>
        <v>0</v>
      </c>
      <c r="W206">
        <f t="shared" si="50"/>
        <v>0</v>
      </c>
      <c r="X206">
        <f>SUM($W$34:W206)</f>
        <v>131.90580675000021</v>
      </c>
      <c r="Y206">
        <f t="shared" si="47"/>
        <v>0</v>
      </c>
    </row>
    <row r="207" spans="1:25">
      <c r="A207">
        <v>106.80094649999999</v>
      </c>
      <c r="B207" s="2">
        <f t="shared" si="48"/>
        <v>2.7899013597281001E-4</v>
      </c>
      <c r="C207">
        <v>109.2493484</v>
      </c>
      <c r="D207" s="3">
        <f t="shared" si="49"/>
        <v>6.2585139649214208E-3</v>
      </c>
      <c r="E207" s="3">
        <f t="shared" si="35"/>
        <v>5.7805673812436949E-3</v>
      </c>
      <c r="F207" s="3">
        <f>STDEV($E$32:E207)</f>
        <v>1.2930871658665103E-2</v>
      </c>
      <c r="G207" s="14">
        <f t="shared" si="38"/>
        <v>0.44703617310825911</v>
      </c>
      <c r="H207" s="15">
        <f>yint($B$3:B207,$D$3:D207)</f>
        <v>3.7486016189885822E-4</v>
      </c>
      <c r="I207" s="16">
        <f>MyReg($B$3:B207,$D$3:D207)</f>
        <v>0.36949844631393935</v>
      </c>
      <c r="J207" s="17">
        <f>STDEV($D$3:D207)</f>
        <v>1.3539023895793876E-2</v>
      </c>
      <c r="K207" s="4">
        <f t="shared" si="36"/>
        <v>4.7794658367772619E-4</v>
      </c>
      <c r="L207">
        <f t="shared" si="39"/>
        <v>0.44703617310825911</v>
      </c>
      <c r="M207">
        <f>RSQ($D$3:D207,$B$3:B207)</f>
        <v>0.11909246039880741</v>
      </c>
      <c r="N207">
        <v>175</v>
      </c>
      <c r="O207" t="str">
        <f t="shared" si="37"/>
        <v/>
      </c>
      <c r="P207" t="str">
        <f t="shared" si="41"/>
        <v/>
      </c>
      <c r="Q207">
        <f t="shared" si="42"/>
        <v>0</v>
      </c>
      <c r="R207">
        <f t="shared" si="43"/>
        <v>0</v>
      </c>
      <c r="S207">
        <f t="shared" si="44"/>
        <v>0</v>
      </c>
      <c r="T207">
        <f t="shared" si="45"/>
        <v>0</v>
      </c>
      <c r="U207">
        <f t="shared" si="40"/>
        <v>0</v>
      </c>
      <c r="V207">
        <f t="shared" si="46"/>
        <v>0</v>
      </c>
      <c r="W207">
        <f t="shared" si="50"/>
        <v>0</v>
      </c>
      <c r="X207">
        <f>SUM($W$34:W207)</f>
        <v>131.90580675000021</v>
      </c>
      <c r="Y207">
        <f t="shared" si="47"/>
        <v>0</v>
      </c>
    </row>
    <row r="208" spans="1:25">
      <c r="A208">
        <v>107.5127337</v>
      </c>
      <c r="B208" s="2">
        <f t="shared" si="48"/>
        <v>6.6646150930881817E-3</v>
      </c>
      <c r="C208">
        <v>109.8043667</v>
      </c>
      <c r="D208" s="3">
        <f t="shared" si="49"/>
        <v>5.0802893392817745E-3</v>
      </c>
      <c r="E208" s="3">
        <f t="shared" si="35"/>
        <v>2.2293078082897791E-3</v>
      </c>
      <c r="F208" s="3">
        <f>STDEV($E$32:E208)</f>
        <v>1.2894973660598099E-2</v>
      </c>
      <c r="G208" s="14">
        <f t="shared" si="38"/>
        <v>0.17288192027112512</v>
      </c>
      <c r="H208" s="15">
        <f>yint($B$3:B208,$D$3:D208)</f>
        <v>3.8556336241338745E-4</v>
      </c>
      <c r="I208" s="16">
        <f>MyReg($B$3:B208,$D$3:D208)</f>
        <v>0.36992656502180798</v>
      </c>
      <c r="J208" s="17">
        <f>STDEV($D$3:D208)</f>
        <v>1.3509693661806519E-2</v>
      </c>
      <c r="K208" s="4">
        <f t="shared" si="36"/>
        <v>2.8509815309919954E-3</v>
      </c>
      <c r="L208">
        <f t="shared" si="39"/>
        <v>0.17288192027112512</v>
      </c>
      <c r="M208">
        <f>RSQ($D$3:D208,$B$3:B208)</f>
        <v>0.11944546912624025</v>
      </c>
      <c r="N208">
        <v>176</v>
      </c>
      <c r="O208" t="str">
        <f t="shared" si="37"/>
        <v/>
      </c>
      <c r="P208" t="str">
        <f t="shared" si="41"/>
        <v/>
      </c>
      <c r="Q208">
        <f t="shared" si="42"/>
        <v>0</v>
      </c>
      <c r="R208">
        <f t="shared" si="43"/>
        <v>0</v>
      </c>
      <c r="S208">
        <f t="shared" si="44"/>
        <v>0</v>
      </c>
      <c r="T208">
        <f t="shared" si="45"/>
        <v>0</v>
      </c>
      <c r="U208">
        <f t="shared" si="40"/>
        <v>0</v>
      </c>
      <c r="V208">
        <f t="shared" si="46"/>
        <v>0</v>
      </c>
      <c r="W208">
        <f t="shared" si="50"/>
        <v>0</v>
      </c>
      <c r="X208">
        <f>SUM($W$34:W208)</f>
        <v>131.90580675000021</v>
      </c>
      <c r="Y208">
        <f t="shared" si="47"/>
        <v>0</v>
      </c>
    </row>
    <row r="209" spans="1:25">
      <c r="A209">
        <v>107.1892239</v>
      </c>
      <c r="B209" s="2">
        <f t="shared" si="48"/>
        <v>-3.0090370588353528E-3</v>
      </c>
      <c r="C209">
        <v>111.4417517</v>
      </c>
      <c r="D209" s="3">
        <f t="shared" si="49"/>
        <v>1.4911838656412876E-2</v>
      </c>
      <c r="E209" s="3">
        <f t="shared" si="35"/>
        <v>1.5558235132498679E-2</v>
      </c>
      <c r="F209" s="3">
        <f>STDEV($E$32:E209)</f>
        <v>1.2909751132214381E-2</v>
      </c>
      <c r="G209" s="14">
        <f t="shared" si="38"/>
        <v>1.2051537611500036</v>
      </c>
      <c r="H209" s="15">
        <f>yint($B$3:B209,$D$3:D209)</f>
        <v>4.6179499580516572E-4</v>
      </c>
      <c r="I209" s="16">
        <f>MyReg($B$3:B209,$D$3:D209)</f>
        <v>0.3682877446248185</v>
      </c>
      <c r="J209" s="17">
        <f>STDEV($D$3:D209)</f>
        <v>1.3513806904753506E-2</v>
      </c>
      <c r="K209" s="4">
        <f t="shared" si="36"/>
        <v>-6.4639647608580363E-4</v>
      </c>
      <c r="L209">
        <f t="shared" si="39"/>
        <v>1.2051537611500036</v>
      </c>
      <c r="M209">
        <f>RSQ($D$3:D209,$B$3:B209)</f>
        <v>0.11778554006828176</v>
      </c>
      <c r="N209">
        <v>177</v>
      </c>
      <c r="O209" t="str">
        <f t="shared" si="37"/>
        <v/>
      </c>
      <c r="P209" t="str">
        <f t="shared" si="41"/>
        <v/>
      </c>
      <c r="Q209">
        <f t="shared" si="42"/>
        <v>0</v>
      </c>
      <c r="R209">
        <f t="shared" si="43"/>
        <v>0</v>
      </c>
      <c r="S209">
        <f t="shared" si="44"/>
        <v>0</v>
      </c>
      <c r="T209">
        <f t="shared" si="45"/>
        <v>0</v>
      </c>
      <c r="U209">
        <f t="shared" si="40"/>
        <v>0</v>
      </c>
      <c r="V209">
        <f t="shared" si="46"/>
        <v>0</v>
      </c>
      <c r="W209">
        <f t="shared" si="50"/>
        <v>0</v>
      </c>
      <c r="X209">
        <f>SUM($W$34:W209)</f>
        <v>131.90580675000021</v>
      </c>
      <c r="Y209">
        <f t="shared" si="47"/>
        <v>0</v>
      </c>
    </row>
    <row r="210" spans="1:25">
      <c r="A210">
        <v>106.45672140000001</v>
      </c>
      <c r="B210" s="2">
        <f t="shared" si="48"/>
        <v>-6.8337326584561207E-3</v>
      </c>
      <c r="C210">
        <v>110.45075610000001</v>
      </c>
      <c r="D210" s="3">
        <f t="shared" si="49"/>
        <v>-8.8924984117957906E-3</v>
      </c>
      <c r="E210" s="3">
        <f t="shared" si="35"/>
        <v>-6.7937685043458016E-3</v>
      </c>
      <c r="F210" s="3">
        <f>STDEV($E$32:E210)</f>
        <v>1.2884386402913521E-2</v>
      </c>
      <c r="G210" s="14">
        <f t="shared" si="38"/>
        <v>-0.52728692635370977</v>
      </c>
      <c r="H210" s="15">
        <f>yint($B$3:B210,$D$3:D210)</f>
        <v>4.2835037454982917E-4</v>
      </c>
      <c r="I210" s="16">
        <f>MyReg($B$3:B210,$D$3:D210)</f>
        <v>0.36979501661844894</v>
      </c>
      <c r="J210" s="17">
        <f>STDEV($D$3:D210)</f>
        <v>1.3497231693325291E-2</v>
      </c>
      <c r="K210" s="4">
        <f t="shared" si="36"/>
        <v>-2.0987299074499894E-3</v>
      </c>
      <c r="L210">
        <f t="shared" si="39"/>
        <v>-0.52728692635370977</v>
      </c>
      <c r="M210">
        <f>RSQ($D$3:D210,$B$3:B210)</f>
        <v>0.11865796520311105</v>
      </c>
      <c r="N210">
        <v>178</v>
      </c>
      <c r="O210" t="str">
        <f t="shared" si="37"/>
        <v/>
      </c>
      <c r="P210" t="str">
        <f t="shared" si="41"/>
        <v/>
      </c>
      <c r="Q210">
        <f t="shared" si="42"/>
        <v>0</v>
      </c>
      <c r="R210">
        <f t="shared" si="43"/>
        <v>0</v>
      </c>
      <c r="S210">
        <f t="shared" si="44"/>
        <v>0</v>
      </c>
      <c r="T210">
        <f t="shared" si="45"/>
        <v>0</v>
      </c>
      <c r="U210">
        <f t="shared" si="40"/>
        <v>0</v>
      </c>
      <c r="V210">
        <f t="shared" si="46"/>
        <v>0</v>
      </c>
      <c r="W210">
        <f t="shared" si="50"/>
        <v>0</v>
      </c>
      <c r="X210">
        <f>SUM($W$34:W210)</f>
        <v>131.90580675000021</v>
      </c>
      <c r="Y210">
        <f t="shared" si="47"/>
        <v>0</v>
      </c>
    </row>
    <row r="211" spans="1:25">
      <c r="A211">
        <v>104.0554829</v>
      </c>
      <c r="B211" s="2">
        <f t="shared" si="48"/>
        <v>-2.2556006501248543E-2</v>
      </c>
      <c r="C211">
        <v>111.11815300000001</v>
      </c>
      <c r="D211" s="3">
        <f t="shared" si="49"/>
        <v>6.0424837598735091E-3</v>
      </c>
      <c r="E211" s="3">
        <f t="shared" si="35"/>
        <v>1.3669755744428663E-2</v>
      </c>
      <c r="F211" s="3">
        <f>STDEV($E$32:E211)</f>
        <v>1.2887096021649164E-2</v>
      </c>
      <c r="G211" s="14">
        <f t="shared" si="38"/>
        <v>1.0607320471163326</v>
      </c>
      <c r="H211" s="15">
        <f>yint($B$3:B211,$D$3:D211)</f>
        <v>4.9770622457856223E-4</v>
      </c>
      <c r="I211" s="16">
        <f>MyReg($B$3:B211,$D$3:D211)</f>
        <v>0.36021350715092121</v>
      </c>
      <c r="J211" s="17">
        <f>STDEV($D$3:D211)</f>
        <v>1.3470069872914898E-2</v>
      </c>
      <c r="K211" s="4">
        <f t="shared" si="36"/>
        <v>-7.627271984555155E-3</v>
      </c>
      <c r="L211">
        <f t="shared" si="39"/>
        <v>1.0607320471163326</v>
      </c>
      <c r="M211">
        <f>RSQ($D$3:D211,$B$3:B211)</f>
        <v>0.11429963829750484</v>
      </c>
      <c r="N211">
        <v>179</v>
      </c>
      <c r="O211" t="str">
        <f t="shared" si="37"/>
        <v/>
      </c>
      <c r="P211" t="str">
        <f t="shared" si="41"/>
        <v/>
      </c>
      <c r="Q211">
        <f t="shared" si="42"/>
        <v>0</v>
      </c>
      <c r="R211">
        <f t="shared" si="43"/>
        <v>0</v>
      </c>
      <c r="S211">
        <f t="shared" si="44"/>
        <v>0</v>
      </c>
      <c r="T211">
        <f t="shared" si="45"/>
        <v>0</v>
      </c>
      <c r="U211">
        <f t="shared" si="40"/>
        <v>0</v>
      </c>
      <c r="V211">
        <f t="shared" si="46"/>
        <v>0</v>
      </c>
      <c r="W211">
        <f t="shared" si="50"/>
        <v>0</v>
      </c>
      <c r="X211">
        <f>SUM($W$34:W211)</f>
        <v>131.90580675000021</v>
      </c>
      <c r="Y211">
        <f t="shared" si="47"/>
        <v>0</v>
      </c>
    </row>
    <row r="212" spans="1:25">
      <c r="A212">
        <v>104.7259377</v>
      </c>
      <c r="B212" s="2">
        <f t="shared" si="48"/>
        <v>6.4432433670441568E-3</v>
      </c>
      <c r="C212">
        <v>111.35620489999999</v>
      </c>
      <c r="D212" s="3">
        <f t="shared" si="49"/>
        <v>2.1423313254674767E-3</v>
      </c>
      <c r="E212" s="3">
        <f t="shared" si="35"/>
        <v>-6.7233053585568584E-4</v>
      </c>
      <c r="F212" s="3">
        <f>STDEV($E$32:E212)</f>
        <v>1.2851471695930813E-2</v>
      </c>
      <c r="G212" s="14">
        <f t="shared" si="38"/>
        <v>-5.2315450849770552E-2</v>
      </c>
      <c r="H212" s="15">
        <f>yint($B$3:B212,$D$3:D212)</f>
        <v>4.9452300755448533E-4</v>
      </c>
      <c r="I212" s="16">
        <f>MyReg($B$3:B212,$D$3:D212)</f>
        <v>0.3600886574664714</v>
      </c>
      <c r="J212" s="17">
        <f>STDEV($D$3:D212)</f>
        <v>1.3438230470834913E-2</v>
      </c>
      <c r="K212" s="4">
        <f t="shared" si="36"/>
        <v>2.8146618613231625E-3</v>
      </c>
      <c r="L212">
        <f t="shared" si="39"/>
        <v>-5.2315450849770552E-2</v>
      </c>
      <c r="M212">
        <f>RSQ($D$3:D212,$B$3:B212)</f>
        <v>0.11434351809164336</v>
      </c>
      <c r="N212">
        <v>180</v>
      </c>
      <c r="O212" t="str">
        <f t="shared" si="37"/>
        <v/>
      </c>
      <c r="P212" t="str">
        <f t="shared" si="41"/>
        <v/>
      </c>
      <c r="Q212">
        <f t="shared" si="42"/>
        <v>0</v>
      </c>
      <c r="R212">
        <f t="shared" si="43"/>
        <v>0</v>
      </c>
      <c r="S212">
        <f t="shared" si="44"/>
        <v>0</v>
      </c>
      <c r="T212">
        <f t="shared" si="45"/>
        <v>0</v>
      </c>
      <c r="U212">
        <f t="shared" si="40"/>
        <v>0</v>
      </c>
      <c r="V212">
        <f t="shared" si="46"/>
        <v>0</v>
      </c>
      <c r="W212">
        <f t="shared" si="50"/>
        <v>0</v>
      </c>
      <c r="X212">
        <f>SUM($W$34:W212)</f>
        <v>131.90580675000021</v>
      </c>
      <c r="Y212">
        <f t="shared" si="47"/>
        <v>0</v>
      </c>
    </row>
    <row r="213" spans="1:25">
      <c r="A213">
        <v>105.1756742</v>
      </c>
      <c r="B213" s="2">
        <f t="shared" si="48"/>
        <v>4.294413684681672E-3</v>
      </c>
      <c r="C213">
        <v>111.2715776</v>
      </c>
      <c r="D213" s="3">
        <f t="shared" si="49"/>
        <v>-7.5996932614568629E-4</v>
      </c>
      <c r="E213" s="3">
        <f t="shared" si="35"/>
        <v>-2.7862578273702299E-3</v>
      </c>
      <c r="F213" s="3">
        <f>STDEV($E$32:E213)</f>
        <v>1.2818016972735042E-2</v>
      </c>
      <c r="G213" s="14">
        <f t="shared" si="38"/>
        <v>-0.21737042736772977</v>
      </c>
      <c r="H213" s="15">
        <f>yint($B$3:B213,$D$3:D213)</f>
        <v>4.813551592867466E-4</v>
      </c>
      <c r="I213" s="16">
        <f>MyReg($B$3:B213,$D$3:D213)</f>
        <v>0.35975419588677021</v>
      </c>
      <c r="J213" s="17">
        <f>STDEV($D$3:D213)</f>
        <v>1.3406524493183209E-2</v>
      </c>
      <c r="K213" s="4">
        <f t="shared" si="36"/>
        <v>2.0262885012245434E-3</v>
      </c>
      <c r="L213">
        <f t="shared" si="39"/>
        <v>-0.21737042736772977</v>
      </c>
      <c r="M213">
        <f>RSQ($D$3:D213,$B$3:B213)</f>
        <v>0.11418009518404831</v>
      </c>
      <c r="N213">
        <v>181</v>
      </c>
      <c r="O213" t="str">
        <f t="shared" si="37"/>
        <v/>
      </c>
      <c r="P213" t="str">
        <f t="shared" si="41"/>
        <v/>
      </c>
      <c r="Q213">
        <f t="shared" si="42"/>
        <v>0</v>
      </c>
      <c r="R213">
        <f t="shared" si="43"/>
        <v>0</v>
      </c>
      <c r="S213">
        <f t="shared" si="44"/>
        <v>0</v>
      </c>
      <c r="T213">
        <f t="shared" si="45"/>
        <v>0</v>
      </c>
      <c r="U213">
        <f t="shared" si="40"/>
        <v>0</v>
      </c>
      <c r="V213">
        <f t="shared" si="46"/>
        <v>0</v>
      </c>
      <c r="W213">
        <f t="shared" si="50"/>
        <v>0</v>
      </c>
      <c r="X213">
        <f>SUM($W$34:W213)</f>
        <v>131.90580675000021</v>
      </c>
      <c r="Y213">
        <f t="shared" si="47"/>
        <v>0</v>
      </c>
    </row>
    <row r="214" spans="1:25">
      <c r="A214">
        <v>105.02242649999999</v>
      </c>
      <c r="B214" s="2">
        <f t="shared" si="48"/>
        <v>-1.4570641088413249E-3</v>
      </c>
      <c r="C214">
        <v>111.5316047</v>
      </c>
      <c r="D214" s="3">
        <f t="shared" si="49"/>
        <v>2.3368689975327723E-3</v>
      </c>
      <c r="E214" s="3">
        <f t="shared" si="35"/>
        <v>2.3682507211057881E-3</v>
      </c>
      <c r="F214" s="3">
        <f>STDEV($E$32:E214)</f>
        <v>1.2783647809316975E-2</v>
      </c>
      <c r="G214" s="14">
        <f t="shared" si="38"/>
        <v>0.18525625521220634</v>
      </c>
      <c r="H214" s="15">
        <f>yint($B$3:B214,$D$3:D214)</f>
        <v>4.9261925108124924E-4</v>
      </c>
      <c r="I214" s="16">
        <f>MyReg($B$3:B214,$D$3:D214)</f>
        <v>0.35962794737354198</v>
      </c>
      <c r="J214" s="17">
        <f>STDEV($D$3:D214)</f>
        <v>1.337525229113992E-2</v>
      </c>
      <c r="K214" s="4">
        <f t="shared" si="36"/>
        <v>-3.1381723573015662E-5</v>
      </c>
      <c r="L214">
        <f t="shared" si="39"/>
        <v>0.18525625521220634</v>
      </c>
      <c r="M214">
        <f>RSQ($D$3:D214,$B$3:B214)</f>
        <v>0.11410159641977564</v>
      </c>
      <c r="N214">
        <v>182</v>
      </c>
      <c r="O214" t="str">
        <f t="shared" si="37"/>
        <v/>
      </c>
      <c r="P214" t="str">
        <f t="shared" si="41"/>
        <v/>
      </c>
      <c r="Q214">
        <f t="shared" si="42"/>
        <v>0</v>
      </c>
      <c r="R214">
        <f t="shared" si="43"/>
        <v>0</v>
      </c>
      <c r="S214">
        <f t="shared" si="44"/>
        <v>0</v>
      </c>
      <c r="T214">
        <f t="shared" si="45"/>
        <v>0</v>
      </c>
      <c r="U214">
        <f t="shared" si="40"/>
        <v>0</v>
      </c>
      <c r="V214">
        <f t="shared" si="46"/>
        <v>0</v>
      </c>
      <c r="W214">
        <f t="shared" si="50"/>
        <v>0</v>
      </c>
      <c r="X214">
        <f>SUM($W$34:W214)</f>
        <v>131.90580675000021</v>
      </c>
      <c r="Y214">
        <f t="shared" si="47"/>
        <v>0</v>
      </c>
    </row>
    <row r="215" spans="1:25">
      <c r="A215">
        <v>105.2516893</v>
      </c>
      <c r="B215" s="2">
        <f t="shared" si="48"/>
        <v>2.1829889828340692E-3</v>
      </c>
      <c r="C215">
        <v>111.979392</v>
      </c>
      <c r="D215" s="3">
        <f t="shared" si="49"/>
        <v>4.01489157449558E-3</v>
      </c>
      <c r="E215" s="3">
        <f t="shared" si="35"/>
        <v>2.7240720267251296E-3</v>
      </c>
      <c r="F215" s="3">
        <f>STDEV($E$32:E215)</f>
        <v>1.2749888876846926E-2</v>
      </c>
      <c r="G215" s="14">
        <f t="shared" si="38"/>
        <v>0.21365457009369623</v>
      </c>
      <c r="H215" s="15">
        <f>yint($B$3:B215,$D$3:D215)</f>
        <v>5.0542119276192647E-4</v>
      </c>
      <c r="I215" s="16">
        <f>MyReg($B$3:B215,$D$3:D215)</f>
        <v>0.35978118129981551</v>
      </c>
      <c r="J215" s="17">
        <f>STDEV($D$3:D215)</f>
        <v>1.3345716134867293E-2</v>
      </c>
      <c r="K215" s="4">
        <f t="shared" si="36"/>
        <v>1.2908195477704504E-3</v>
      </c>
      <c r="L215">
        <f t="shared" si="39"/>
        <v>0.21365457009369623</v>
      </c>
      <c r="M215">
        <f>RSQ($D$3:D215,$B$3:B215)</f>
        <v>0.11417580435043925</v>
      </c>
      <c r="N215">
        <v>183</v>
      </c>
      <c r="O215" t="str">
        <f t="shared" si="37"/>
        <v/>
      </c>
      <c r="P215" t="str">
        <f t="shared" si="41"/>
        <v/>
      </c>
      <c r="Q215">
        <f t="shared" si="42"/>
        <v>0</v>
      </c>
      <c r="R215">
        <f t="shared" si="43"/>
        <v>0</v>
      </c>
      <c r="S215">
        <f t="shared" si="44"/>
        <v>0</v>
      </c>
      <c r="T215">
        <f t="shared" si="45"/>
        <v>0</v>
      </c>
      <c r="U215">
        <f t="shared" si="40"/>
        <v>0</v>
      </c>
      <c r="V215">
        <f t="shared" si="46"/>
        <v>0</v>
      </c>
      <c r="W215">
        <f t="shared" si="50"/>
        <v>0</v>
      </c>
      <c r="X215">
        <f>SUM($W$34:W215)</f>
        <v>131.90580675000021</v>
      </c>
      <c r="Y215">
        <f t="shared" si="47"/>
        <v>0</v>
      </c>
    </row>
    <row r="216" spans="1:25">
      <c r="A216">
        <v>102.5355395</v>
      </c>
      <c r="B216" s="2">
        <f t="shared" si="48"/>
        <v>-2.5806234731854293E-2</v>
      </c>
      <c r="C216">
        <v>112.7165215</v>
      </c>
      <c r="D216" s="3">
        <f t="shared" si="49"/>
        <v>6.5827246141861055E-3</v>
      </c>
      <c r="E216" s="3">
        <f t="shared" si="35"/>
        <v>1.4984487769544093E-2</v>
      </c>
      <c r="F216" s="3">
        <f>STDEV($E$32:E216)</f>
        <v>1.2760651760383865E-2</v>
      </c>
      <c r="G216" s="14">
        <f t="shared" si="38"/>
        <v>1.1742729173179263</v>
      </c>
      <c r="H216" s="15">
        <f>yint($B$3:B216,$D$3:D216)</f>
        <v>5.7951426751233742E-4</v>
      </c>
      <c r="I216" s="16">
        <f>MyReg($B$3:B216,$D$3:D216)</f>
        <v>0.34802742500765355</v>
      </c>
      <c r="J216" s="17">
        <f>STDEV($D$3:D216)</f>
        <v>1.3320588988366916E-2</v>
      </c>
      <c r="K216" s="4">
        <f t="shared" si="36"/>
        <v>-8.4017631553579882E-3</v>
      </c>
      <c r="L216">
        <f t="shared" si="39"/>
        <v>1.1742729173179263</v>
      </c>
      <c r="M216">
        <f>RSQ($D$3:D216,$B$3:B216)</f>
        <v>0.10891462195860159</v>
      </c>
      <c r="N216">
        <v>184</v>
      </c>
      <c r="O216" t="str">
        <f t="shared" si="37"/>
        <v/>
      </c>
      <c r="P216" t="str">
        <f t="shared" si="41"/>
        <v/>
      </c>
      <c r="Q216">
        <f t="shared" si="42"/>
        <v>0</v>
      </c>
      <c r="R216">
        <f t="shared" si="43"/>
        <v>0</v>
      </c>
      <c r="S216">
        <f t="shared" si="44"/>
        <v>0</v>
      </c>
      <c r="T216">
        <f t="shared" si="45"/>
        <v>0</v>
      </c>
      <c r="U216">
        <f t="shared" si="40"/>
        <v>0</v>
      </c>
      <c r="V216">
        <f t="shared" si="46"/>
        <v>0</v>
      </c>
      <c r="W216">
        <f t="shared" si="50"/>
        <v>0</v>
      </c>
      <c r="X216">
        <f>SUM($W$34:W216)</f>
        <v>131.90580675000021</v>
      </c>
      <c r="Y216">
        <f t="shared" si="47"/>
        <v>0</v>
      </c>
    </row>
    <row r="217" spans="1:25">
      <c r="A217">
        <v>98.738116450000007</v>
      </c>
      <c r="B217" s="2">
        <f t="shared" si="48"/>
        <v>-3.7035188662561162E-2</v>
      </c>
      <c r="C217">
        <v>112.7153175</v>
      </c>
      <c r="D217" s="3">
        <f t="shared" si="49"/>
        <v>-1.0681663912076236E-5</v>
      </c>
      <c r="E217" s="3">
        <f t="shared" si="35"/>
        <v>1.1764246555432513E-2</v>
      </c>
      <c r="F217" s="3">
        <f>STDEV($E$32:E217)</f>
        <v>1.2753239559927698E-2</v>
      </c>
      <c r="G217" s="14">
        <f t="shared" si="38"/>
        <v>0.92245162495004596</v>
      </c>
      <c r="H217" s="15">
        <f>yint($B$3:B217,$D$3:D217)</f>
        <v>6.3701866949151848E-4</v>
      </c>
      <c r="I217" s="16">
        <f>MyReg($B$3:B217,$D$3:D217)</f>
        <v>0.33513929149720612</v>
      </c>
      <c r="J217" s="17">
        <f>STDEV($D$3:D217)</f>
        <v>1.3289505566179661E-2</v>
      </c>
      <c r="K217" s="4">
        <f t="shared" si="36"/>
        <v>-1.177492821934459E-2</v>
      </c>
      <c r="L217">
        <f t="shared" si="39"/>
        <v>0.92245162495004596</v>
      </c>
      <c r="M217">
        <f>RSQ($D$3:D217,$B$3:B217)</f>
        <v>0.10509650962687007</v>
      </c>
      <c r="N217">
        <v>185</v>
      </c>
      <c r="O217" t="str">
        <f t="shared" si="37"/>
        <v/>
      </c>
      <c r="P217" t="str">
        <f t="shared" si="41"/>
        <v/>
      </c>
      <c r="Q217">
        <f t="shared" si="42"/>
        <v>0</v>
      </c>
      <c r="R217">
        <f t="shared" si="43"/>
        <v>0</v>
      </c>
      <c r="S217">
        <f t="shared" si="44"/>
        <v>0</v>
      </c>
      <c r="T217">
        <f t="shared" si="45"/>
        <v>0</v>
      </c>
      <c r="U217">
        <f t="shared" si="40"/>
        <v>0</v>
      </c>
      <c r="V217">
        <f t="shared" si="46"/>
        <v>0</v>
      </c>
      <c r="W217">
        <f t="shared" si="50"/>
        <v>0</v>
      </c>
      <c r="X217">
        <f>SUM($W$34:W217)</f>
        <v>131.90580675000021</v>
      </c>
      <c r="Y217">
        <f t="shared" si="47"/>
        <v>0</v>
      </c>
    </row>
    <row r="218" spans="1:25">
      <c r="A218">
        <v>97.053747749999999</v>
      </c>
      <c r="B218" s="2">
        <f t="shared" si="48"/>
        <v>-1.7058951097704552E-2</v>
      </c>
      <c r="C218">
        <v>110.0427109</v>
      </c>
      <c r="D218" s="3">
        <f t="shared" si="49"/>
        <v>-2.3711121605100343E-2</v>
      </c>
      <c r="E218" s="3">
        <f t="shared" si="35"/>
        <v>-1.839369313348355E-2</v>
      </c>
      <c r="F218" s="3">
        <f>STDEV($E$32:E218)</f>
        <v>1.2793636515821341E-2</v>
      </c>
      <c r="G218" s="14">
        <f t="shared" si="38"/>
        <v>-1.437722035539845</v>
      </c>
      <c r="H218" s="15">
        <f>yint($B$3:B218,$D$3:D218)</f>
        <v>5.5126017847714488E-4</v>
      </c>
      <c r="I218" s="16">
        <f>MyReg($B$3:B218,$D$3:D218)</f>
        <v>0.34402400337988109</v>
      </c>
      <c r="J218" s="17">
        <f>STDEV($D$3:D218)</f>
        <v>1.3361731172689597E-2</v>
      </c>
      <c r="K218" s="4">
        <f t="shared" si="36"/>
        <v>-5.3174284716167924E-3</v>
      </c>
      <c r="L218">
        <f t="shared" si="39"/>
        <v>-1.437722035539845</v>
      </c>
      <c r="M218">
        <f>RSQ($D$3:D218,$B$3:B218)</f>
        <v>0.10993472355841209</v>
      </c>
      <c r="N218">
        <v>186</v>
      </c>
      <c r="O218" t="str">
        <f t="shared" si="37"/>
        <v/>
      </c>
      <c r="P218" t="str">
        <f t="shared" si="41"/>
        <v/>
      </c>
      <c r="Q218">
        <f t="shared" si="42"/>
        <v>0</v>
      </c>
      <c r="R218">
        <f t="shared" si="43"/>
        <v>0</v>
      </c>
      <c r="S218">
        <f t="shared" si="44"/>
        <v>0</v>
      </c>
      <c r="T218">
        <f t="shared" si="45"/>
        <v>0</v>
      </c>
      <c r="U218">
        <f t="shared" si="40"/>
        <v>0</v>
      </c>
      <c r="V218">
        <f t="shared" si="46"/>
        <v>0</v>
      </c>
      <c r="W218">
        <f t="shared" si="50"/>
        <v>0</v>
      </c>
      <c r="X218">
        <f>SUM($W$34:W218)</f>
        <v>131.90580675000021</v>
      </c>
      <c r="Y218">
        <f t="shared" si="47"/>
        <v>0</v>
      </c>
    </row>
    <row r="219" spans="1:25">
      <c r="A219">
        <v>98.239640559999998</v>
      </c>
      <c r="B219" s="2">
        <f t="shared" si="48"/>
        <v>1.2218928557552777E-2</v>
      </c>
      <c r="C219">
        <v>108.7402994</v>
      </c>
      <c r="D219" s="3">
        <f t="shared" si="49"/>
        <v>-1.1835509043243727E-2</v>
      </c>
      <c r="E219" s="3">
        <f t="shared" si="35"/>
        <v>-1.6444749091718443E-2</v>
      </c>
      <c r="F219" s="3">
        <f>STDEV($E$32:E219)</f>
        <v>1.2818297947528768E-2</v>
      </c>
      <c r="G219" s="14">
        <f t="shared" si="38"/>
        <v>-1.2829120651614137</v>
      </c>
      <c r="H219" s="15">
        <f>yint($B$3:B219,$D$3:D219)</f>
        <v>4.7481089525909097E-4</v>
      </c>
      <c r="I219" s="16">
        <f>MyReg($B$3:B219,$D$3:D219)</f>
        <v>0.33836265870136767</v>
      </c>
      <c r="J219" s="17">
        <f>STDEV($D$3:D219)</f>
        <v>1.3357176848506033E-2</v>
      </c>
      <c r="K219" s="4">
        <f t="shared" si="36"/>
        <v>4.6092400484747161E-3</v>
      </c>
      <c r="L219">
        <f t="shared" si="39"/>
        <v>-1.2829120651614137</v>
      </c>
      <c r="M219">
        <f>RSQ($D$3:D219,$B$3:B219)</f>
        <v>0.10637167856572181</v>
      </c>
      <c r="N219">
        <v>187</v>
      </c>
      <c r="O219" t="str">
        <f t="shared" si="37"/>
        <v/>
      </c>
      <c r="P219" t="str">
        <f t="shared" si="41"/>
        <v/>
      </c>
      <c r="Q219">
        <f t="shared" si="42"/>
        <v>0</v>
      </c>
      <c r="R219">
        <f t="shared" si="43"/>
        <v>0</v>
      </c>
      <c r="S219">
        <f t="shared" si="44"/>
        <v>0</v>
      </c>
      <c r="T219">
        <f t="shared" si="45"/>
        <v>0</v>
      </c>
      <c r="U219">
        <f t="shared" si="40"/>
        <v>0</v>
      </c>
      <c r="V219">
        <f t="shared" si="46"/>
        <v>0</v>
      </c>
      <c r="W219">
        <f t="shared" si="50"/>
        <v>0</v>
      </c>
      <c r="X219">
        <f>SUM($W$34:W219)</f>
        <v>131.90580675000021</v>
      </c>
      <c r="Y219">
        <f t="shared" si="47"/>
        <v>0</v>
      </c>
    </row>
    <row r="220" spans="1:25">
      <c r="A220">
        <v>97.986853289999999</v>
      </c>
      <c r="B220" s="2">
        <f t="shared" si="48"/>
        <v>-2.5731697363612473E-3</v>
      </c>
      <c r="C220">
        <v>109.0872695</v>
      </c>
      <c r="D220" s="3">
        <f t="shared" si="49"/>
        <v>3.1908142787402255E-3</v>
      </c>
      <c r="E220" s="3">
        <f t="shared" si="35"/>
        <v>3.5695578979416873E-3</v>
      </c>
      <c r="F220" s="3">
        <f>STDEV($E$32:E220)</f>
        <v>1.2786377035243652E-2</v>
      </c>
      <c r="G220" s="14">
        <f t="shared" si="38"/>
        <v>0.27916882851981906</v>
      </c>
      <c r="H220" s="15">
        <f>yint($B$3:B220,$D$3:D220)</f>
        <v>4.9126065452491222E-4</v>
      </c>
      <c r="I220" s="16">
        <f>MyReg($B$3:B220,$D$3:D220)</f>
        <v>0.33810605706744329</v>
      </c>
      <c r="J220" s="17">
        <f>STDEV($D$3:D220)</f>
        <v>1.3327633704146757E-2</v>
      </c>
      <c r="K220" s="4">
        <f t="shared" si="36"/>
        <v>-3.7874361920146166E-4</v>
      </c>
      <c r="L220">
        <f t="shared" si="39"/>
        <v>0.27916882851981906</v>
      </c>
      <c r="M220">
        <f>RSQ($D$3:D220,$B$3:B220)</f>
        <v>0.10620973137220677</v>
      </c>
      <c r="N220">
        <v>188</v>
      </c>
      <c r="O220" t="str">
        <f t="shared" si="37"/>
        <v/>
      </c>
      <c r="P220" t="str">
        <f t="shared" si="41"/>
        <v/>
      </c>
      <c r="Q220">
        <f t="shared" si="42"/>
        <v>0</v>
      </c>
      <c r="R220">
        <f t="shared" si="43"/>
        <v>0</v>
      </c>
      <c r="S220">
        <f t="shared" si="44"/>
        <v>0</v>
      </c>
      <c r="T220">
        <f t="shared" si="45"/>
        <v>0</v>
      </c>
      <c r="U220">
        <f t="shared" si="40"/>
        <v>0</v>
      </c>
      <c r="V220">
        <f t="shared" si="46"/>
        <v>0</v>
      </c>
      <c r="W220">
        <f t="shared" si="50"/>
        <v>0</v>
      </c>
      <c r="X220">
        <f>SUM($W$34:W220)</f>
        <v>131.90580675000021</v>
      </c>
      <c r="Y220">
        <f t="shared" si="47"/>
        <v>0</v>
      </c>
    </row>
    <row r="221" spans="1:25">
      <c r="A221">
        <v>97.124855539999999</v>
      </c>
      <c r="B221" s="2">
        <f t="shared" si="48"/>
        <v>-8.7970755367441852E-3</v>
      </c>
      <c r="C221">
        <v>109.9319302</v>
      </c>
      <c r="D221" s="3">
        <f t="shared" si="49"/>
        <v>7.7429814117768473E-3</v>
      </c>
      <c r="E221" s="3">
        <f t="shared" si="35"/>
        <v>1.015757580747291E-2</v>
      </c>
      <c r="F221" s="3">
        <f>STDEV($E$32:E221)</f>
        <v>1.2772483328181821E-2</v>
      </c>
      <c r="G221" s="14">
        <f t="shared" si="38"/>
        <v>0.79527023418075216</v>
      </c>
      <c r="H221" s="15">
        <f>yint($B$3:B221,$D$3:D221)</f>
        <v>5.378273998612376E-4</v>
      </c>
      <c r="I221" s="16">
        <f>MyReg($B$3:B221,$D$3:D221)</f>
        <v>0.33561400981785799</v>
      </c>
      <c r="J221" s="17">
        <f>STDEV($D$3:D221)</f>
        <v>1.3306066157092985E-2</v>
      </c>
      <c r="K221" s="4">
        <f t="shared" si="36"/>
        <v>-2.4145943956960635E-3</v>
      </c>
      <c r="L221">
        <f t="shared" si="39"/>
        <v>0.79527023418075216</v>
      </c>
      <c r="M221">
        <f>RSQ($D$3:D221,$B$3:B221)</f>
        <v>0.10473200518709887</v>
      </c>
      <c r="N221">
        <v>189</v>
      </c>
      <c r="O221" t="str">
        <f t="shared" si="37"/>
        <v/>
      </c>
      <c r="P221" t="str">
        <f t="shared" si="41"/>
        <v/>
      </c>
      <c r="Q221">
        <f t="shared" si="42"/>
        <v>0</v>
      </c>
      <c r="R221">
        <f t="shared" si="43"/>
        <v>0</v>
      </c>
      <c r="S221">
        <f t="shared" si="44"/>
        <v>0</v>
      </c>
      <c r="T221">
        <f t="shared" si="45"/>
        <v>0</v>
      </c>
      <c r="U221">
        <f t="shared" si="40"/>
        <v>0</v>
      </c>
      <c r="V221">
        <f t="shared" si="46"/>
        <v>0</v>
      </c>
      <c r="W221">
        <f t="shared" si="50"/>
        <v>0</v>
      </c>
      <c r="X221">
        <f>SUM($W$34:W221)</f>
        <v>131.90580675000021</v>
      </c>
      <c r="Y221">
        <f t="shared" si="47"/>
        <v>0</v>
      </c>
    </row>
    <row r="222" spans="1:25">
      <c r="A222">
        <v>98.533784920000002</v>
      </c>
      <c r="B222" s="2">
        <f t="shared" si="48"/>
        <v>1.4506372979054251E-2</v>
      </c>
      <c r="C222">
        <v>107.2369532</v>
      </c>
      <c r="D222" s="3">
        <f t="shared" si="49"/>
        <v>-2.4514961168215662E-2</v>
      </c>
      <c r="E222" s="3">
        <f t="shared" si="35"/>
        <v>-2.9611263397335531E-2</v>
      </c>
      <c r="F222" s="3">
        <f>STDEV($E$32:E222)</f>
        <v>1.2922179274725587E-2</v>
      </c>
      <c r="G222" s="14">
        <f t="shared" si="38"/>
        <v>-2.2915069329870716</v>
      </c>
      <c r="H222" s="15">
        <f>yint($B$3:B222,$D$3:D222)</f>
        <v>4.0200105639679818E-4</v>
      </c>
      <c r="I222" s="16">
        <f>MyReg($B$3:B222,$D$3:D222)</f>
        <v>0.32360267997391012</v>
      </c>
      <c r="J222" s="17">
        <f>STDEV($D$3:D222)</f>
        <v>1.3382524011131693E-2</v>
      </c>
      <c r="K222" s="4">
        <f t="shared" si="36"/>
        <v>5.0963022291198676E-3</v>
      </c>
      <c r="L222">
        <f t="shared" si="39"/>
        <v>-2.2915069329870716</v>
      </c>
      <c r="M222">
        <f>RSQ($D$3:D222,$B$3:B222)</f>
        <v>9.6383911351725707E-2</v>
      </c>
      <c r="N222">
        <v>190</v>
      </c>
      <c r="O222" t="str">
        <f t="shared" si="37"/>
        <v>buyY</v>
      </c>
      <c r="P222" t="str">
        <f t="shared" si="41"/>
        <v/>
      </c>
      <c r="Q222">
        <f t="shared" si="42"/>
        <v>-15</v>
      </c>
      <c r="R222">
        <f t="shared" si="43"/>
        <v>-5</v>
      </c>
      <c r="S222">
        <f t="shared" si="44"/>
        <v>15</v>
      </c>
      <c r="T222">
        <f t="shared" si="45"/>
        <v>5</v>
      </c>
      <c r="U222">
        <f t="shared" si="40"/>
        <v>30</v>
      </c>
      <c r="V222">
        <f t="shared" si="46"/>
        <v>-15</v>
      </c>
      <c r="W222">
        <f t="shared" si="50"/>
        <v>-130.5475242</v>
      </c>
      <c r="X222">
        <f>SUM($W$34:W222)</f>
        <v>1.3582825500002116</v>
      </c>
      <c r="Y222">
        <f t="shared" si="47"/>
        <v>0</v>
      </c>
    </row>
    <row r="223" spans="1:25">
      <c r="A223">
        <v>97.637231110000002</v>
      </c>
      <c r="B223" s="2">
        <f t="shared" si="48"/>
        <v>-9.098948251383179E-3</v>
      </c>
      <c r="C223">
        <v>108.1471442</v>
      </c>
      <c r="D223" s="3">
        <f t="shared" si="49"/>
        <v>8.4876618818371784E-3</v>
      </c>
      <c r="E223" s="3">
        <f t="shared" si="35"/>
        <v>1.0955101705524389E-2</v>
      </c>
      <c r="F223" s="3">
        <f>STDEV($E$32:E223)</f>
        <v>1.2911617777648392E-2</v>
      </c>
      <c r="G223" s="14">
        <f t="shared" si="38"/>
        <v>0.84846855709197233</v>
      </c>
      <c r="H223" s="15">
        <f>yint($B$3:B223,$D$3:D223)</f>
        <v>4.5183835306920081E-4</v>
      </c>
      <c r="I223" s="16">
        <f>MyReg($B$3:B223,$D$3:D223)</f>
        <v>0.32083688093430324</v>
      </c>
      <c r="J223" s="17">
        <f>STDEV($D$3:D223)</f>
        <v>1.3363134665326473E-2</v>
      </c>
      <c r="K223" s="4">
        <f t="shared" si="36"/>
        <v>-2.4674398236872105E-3</v>
      </c>
      <c r="L223">
        <f t="shared" si="39"/>
        <v>0.84846855709197233</v>
      </c>
      <c r="M223">
        <f>RSQ($D$3:D223,$B$3:B223)</f>
        <v>9.4803274833581738E-2</v>
      </c>
      <c r="N223">
        <v>191</v>
      </c>
      <c r="O223" t="str">
        <f t="shared" si="37"/>
        <v/>
      </c>
      <c r="P223" t="str">
        <f t="shared" si="41"/>
        <v>close</v>
      </c>
      <c r="Q223">
        <f t="shared" si="42"/>
        <v>0</v>
      </c>
      <c r="R223">
        <f t="shared" si="43"/>
        <v>0</v>
      </c>
      <c r="S223">
        <f t="shared" si="44"/>
        <v>0</v>
      </c>
      <c r="T223">
        <f t="shared" si="45"/>
        <v>0</v>
      </c>
      <c r="U223">
        <f t="shared" si="40"/>
        <v>0</v>
      </c>
      <c r="V223">
        <f t="shared" si="46"/>
        <v>15</v>
      </c>
      <c r="W223">
        <f t="shared" si="50"/>
        <v>157.64869634999997</v>
      </c>
      <c r="X223">
        <f>SUM($W$34:W223)</f>
        <v>159.00697890000018</v>
      </c>
      <c r="Y223">
        <f t="shared" si="47"/>
        <v>159.00697890000018</v>
      </c>
    </row>
    <row r="224" spans="1:25">
      <c r="A224">
        <v>96.859753260000005</v>
      </c>
      <c r="B224" s="2">
        <f t="shared" si="48"/>
        <v>-7.9629239907886683E-3</v>
      </c>
      <c r="C224">
        <v>107.6935362</v>
      </c>
      <c r="D224" s="3">
        <f t="shared" si="49"/>
        <v>-4.194359484529067E-3</v>
      </c>
      <c r="E224" s="3">
        <f t="shared" si="35"/>
        <v>-2.0783754334585606E-3</v>
      </c>
      <c r="F224" s="3">
        <f>STDEV($E$32:E224)</f>
        <v>1.2879054850490896E-2</v>
      </c>
      <c r="G224" s="14">
        <f t="shared" si="38"/>
        <v>-0.16137639427627265</v>
      </c>
      <c r="H224" s="15">
        <f>yint($B$3:B224,$D$3:D224)</f>
        <v>4.4244591947776305E-4</v>
      </c>
      <c r="I224" s="16">
        <f>MyReg($B$3:B224,$D$3:D224)</f>
        <v>0.32129277806843365</v>
      </c>
      <c r="J224" s="17">
        <f>STDEV($D$3:D224)</f>
        <v>1.3336499939867456E-2</v>
      </c>
      <c r="K224" s="4">
        <f t="shared" si="36"/>
        <v>-2.1159840510705063E-3</v>
      </c>
      <c r="L224">
        <f t="shared" si="39"/>
        <v>-0.16137639427627265</v>
      </c>
      <c r="M224">
        <f>RSQ($D$3:D224,$B$3:B224)</f>
        <v>9.5185780371018255E-2</v>
      </c>
      <c r="N224">
        <v>192</v>
      </c>
      <c r="O224" t="str">
        <f t="shared" si="37"/>
        <v/>
      </c>
      <c r="P224" t="str">
        <f t="shared" si="41"/>
        <v/>
      </c>
      <c r="Q224">
        <f t="shared" si="42"/>
        <v>0</v>
      </c>
      <c r="R224">
        <f t="shared" si="43"/>
        <v>0</v>
      </c>
      <c r="S224">
        <f t="shared" si="44"/>
        <v>0</v>
      </c>
      <c r="T224">
        <f t="shared" si="45"/>
        <v>0</v>
      </c>
      <c r="U224">
        <f t="shared" si="40"/>
        <v>0</v>
      </c>
      <c r="V224">
        <f t="shared" si="46"/>
        <v>0</v>
      </c>
      <c r="W224">
        <f t="shared" si="50"/>
        <v>0</v>
      </c>
      <c r="X224">
        <f>SUM($W$34:W224)</f>
        <v>159.00697890000018</v>
      </c>
      <c r="Y224">
        <f t="shared" si="47"/>
        <v>0</v>
      </c>
    </row>
    <row r="225" spans="1:25">
      <c r="A225">
        <v>94.285989749999999</v>
      </c>
      <c r="B225" s="2">
        <f t="shared" si="48"/>
        <v>-2.6572063456441704E-2</v>
      </c>
      <c r="C225">
        <v>105.7639142</v>
      </c>
      <c r="D225" s="3">
        <f t="shared" si="49"/>
        <v>-1.7917714173824248E-2</v>
      </c>
      <c r="E225" s="3">
        <f t="shared" ref="E225:E288" si="51">D225-K225</f>
        <v>-9.5935171137093173E-3</v>
      </c>
      <c r="F225" s="3">
        <f>STDEV($E$32:E225)</f>
        <v>1.2865084700401101E-2</v>
      </c>
      <c r="G225" s="14">
        <f t="shared" si="38"/>
        <v>-0.74570182296663901</v>
      </c>
      <c r="H225" s="15">
        <f>yint($B$3:B225,$D$3:D225)</f>
        <v>3.9966712508070202E-4</v>
      </c>
      <c r="I225" s="16">
        <f>MyReg($B$3:B225,$D$3:D225)</f>
        <v>0.32830962486207521</v>
      </c>
      <c r="J225" s="17">
        <f>STDEV($D$3:D225)</f>
        <v>1.3362986509288835E-2</v>
      </c>
      <c r="K225" s="4">
        <f t="shared" ref="K225:K288" si="52">H225+B225*I225</f>
        <v>-8.3241970601149306E-3</v>
      </c>
      <c r="L225">
        <f t="shared" si="39"/>
        <v>-0.74570182296663901</v>
      </c>
      <c r="M225">
        <f>RSQ($D$3:D225,$B$3:B225)</f>
        <v>0.10045154264581596</v>
      </c>
      <c r="N225">
        <v>193</v>
      </c>
      <c r="O225" t="str">
        <f t="shared" ref="O225:O288" si="53">IF(L225&gt;1.5,"sellY",IF(L225&lt;-1.5,"buyY",""))</f>
        <v/>
      </c>
      <c r="P225" t="str">
        <f t="shared" si="41"/>
        <v/>
      </c>
      <c r="Q225">
        <f t="shared" si="42"/>
        <v>0</v>
      </c>
      <c r="R225">
        <f t="shared" si="43"/>
        <v>0</v>
      </c>
      <c r="S225">
        <f t="shared" si="44"/>
        <v>0</v>
      </c>
      <c r="T225">
        <f t="shared" si="45"/>
        <v>0</v>
      </c>
      <c r="U225">
        <f t="shared" si="40"/>
        <v>0</v>
      </c>
      <c r="V225">
        <f t="shared" si="46"/>
        <v>0</v>
      </c>
      <c r="W225">
        <f t="shared" si="50"/>
        <v>0</v>
      </c>
      <c r="X225">
        <f>SUM($W$34:W225)</f>
        <v>159.00697890000018</v>
      </c>
      <c r="Y225">
        <f t="shared" si="47"/>
        <v>0</v>
      </c>
    </row>
    <row r="226" spans="1:25">
      <c r="A226">
        <v>94.544824820000002</v>
      </c>
      <c r="B226" s="2">
        <f t="shared" si="48"/>
        <v>2.7452124190063295E-3</v>
      </c>
      <c r="C226">
        <v>104.9478178</v>
      </c>
      <c r="D226" s="3">
        <f t="shared" si="49"/>
        <v>-7.716208370056773E-3</v>
      </c>
      <c r="E226" s="3">
        <f t="shared" si="51"/>
        <v>-8.9748292938371232E-3</v>
      </c>
      <c r="F226" s="3">
        <f>STDEV($E$32:E226)</f>
        <v>1.2848702879294877E-2</v>
      </c>
      <c r="G226" s="14">
        <f t="shared" ref="G226:G289" si="54">E226/F226</f>
        <v>-0.69850080417842553</v>
      </c>
      <c r="H226" s="15">
        <f>yint($B$3:B226,$D$3:D226)</f>
        <v>3.5929265810229574E-4</v>
      </c>
      <c r="I226" s="16">
        <f>MyReg($B$3:B226,$D$3:D226)</f>
        <v>0.32759878960608058</v>
      </c>
      <c r="J226" s="17">
        <f>STDEV($D$3:D226)</f>
        <v>1.3343852955672425E-2</v>
      </c>
      <c r="K226" s="4">
        <f t="shared" si="52"/>
        <v>1.2586209237803497E-3</v>
      </c>
      <c r="L226">
        <f t="shared" ref="L226:L289" si="55">(D226-K226)/F226</f>
        <v>-0.69850080417842553</v>
      </c>
      <c r="M226">
        <f>RSQ($D$3:D226,$B$3:B226)</f>
        <v>9.9877307123523051E-2</v>
      </c>
      <c r="N226">
        <v>194</v>
      </c>
      <c r="O226" t="str">
        <f t="shared" si="53"/>
        <v/>
      </c>
      <c r="P226" t="str">
        <f t="shared" si="41"/>
        <v/>
      </c>
      <c r="Q226">
        <f t="shared" si="42"/>
        <v>0</v>
      </c>
      <c r="R226">
        <f t="shared" si="43"/>
        <v>0</v>
      </c>
      <c r="S226">
        <f t="shared" si="44"/>
        <v>0</v>
      </c>
      <c r="T226">
        <f t="shared" si="45"/>
        <v>0</v>
      </c>
      <c r="U226">
        <f t="shared" ref="U226:U289" si="56">ABS(Q226)+ABS(S226)</f>
        <v>0</v>
      </c>
      <c r="V226">
        <f t="shared" si="46"/>
        <v>0</v>
      </c>
      <c r="W226">
        <f t="shared" si="50"/>
        <v>0</v>
      </c>
      <c r="X226">
        <f>SUM($W$34:W226)</f>
        <v>159.00697890000018</v>
      </c>
      <c r="Y226">
        <f t="shared" si="47"/>
        <v>0</v>
      </c>
    </row>
    <row r="227" spans="1:25">
      <c r="A227">
        <v>92.859082130000004</v>
      </c>
      <c r="B227" s="2">
        <f t="shared" si="48"/>
        <v>-1.7830089517955255E-2</v>
      </c>
      <c r="C227">
        <v>106.0716874</v>
      </c>
      <c r="D227" s="3">
        <f t="shared" si="49"/>
        <v>1.0708842008909366E-2</v>
      </c>
      <c r="E227" s="3">
        <f t="shared" si="51"/>
        <v>1.5984367266522012E-2</v>
      </c>
      <c r="F227" s="3">
        <f>STDEV($E$32:E227)</f>
        <v>1.2865492938338394E-2</v>
      </c>
      <c r="G227" s="14">
        <f t="shared" si="54"/>
        <v>1.2424216734742872</v>
      </c>
      <c r="H227" s="15">
        <f>yint($B$3:B227,$D$3:D227)</f>
        <v>4.2936911065115016E-4</v>
      </c>
      <c r="I227" s="16">
        <f>MyReg($B$3:B227,$D$3:D227)</f>
        <v>0.31995881807092752</v>
      </c>
      <c r="J227" s="17">
        <f>STDEV($D$3:D227)</f>
        <v>1.3332090553555762E-2</v>
      </c>
      <c r="K227" s="4">
        <f t="shared" si="52"/>
        <v>-5.275525257612647E-3</v>
      </c>
      <c r="L227">
        <f t="shared" si="55"/>
        <v>1.2424216734742872</v>
      </c>
      <c r="M227">
        <f>RSQ($D$3:D227,$B$3:B227)</f>
        <v>9.5813782516216389E-2</v>
      </c>
      <c r="N227">
        <v>195</v>
      </c>
      <c r="O227" t="str">
        <f t="shared" si="53"/>
        <v/>
      </c>
      <c r="P227" t="str">
        <f t="shared" ref="P227:P290" si="57">IF(AND(OR(O226="sellY",P226="sellhold"),L227&gt;0.5),"sellhold",IF(AND(OR(O226="sellY",P226="sellhold"),L227&lt;0.5,O227&lt;&gt;"buyY"),"close",IF(AND(OR(O226="sellY",P226="sellhold"),L227&lt;0.5,O227="buyY"),"close&amp;buy",IF(AND(OR(O226="buyY",P226="buyhold"),L227&lt;-0.5),"buyhold",IF(AND(OR(O226="buyY",P226="buyhold"),L227&gt;-0.5,O227&lt;&gt;"sellY"),"close",IF(AND(OR(O226="buyY",P226="buyhold"),L227&gt;-0.5,O227="sellY"),"close&amp;sell",""))))))</f>
        <v/>
      </c>
      <c r="Q227">
        <f t="shared" ref="Q227:Q290" si="58">IF(O227="sellY",MAX(10+R227,Q226),IF(O227="buyY",MIN(-10+R227,Q226),IF(P227="sellhold",Q226+R227,IF(P227="buyhold",Q226+R227,0))))</f>
        <v>0</v>
      </c>
      <c r="R227">
        <f t="shared" ref="R227:R290" si="59">IF(AND(L227&gt;2.5,Q226&lt;15),10,IF(AND(L227&gt;2,Q226&lt;15),5,IF(AND(L227&lt;-2.5,Q226&gt;-15),-10,IF(AND(L227&lt;-2,Q226&gt;-15),-5,0))))</f>
        <v>0</v>
      </c>
      <c r="S227">
        <f t="shared" ref="S227:S290" si="60">IF(O227="sellY",MIN(-10+T227,S226),IF(O227="buyY",MAX(10+T227,S226),IF(P227="sellhold",S226+T227,IF(P227="buyhold",S226+T227,0))))</f>
        <v>0</v>
      </c>
      <c r="T227">
        <f t="shared" ref="T227:T290" si="61">IF(AND(L227&gt;2.5,Q226&lt;15),-10,IF(AND(L227&gt;2,Q226&lt;15),-5,IF(AND(L227&lt;-2.5,Q226&gt;-15),10,IF(AND(L227&lt;-2,Q226&gt;-15),5,0))))</f>
        <v>0</v>
      </c>
      <c r="U227">
        <f t="shared" si="56"/>
        <v>0</v>
      </c>
      <c r="V227">
        <f t="shared" ref="V227:V290" si="62">Q227-Q226</f>
        <v>0</v>
      </c>
      <c r="W227">
        <f t="shared" si="50"/>
        <v>0</v>
      </c>
      <c r="X227">
        <f>SUM($W$34:W227)</f>
        <v>159.00697890000018</v>
      </c>
      <c r="Y227">
        <f t="shared" si="47"/>
        <v>0</v>
      </c>
    </row>
    <row r="228" spans="1:25">
      <c r="A228">
        <v>94.178312550000001</v>
      </c>
      <c r="B228" s="2">
        <f t="shared" si="48"/>
        <v>1.4206800129179745E-2</v>
      </c>
      <c r="C228">
        <v>106.6929343</v>
      </c>
      <c r="D228" s="3">
        <f t="shared" si="49"/>
        <v>5.8568588397887849E-3</v>
      </c>
      <c r="E228" s="3">
        <f t="shared" si="51"/>
        <v>8.7312361498713409E-4</v>
      </c>
      <c r="F228" s="3">
        <f>STDEV($E$32:E228)</f>
        <v>1.2832711087654427E-2</v>
      </c>
      <c r="G228" s="14">
        <f t="shared" si="54"/>
        <v>6.8038905343011533E-2</v>
      </c>
      <c r="H228" s="15">
        <f>yint($B$3:B228,$D$3:D228)</f>
        <v>4.3333308485684501E-4</v>
      </c>
      <c r="I228" s="16">
        <f>MyReg($B$3:B228,$D$3:D228)</f>
        <v>0.32029747012478954</v>
      </c>
      <c r="J228" s="17">
        <f>STDEV($D$3:D228)</f>
        <v>1.3307472306707788E-2</v>
      </c>
      <c r="K228" s="4">
        <f t="shared" si="52"/>
        <v>4.9837352248016508E-3</v>
      </c>
      <c r="L228">
        <f t="shared" si="55"/>
        <v>6.8038905343011533E-2</v>
      </c>
      <c r="M228">
        <f>RSQ($D$3:D228,$B$3:B228)</f>
        <v>9.6479440075519035E-2</v>
      </c>
      <c r="N228">
        <v>196</v>
      </c>
      <c r="O228" t="str">
        <f t="shared" si="53"/>
        <v/>
      </c>
      <c r="P228" t="str">
        <f t="shared" si="57"/>
        <v/>
      </c>
      <c r="Q228">
        <f t="shared" si="58"/>
        <v>0</v>
      </c>
      <c r="R228">
        <f t="shared" si="59"/>
        <v>0</v>
      </c>
      <c r="S228">
        <f t="shared" si="60"/>
        <v>0</v>
      </c>
      <c r="T228">
        <f t="shared" si="61"/>
        <v>0</v>
      </c>
      <c r="U228">
        <f t="shared" si="56"/>
        <v>0</v>
      </c>
      <c r="V228">
        <f t="shared" si="62"/>
        <v>0</v>
      </c>
      <c r="W228">
        <f t="shared" si="50"/>
        <v>0</v>
      </c>
      <c r="X228">
        <f>SUM($W$34:W228)</f>
        <v>159.00697890000018</v>
      </c>
      <c r="Y228">
        <f t="shared" ref="Y228:Y291" si="63">IF(P228="close",X228,0)</f>
        <v>0</v>
      </c>
    </row>
    <row r="229" spans="1:25">
      <c r="A229">
        <v>96.1816137</v>
      </c>
      <c r="B229" s="2">
        <f t="shared" si="48"/>
        <v>2.1271363817826214E-2</v>
      </c>
      <c r="C229">
        <v>110.38316639999999</v>
      </c>
      <c r="D229" s="3">
        <f t="shared" si="49"/>
        <v>3.4587408474714608E-2</v>
      </c>
      <c r="E229" s="3">
        <f t="shared" si="51"/>
        <v>2.68916116760098E-2</v>
      </c>
      <c r="F229" s="3">
        <f>STDEV($E$32:E229)</f>
        <v>1.2939479583916259E-2</v>
      </c>
      <c r="G229" s="14">
        <f t="shared" si="54"/>
        <v>2.0782606828667212</v>
      </c>
      <c r="H229" s="15">
        <f>yint($B$3:B229,$D$3:D229)</f>
        <v>5.5513069057029543E-4</v>
      </c>
      <c r="I229" s="16">
        <f>MyReg($B$3:B229,$D$3:D229)</f>
        <v>0.33569385438983279</v>
      </c>
      <c r="J229" s="17">
        <f>STDEV($D$3:D229)</f>
        <v>1.3470768544141802E-2</v>
      </c>
      <c r="K229" s="4">
        <f t="shared" si="52"/>
        <v>7.6957967987048067E-3</v>
      </c>
      <c r="L229">
        <f t="shared" si="55"/>
        <v>2.0782606828667212</v>
      </c>
      <c r="M229">
        <f>RSQ($D$3:D229,$B$3:B229)</f>
        <v>0.10422544292783997</v>
      </c>
      <c r="N229">
        <v>197</v>
      </c>
      <c r="O229" t="str">
        <f t="shared" si="53"/>
        <v>sellY</v>
      </c>
      <c r="P229" t="str">
        <f t="shared" si="57"/>
        <v/>
      </c>
      <c r="Q229">
        <f t="shared" si="58"/>
        <v>15</v>
      </c>
      <c r="R229">
        <f t="shared" si="59"/>
        <v>5</v>
      </c>
      <c r="S229">
        <f t="shared" si="60"/>
        <v>-15</v>
      </c>
      <c r="T229">
        <f t="shared" si="61"/>
        <v>-5</v>
      </c>
      <c r="U229">
        <f t="shared" si="56"/>
        <v>30</v>
      </c>
      <c r="V229">
        <f t="shared" si="62"/>
        <v>15</v>
      </c>
      <c r="W229">
        <f t="shared" si="50"/>
        <v>213.02329049999992</v>
      </c>
      <c r="X229">
        <f>SUM($W$34:W229)</f>
        <v>372.03026940000007</v>
      </c>
      <c r="Y229">
        <f t="shared" si="63"/>
        <v>0</v>
      </c>
    </row>
    <row r="230" spans="1:25">
      <c r="A230">
        <v>95.646409790000007</v>
      </c>
      <c r="B230" s="2">
        <f t="shared" si="48"/>
        <v>-5.5645137299250034E-3</v>
      </c>
      <c r="C230">
        <v>109.3544667</v>
      </c>
      <c r="D230" s="3">
        <f t="shared" si="49"/>
        <v>-9.3193530639649243E-3</v>
      </c>
      <c r="E230" s="3">
        <f t="shared" si="51"/>
        <v>-7.96512350910898E-3</v>
      </c>
      <c r="F230" s="3">
        <f>STDEV($E$32:E230)</f>
        <v>1.2920293120674197E-2</v>
      </c>
      <c r="G230" s="14">
        <f t="shared" si="54"/>
        <v>-0.61648164129989569</v>
      </c>
      <c r="H230" s="15">
        <f>yint($B$3:B230,$D$3:D230)</f>
        <v>5.2014311137233479E-4</v>
      </c>
      <c r="I230" s="16">
        <f>MyReg($B$3:B230,$D$3:D230)</f>
        <v>0.33684392872430591</v>
      </c>
      <c r="J230" s="17">
        <f>STDEV($D$3:D230)</f>
        <v>1.3456868829295867E-2</v>
      </c>
      <c r="K230" s="4">
        <f t="shared" si="52"/>
        <v>-1.3542295548559446E-3</v>
      </c>
      <c r="L230">
        <f t="shared" si="55"/>
        <v>-0.61648164129989569</v>
      </c>
      <c r="M230">
        <f>RSQ($D$3:D230,$B$3:B230)</f>
        <v>0.10477688719158333</v>
      </c>
      <c r="N230">
        <v>198</v>
      </c>
      <c r="O230" t="str">
        <f t="shared" si="53"/>
        <v/>
      </c>
      <c r="P230" t="str">
        <f t="shared" si="57"/>
        <v>close</v>
      </c>
      <c r="Q230">
        <f t="shared" si="58"/>
        <v>0</v>
      </c>
      <c r="R230">
        <f t="shared" si="59"/>
        <v>0</v>
      </c>
      <c r="S230">
        <f t="shared" si="60"/>
        <v>0</v>
      </c>
      <c r="T230">
        <f t="shared" si="61"/>
        <v>0</v>
      </c>
      <c r="U230">
        <f t="shared" si="56"/>
        <v>0</v>
      </c>
      <c r="V230">
        <f t="shared" si="62"/>
        <v>-15</v>
      </c>
      <c r="W230">
        <f t="shared" si="50"/>
        <v>-205.62085364999996</v>
      </c>
      <c r="X230">
        <f>SUM($W$34:W230)</f>
        <v>166.40941575000011</v>
      </c>
      <c r="Y230">
        <f t="shared" si="63"/>
        <v>166.40941575000011</v>
      </c>
    </row>
    <row r="231" spans="1:25">
      <c r="A231">
        <v>95.674401930000002</v>
      </c>
      <c r="B231" s="2">
        <f t="shared" si="48"/>
        <v>2.9266273623290327E-4</v>
      </c>
      <c r="C231">
        <v>106.57930829999999</v>
      </c>
      <c r="D231" s="3">
        <f t="shared" si="49"/>
        <v>-2.5377641021407032E-2</v>
      </c>
      <c r="E231" s="3">
        <f t="shared" si="51"/>
        <v>-2.5882733437863684E-2</v>
      </c>
      <c r="F231" s="3">
        <f>STDEV($E$32:E231)</f>
        <v>1.3020414235144856E-2</v>
      </c>
      <c r="G231" s="14">
        <f t="shared" si="54"/>
        <v>-1.9878579106953989</v>
      </c>
      <c r="H231" s="15">
        <f>yint($B$3:B231,$D$3:D231)</f>
        <v>4.065914822366396E-4</v>
      </c>
      <c r="I231" s="16">
        <f>MyReg($B$3:B231,$D$3:D231)</f>
        <v>0.33656807657817522</v>
      </c>
      <c r="J231" s="17">
        <f>STDEV($D$3:D231)</f>
        <v>1.3535632854893998E-2</v>
      </c>
      <c r="K231" s="4">
        <f t="shared" si="52"/>
        <v>5.0509241645665373E-4</v>
      </c>
      <c r="L231">
        <f t="shared" si="55"/>
        <v>-1.9878579106953989</v>
      </c>
      <c r="M231">
        <f>RSQ($D$3:D231,$B$3:B231)</f>
        <v>0.10293845995743615</v>
      </c>
      <c r="N231">
        <v>199</v>
      </c>
      <c r="O231" t="str">
        <f t="shared" si="53"/>
        <v>buyY</v>
      </c>
      <c r="P231" t="str">
        <f t="shared" si="57"/>
        <v/>
      </c>
      <c r="Q231">
        <f t="shared" si="58"/>
        <v>-10</v>
      </c>
      <c r="R231">
        <f t="shared" si="59"/>
        <v>0</v>
      </c>
      <c r="S231">
        <f t="shared" si="60"/>
        <v>10</v>
      </c>
      <c r="T231">
        <f t="shared" si="61"/>
        <v>0</v>
      </c>
      <c r="U231">
        <f t="shared" si="56"/>
        <v>20</v>
      </c>
      <c r="V231">
        <f t="shared" si="62"/>
        <v>-10</v>
      </c>
      <c r="W231">
        <f t="shared" si="50"/>
        <v>-109.04906369999992</v>
      </c>
      <c r="X231">
        <f>SUM($W$34:W231)</f>
        <v>57.360352050000188</v>
      </c>
      <c r="Y231">
        <f t="shared" si="63"/>
        <v>0</v>
      </c>
    </row>
    <row r="232" spans="1:25">
      <c r="A232">
        <v>95.971276360000005</v>
      </c>
      <c r="B232" s="2">
        <f t="shared" si="48"/>
        <v>3.1029661436212603E-3</v>
      </c>
      <c r="C232">
        <v>104.6498831</v>
      </c>
      <c r="D232" s="3">
        <f t="shared" si="49"/>
        <v>-1.8103187483343774E-2</v>
      </c>
      <c r="E232" s="3">
        <f t="shared" si="51"/>
        <v>-1.9463849701983352E-2</v>
      </c>
      <c r="F232" s="3">
        <f>STDEV($E$32:E232)</f>
        <v>1.3061678299878863E-2</v>
      </c>
      <c r="G232" s="14">
        <f t="shared" si="54"/>
        <v>-1.4901492178201834</v>
      </c>
      <c r="H232" s="15">
        <f>yint($B$3:B232,$D$3:D232)</f>
        <v>3.2141505551854682E-4</v>
      </c>
      <c r="I232" s="16">
        <f>MyReg($B$3:B232,$D$3:D232)</f>
        <v>0.33492056149481403</v>
      </c>
      <c r="J232" s="17">
        <f>STDEV($D$3:D232)</f>
        <v>1.3560861151981123E-2</v>
      </c>
      <c r="K232" s="4">
        <f t="shared" si="52"/>
        <v>1.360662218639577E-3</v>
      </c>
      <c r="L232">
        <f t="shared" si="55"/>
        <v>-1.4901492178201834</v>
      </c>
      <c r="M232">
        <f>RSQ($D$3:D232,$B$3:B232)</f>
        <v>0.10113814660064031</v>
      </c>
      <c r="N232">
        <v>200</v>
      </c>
      <c r="O232" t="str">
        <f t="shared" si="53"/>
        <v/>
      </c>
      <c r="P232" t="str">
        <f t="shared" si="57"/>
        <v>buyhold</v>
      </c>
      <c r="Q232">
        <f t="shared" si="58"/>
        <v>-10</v>
      </c>
      <c r="R232">
        <f t="shared" si="59"/>
        <v>0</v>
      </c>
      <c r="S232">
        <f t="shared" si="60"/>
        <v>10</v>
      </c>
      <c r="T232">
        <f t="shared" si="61"/>
        <v>0</v>
      </c>
      <c r="U232">
        <f t="shared" si="56"/>
        <v>20</v>
      </c>
      <c r="V232">
        <f t="shared" si="62"/>
        <v>0</v>
      </c>
      <c r="W232">
        <f t="shared" si="50"/>
        <v>0</v>
      </c>
      <c r="X232">
        <f>SUM($W$34:W232)</f>
        <v>57.360352050000188</v>
      </c>
      <c r="Y232">
        <f t="shared" si="63"/>
        <v>0</v>
      </c>
    </row>
    <row r="233" spans="1:25">
      <c r="A233">
        <v>96.488410799999997</v>
      </c>
      <c r="B233" s="2">
        <f t="shared" si="48"/>
        <v>5.3884293260845866E-3</v>
      </c>
      <c r="C233">
        <v>104.5745652</v>
      </c>
      <c r="D233" s="3">
        <f t="shared" si="49"/>
        <v>-7.1971317854249673E-4</v>
      </c>
      <c r="E233" s="3">
        <f t="shared" si="51"/>
        <v>-2.8312711355871082E-3</v>
      </c>
      <c r="F233" s="3">
        <f>STDEV($E$32:E233)</f>
        <v>1.30307818121687E-2</v>
      </c>
      <c r="G233" s="14">
        <f t="shared" si="54"/>
        <v>-0.21727561526225128</v>
      </c>
      <c r="H233" s="15">
        <f>yint($B$3:B233,$D$3:D233)</f>
        <v>3.0906585284406536E-4</v>
      </c>
      <c r="I233" s="16">
        <f>MyReg($B$3:B233,$D$3:D233)</f>
        <v>0.33451159792983631</v>
      </c>
      <c r="J233" s="17">
        <f>STDEV($D$3:D233)</f>
        <v>1.3531511733221983E-2</v>
      </c>
      <c r="K233" s="4">
        <f t="shared" si="52"/>
        <v>2.1115579570446115E-3</v>
      </c>
      <c r="L233">
        <f t="shared" si="55"/>
        <v>-0.21727561526225128</v>
      </c>
      <c r="M233">
        <f>RSQ($D$3:D233,$B$3:B233)</f>
        <v>0.10096845506169719</v>
      </c>
      <c r="N233">
        <v>201</v>
      </c>
      <c r="O233" t="str">
        <f t="shared" si="53"/>
        <v/>
      </c>
      <c r="P233" t="str">
        <f t="shared" si="57"/>
        <v>close</v>
      </c>
      <c r="Q233">
        <f t="shared" si="58"/>
        <v>0</v>
      </c>
      <c r="R233">
        <f t="shared" si="59"/>
        <v>0</v>
      </c>
      <c r="S233">
        <f t="shared" si="60"/>
        <v>0</v>
      </c>
      <c r="T233">
        <f t="shared" si="61"/>
        <v>0</v>
      </c>
      <c r="U233">
        <f t="shared" si="56"/>
        <v>0</v>
      </c>
      <c r="V233">
        <f t="shared" si="62"/>
        <v>10</v>
      </c>
      <c r="W233">
        <f t="shared" si="50"/>
        <v>80.861543999999981</v>
      </c>
      <c r="X233">
        <f>SUM($W$34:W233)</f>
        <v>138.22189605000017</v>
      </c>
      <c r="Y233">
        <f t="shared" si="63"/>
        <v>138.22189605000017</v>
      </c>
    </row>
    <row r="234" spans="1:25">
      <c r="A234">
        <v>96.806884069999995</v>
      </c>
      <c r="B234" s="2">
        <f t="shared" si="48"/>
        <v>3.3006375310722642E-3</v>
      </c>
      <c r="C234">
        <v>103.5487804</v>
      </c>
      <c r="D234" s="3">
        <f t="shared" si="49"/>
        <v>-9.8091232608825303E-3</v>
      </c>
      <c r="E234" s="3">
        <f t="shared" si="51"/>
        <v>-1.1170588551340196E-2</v>
      </c>
      <c r="F234" s="3">
        <f>STDEV($E$32:E234)</f>
        <v>1.3022486563150745E-2</v>
      </c>
      <c r="G234" s="14">
        <f t="shared" si="54"/>
        <v>-0.8577922885287671</v>
      </c>
      <c r="H234" s="15">
        <f>yint($B$3:B234,$D$3:D234)</f>
        <v>2.6063651570622264E-4</v>
      </c>
      <c r="I234" s="16">
        <f>MyReg($B$3:B234,$D$3:D234)</f>
        <v>0.33352004404852698</v>
      </c>
      <c r="J234" s="17">
        <f>STDEV($D$3:D234)</f>
        <v>1.3518444217006634E-2</v>
      </c>
      <c r="K234" s="4">
        <f t="shared" si="52"/>
        <v>1.3614652904576654E-3</v>
      </c>
      <c r="L234">
        <f t="shared" si="55"/>
        <v>-0.8577922885287671</v>
      </c>
      <c r="M234">
        <f>RSQ($D$3:D234,$B$3:B234)</f>
        <v>0.10015940788977118</v>
      </c>
      <c r="N234">
        <v>202</v>
      </c>
      <c r="O234" t="str">
        <f t="shared" si="53"/>
        <v/>
      </c>
      <c r="P234" t="str">
        <f t="shared" si="57"/>
        <v/>
      </c>
      <c r="Q234">
        <f t="shared" si="58"/>
        <v>0</v>
      </c>
      <c r="R234">
        <f t="shared" si="59"/>
        <v>0</v>
      </c>
      <c r="S234">
        <f t="shared" si="60"/>
        <v>0</v>
      </c>
      <c r="T234">
        <f t="shared" si="61"/>
        <v>0</v>
      </c>
      <c r="U234">
        <f t="shared" si="56"/>
        <v>0</v>
      </c>
      <c r="V234">
        <f t="shared" si="62"/>
        <v>0</v>
      </c>
      <c r="W234">
        <f t="shared" si="50"/>
        <v>0</v>
      </c>
      <c r="X234">
        <f>SUM($W$34:W234)</f>
        <v>138.22189605000017</v>
      </c>
      <c r="Y234">
        <f t="shared" si="63"/>
        <v>0</v>
      </c>
    </row>
    <row r="235" spans="1:25">
      <c r="A235">
        <v>96.353774169999994</v>
      </c>
      <c r="B235" s="2">
        <f t="shared" si="48"/>
        <v>-4.6805545323859651E-3</v>
      </c>
      <c r="C235">
        <v>103.2105572</v>
      </c>
      <c r="D235" s="3">
        <f t="shared" si="49"/>
        <v>-3.2663175625388787E-3</v>
      </c>
      <c r="E235" s="3">
        <f t="shared" si="51"/>
        <v>-1.956362904459252E-3</v>
      </c>
      <c r="F235" s="3">
        <f>STDEV($E$32:E235)</f>
        <v>1.2991118672391087E-2</v>
      </c>
      <c r="G235" s="14">
        <f t="shared" si="54"/>
        <v>-0.15059233571755007</v>
      </c>
      <c r="H235" s="15">
        <f>yint($B$3:B235,$D$3:D235)</f>
        <v>2.5221768858335863E-4</v>
      </c>
      <c r="I235" s="16">
        <f>MyReg($B$3:B235,$D$3:D235)</f>
        <v>0.33375796304773536</v>
      </c>
      <c r="J235" s="17">
        <f>STDEV($D$3:D235)</f>
        <v>1.3491235334871688E-2</v>
      </c>
      <c r="K235" s="4">
        <f t="shared" si="52"/>
        <v>-1.3099546580796265E-3</v>
      </c>
      <c r="L235">
        <f t="shared" si="55"/>
        <v>-0.15059233571755007</v>
      </c>
      <c r="M235">
        <f>RSQ($D$3:D235,$B$3:B235)</f>
        <v>0.1003293877092533</v>
      </c>
      <c r="N235">
        <v>203</v>
      </c>
      <c r="O235" t="str">
        <f t="shared" si="53"/>
        <v/>
      </c>
      <c r="P235" t="str">
        <f t="shared" si="57"/>
        <v/>
      </c>
      <c r="Q235">
        <f t="shared" si="58"/>
        <v>0</v>
      </c>
      <c r="R235">
        <f t="shared" si="59"/>
        <v>0</v>
      </c>
      <c r="S235">
        <f t="shared" si="60"/>
        <v>0</v>
      </c>
      <c r="T235">
        <f t="shared" si="61"/>
        <v>0</v>
      </c>
      <c r="U235">
        <f t="shared" si="56"/>
        <v>0</v>
      </c>
      <c r="V235">
        <f t="shared" si="62"/>
        <v>0</v>
      </c>
      <c r="W235">
        <f t="shared" si="50"/>
        <v>0</v>
      </c>
      <c r="X235">
        <f>SUM($W$34:W235)</f>
        <v>138.22189605000017</v>
      </c>
      <c r="Y235">
        <f t="shared" si="63"/>
        <v>0</v>
      </c>
    </row>
    <row r="236" spans="1:25">
      <c r="A236">
        <v>97.053082590000002</v>
      </c>
      <c r="B236" s="2">
        <f t="shared" si="48"/>
        <v>7.2577169501030292E-3</v>
      </c>
      <c r="C236">
        <v>101.5765782</v>
      </c>
      <c r="D236" s="3">
        <f t="shared" si="49"/>
        <v>-1.583151030600188E-2</v>
      </c>
      <c r="E236" s="3">
        <f t="shared" si="51"/>
        <v>-1.8401040544306621E-2</v>
      </c>
      <c r="F236" s="3">
        <f>STDEV($E$32:E236)</f>
        <v>1.3022970790226553E-2</v>
      </c>
      <c r="G236" s="14">
        <f t="shared" si="54"/>
        <v>-1.4129679656592786</v>
      </c>
      <c r="H236" s="15">
        <f>yint($B$3:B236,$D$3:D236)</f>
        <v>1.7296742143416041E-4</v>
      </c>
      <c r="I236" s="16">
        <f>MyReg($B$3:B236,$D$3:D236)</f>
        <v>0.33020891188606605</v>
      </c>
      <c r="J236" s="17">
        <f>STDEV($D$3:D236)</f>
        <v>1.350311783352021E-2</v>
      </c>
      <c r="K236" s="4">
        <f t="shared" si="52"/>
        <v>2.5695302383047396E-3</v>
      </c>
      <c r="L236">
        <f t="shared" si="55"/>
        <v>-1.4129679656592786</v>
      </c>
      <c r="M236">
        <f>RSQ($D$3:D236,$B$3:B236)</f>
        <v>9.7751006838971699E-2</v>
      </c>
      <c r="N236">
        <v>204</v>
      </c>
      <c r="O236" t="str">
        <f t="shared" si="53"/>
        <v/>
      </c>
      <c r="P236" t="str">
        <f t="shared" si="57"/>
        <v/>
      </c>
      <c r="Q236">
        <f t="shared" si="58"/>
        <v>0</v>
      </c>
      <c r="R236">
        <f t="shared" si="59"/>
        <v>0</v>
      </c>
      <c r="S236">
        <f t="shared" si="60"/>
        <v>0</v>
      </c>
      <c r="T236">
        <f t="shared" si="61"/>
        <v>0</v>
      </c>
      <c r="U236">
        <f t="shared" si="56"/>
        <v>0</v>
      </c>
      <c r="V236">
        <f t="shared" si="62"/>
        <v>0</v>
      </c>
      <c r="W236">
        <f t="shared" si="50"/>
        <v>0</v>
      </c>
      <c r="X236">
        <f>SUM($W$34:W236)</f>
        <v>138.22189605000017</v>
      </c>
      <c r="Y236">
        <f t="shared" si="63"/>
        <v>0</v>
      </c>
    </row>
    <row r="237" spans="1:25">
      <c r="A237">
        <v>96.203986119999996</v>
      </c>
      <c r="B237" s="2">
        <f t="shared" si="48"/>
        <v>-8.7487841430756788E-3</v>
      </c>
      <c r="C237">
        <v>103.1767687</v>
      </c>
      <c r="D237" s="3">
        <f t="shared" si="49"/>
        <v>1.5753538151770469E-2</v>
      </c>
      <c r="E237" s="3">
        <f t="shared" si="51"/>
        <v>1.8354562080484148E-2</v>
      </c>
      <c r="F237" s="3">
        <f>STDEV($E$32:E237)</f>
        <v>1.3054413670345091E-2</v>
      </c>
      <c r="G237" s="14">
        <f t="shared" si="54"/>
        <v>1.4060043249724099</v>
      </c>
      <c r="H237" s="15">
        <f>yint($B$3:B237,$D$3:D237)</f>
        <v>2.5121122842447079E-4</v>
      </c>
      <c r="I237" s="16">
        <f>MyReg($B$3:B237,$D$3:D237)</f>
        <v>0.32601503368849072</v>
      </c>
      <c r="J237" s="17">
        <f>STDEV($D$3:D237)</f>
        <v>1.3512587220551214E-2</v>
      </c>
      <c r="K237" s="4">
        <f t="shared" si="52"/>
        <v>-2.6010239287136802E-3</v>
      </c>
      <c r="L237">
        <f t="shared" si="55"/>
        <v>1.4060043249724099</v>
      </c>
      <c r="M237">
        <f>RSQ($D$3:D237,$B$3:B237)</f>
        <v>9.4931231142536349E-2</v>
      </c>
      <c r="N237">
        <v>205</v>
      </c>
      <c r="O237" t="str">
        <f t="shared" si="53"/>
        <v/>
      </c>
      <c r="P237" t="str">
        <f t="shared" si="57"/>
        <v/>
      </c>
      <c r="Q237">
        <f t="shared" si="58"/>
        <v>0</v>
      </c>
      <c r="R237">
        <f t="shared" si="59"/>
        <v>0</v>
      </c>
      <c r="S237">
        <f t="shared" si="60"/>
        <v>0</v>
      </c>
      <c r="T237">
        <f t="shared" si="61"/>
        <v>0</v>
      </c>
      <c r="U237">
        <f t="shared" si="56"/>
        <v>0</v>
      </c>
      <c r="V237">
        <f t="shared" si="62"/>
        <v>0</v>
      </c>
      <c r="W237">
        <f t="shared" si="50"/>
        <v>0</v>
      </c>
      <c r="X237">
        <f>SUM($W$34:W237)</f>
        <v>138.22189605000017</v>
      </c>
      <c r="Y237">
        <f t="shared" si="63"/>
        <v>0</v>
      </c>
    </row>
    <row r="238" spans="1:25">
      <c r="A238">
        <v>95.393160499999993</v>
      </c>
      <c r="B238" s="2">
        <f t="shared" si="48"/>
        <v>-8.4281915199295367E-3</v>
      </c>
      <c r="C238">
        <v>102.357563</v>
      </c>
      <c r="D238" s="3">
        <f t="shared" si="49"/>
        <v>-7.9398270591507468E-3</v>
      </c>
      <c r="E238" s="3">
        <f t="shared" si="51"/>
        <v>-5.4104253812058169E-3</v>
      </c>
      <c r="F238" s="3">
        <f>STDEV($E$32:E238)</f>
        <v>1.302816419434054E-2</v>
      </c>
      <c r="G238" s="14">
        <f t="shared" si="54"/>
        <v>-0.41528685857030539</v>
      </c>
      <c r="H238" s="15">
        <f>yint($B$3:B238,$D$3:D238)</f>
        <v>2.2828681997834923E-4</v>
      </c>
      <c r="I238" s="16">
        <f>MyReg($B$3:B238,$D$3:D238)</f>
        <v>0.32719812920747848</v>
      </c>
      <c r="J238" s="17">
        <f>STDEV($D$3:D238)</f>
        <v>1.349427445386857E-2</v>
      </c>
      <c r="K238" s="4">
        <f t="shared" si="52"/>
        <v>-2.5294016779449295E-3</v>
      </c>
      <c r="L238">
        <f t="shared" si="55"/>
        <v>-0.41528685857030539</v>
      </c>
      <c r="M238">
        <f>RSQ($D$3:D238,$B$3:B238)</f>
        <v>9.5646663595878326E-2</v>
      </c>
      <c r="N238">
        <v>206</v>
      </c>
      <c r="O238" t="str">
        <f t="shared" si="53"/>
        <v/>
      </c>
      <c r="P238" t="str">
        <f t="shared" si="57"/>
        <v/>
      </c>
      <c r="Q238">
        <f t="shared" si="58"/>
        <v>0</v>
      </c>
      <c r="R238">
        <f t="shared" si="59"/>
        <v>0</v>
      </c>
      <c r="S238">
        <f t="shared" si="60"/>
        <v>0</v>
      </c>
      <c r="T238">
        <f t="shared" si="61"/>
        <v>0</v>
      </c>
      <c r="U238">
        <f t="shared" si="56"/>
        <v>0</v>
      </c>
      <c r="V238">
        <f t="shared" si="62"/>
        <v>0</v>
      </c>
      <c r="W238">
        <f t="shared" si="50"/>
        <v>0</v>
      </c>
      <c r="X238">
        <f>SUM($W$34:W238)</f>
        <v>138.22189605000017</v>
      </c>
      <c r="Y238">
        <f t="shared" si="63"/>
        <v>0</v>
      </c>
    </row>
    <row r="239" spans="1:25">
      <c r="A239">
        <v>97.294713229999999</v>
      </c>
      <c r="B239" s="2">
        <f t="shared" si="48"/>
        <v>1.9933847668250869E-2</v>
      </c>
      <c r="C239">
        <v>102.81720110000001</v>
      </c>
      <c r="D239" s="3">
        <f t="shared" si="49"/>
        <v>4.4905142964375431E-3</v>
      </c>
      <c r="E239" s="3">
        <f t="shared" si="51"/>
        <v>-2.2272271515338731E-3</v>
      </c>
      <c r="F239" s="3">
        <f>STDEV($E$32:E239)</f>
        <v>1.2997571851791064E-2</v>
      </c>
      <c r="G239" s="14">
        <f t="shared" si="54"/>
        <v>-0.171357171703341</v>
      </c>
      <c r="H239" s="15">
        <f>yint($B$3:B239,$D$3:D239)</f>
        <v>2.1871067320689428E-4</v>
      </c>
      <c r="I239" s="16">
        <f>MyReg($B$3:B239,$D$3:D239)</f>
        <v>0.32602992071198017</v>
      </c>
      <c r="J239" s="17">
        <f>STDEV($D$3:D239)</f>
        <v>1.3468552577083693E-2</v>
      </c>
      <c r="K239" s="4">
        <f t="shared" si="52"/>
        <v>6.7177414479714162E-3</v>
      </c>
      <c r="L239">
        <f t="shared" si="55"/>
        <v>-0.171357171703341</v>
      </c>
      <c r="M239">
        <f>RSQ($D$3:D239,$B$3:B239)</f>
        <v>9.5918221567267162E-2</v>
      </c>
      <c r="N239">
        <v>207</v>
      </c>
      <c r="O239" t="str">
        <f t="shared" si="53"/>
        <v/>
      </c>
      <c r="P239" t="str">
        <f t="shared" si="57"/>
        <v/>
      </c>
      <c r="Q239">
        <f t="shared" si="58"/>
        <v>0</v>
      </c>
      <c r="R239">
        <f t="shared" si="59"/>
        <v>0</v>
      </c>
      <c r="S239">
        <f t="shared" si="60"/>
        <v>0</v>
      </c>
      <c r="T239">
        <f t="shared" si="61"/>
        <v>0</v>
      </c>
      <c r="U239">
        <f t="shared" si="56"/>
        <v>0</v>
      </c>
      <c r="V239">
        <f t="shared" si="62"/>
        <v>0</v>
      </c>
      <c r="W239">
        <f t="shared" si="50"/>
        <v>0</v>
      </c>
      <c r="X239">
        <f>SUM($W$34:W239)</f>
        <v>138.22189605000017</v>
      </c>
      <c r="Y239">
        <f t="shared" si="63"/>
        <v>0</v>
      </c>
    </row>
    <row r="240" spans="1:25">
      <c r="A240">
        <v>97.34438136</v>
      </c>
      <c r="B240" s="2">
        <f t="shared" si="48"/>
        <v>5.1049156065229907E-4</v>
      </c>
      <c r="C240">
        <v>101.7106192</v>
      </c>
      <c r="D240" s="3">
        <f t="shared" si="49"/>
        <v>-1.0762614505755195E-2</v>
      </c>
      <c r="E240" s="3">
        <f t="shared" si="51"/>
        <v>-1.1100836488845642E-2</v>
      </c>
      <c r="F240" s="3">
        <f>STDEV($E$32:E240)</f>
        <v>1.2988949268428834E-2</v>
      </c>
      <c r="G240" s="14">
        <f t="shared" si="54"/>
        <v>-0.85463698867679216</v>
      </c>
      <c r="H240" s="15">
        <f>yint($B$3:B240,$D$3:D240)</f>
        <v>1.7186635506971591E-4</v>
      </c>
      <c r="I240" s="16">
        <f>MyReg($B$3:B240,$D$3:D240)</f>
        <v>0.32587341465188019</v>
      </c>
      <c r="J240" s="17">
        <f>STDEV($D$3:D240)</f>
        <v>1.3458906014659461E-2</v>
      </c>
      <c r="K240" s="4">
        <f t="shared" si="52"/>
        <v>3.3822198309044801E-4</v>
      </c>
      <c r="L240">
        <f t="shared" si="55"/>
        <v>-0.85463698867679216</v>
      </c>
      <c r="M240">
        <f>RSQ($D$3:D240,$B$3:B240)</f>
        <v>9.5559390882695813E-2</v>
      </c>
      <c r="N240">
        <v>208</v>
      </c>
      <c r="O240" t="str">
        <f t="shared" si="53"/>
        <v/>
      </c>
      <c r="P240" t="str">
        <f t="shared" si="57"/>
        <v/>
      </c>
      <c r="Q240">
        <f t="shared" si="58"/>
        <v>0</v>
      </c>
      <c r="R240">
        <f t="shared" si="59"/>
        <v>0</v>
      </c>
      <c r="S240">
        <f t="shared" si="60"/>
        <v>0</v>
      </c>
      <c r="T240">
        <f t="shared" si="61"/>
        <v>0</v>
      </c>
      <c r="U240">
        <f t="shared" si="56"/>
        <v>0</v>
      </c>
      <c r="V240">
        <f t="shared" si="62"/>
        <v>0</v>
      </c>
      <c r="W240">
        <f t="shared" si="50"/>
        <v>0</v>
      </c>
      <c r="X240">
        <f>SUM($W$34:W240)</f>
        <v>138.22189605000017</v>
      </c>
      <c r="Y240">
        <f t="shared" si="63"/>
        <v>0</v>
      </c>
    </row>
    <row r="241" spans="1:25">
      <c r="A241">
        <v>97.196455670000006</v>
      </c>
      <c r="B241" s="2">
        <f t="shared" si="48"/>
        <v>-1.5196119995147287E-3</v>
      </c>
      <c r="C241">
        <v>102.3705112</v>
      </c>
      <c r="D241" s="3">
        <f t="shared" si="49"/>
        <v>6.4879361190635565E-3</v>
      </c>
      <c r="E241" s="3">
        <f t="shared" si="51"/>
        <v>6.7823849059429446E-3</v>
      </c>
      <c r="F241" s="3">
        <f>STDEV($E$32:E241)</f>
        <v>1.2966455465867253E-2</v>
      </c>
      <c r="G241" s="14">
        <f t="shared" si="54"/>
        <v>0.52307162306590382</v>
      </c>
      <c r="H241" s="15">
        <f>yint($B$3:B241,$D$3:D241)</f>
        <v>2.0035544696100203E-4</v>
      </c>
      <c r="I241" s="16">
        <f>MyReg($B$3:B241,$D$3:D241)</f>
        <v>0.32561221811778318</v>
      </c>
      <c r="J241" s="17">
        <f>STDEV($D$3:D241)</f>
        <v>1.3436834232220973E-2</v>
      </c>
      <c r="K241" s="4">
        <f t="shared" si="52"/>
        <v>-2.9444878687938847E-4</v>
      </c>
      <c r="L241">
        <f t="shared" si="55"/>
        <v>0.52307162306590382</v>
      </c>
      <c r="M241">
        <f>RSQ($D$3:D241,$B$3:B241)</f>
        <v>9.5323211259580182E-2</v>
      </c>
      <c r="N241">
        <v>209</v>
      </c>
      <c r="O241" t="str">
        <f t="shared" si="53"/>
        <v/>
      </c>
      <c r="P241" t="str">
        <f t="shared" si="57"/>
        <v/>
      </c>
      <c r="Q241">
        <f t="shared" si="58"/>
        <v>0</v>
      </c>
      <c r="R241">
        <f t="shared" si="59"/>
        <v>0</v>
      </c>
      <c r="S241">
        <f t="shared" si="60"/>
        <v>0</v>
      </c>
      <c r="T241">
        <f t="shared" si="61"/>
        <v>0</v>
      </c>
      <c r="U241">
        <f t="shared" si="56"/>
        <v>0</v>
      </c>
      <c r="V241">
        <f t="shared" si="62"/>
        <v>0</v>
      </c>
      <c r="W241">
        <f t="shared" si="50"/>
        <v>0</v>
      </c>
      <c r="X241">
        <f>SUM($W$34:W241)</f>
        <v>138.22189605000017</v>
      </c>
      <c r="Y241">
        <f t="shared" si="63"/>
        <v>0</v>
      </c>
    </row>
    <row r="242" spans="1:25">
      <c r="A242">
        <v>98.992951779999999</v>
      </c>
      <c r="B242" s="2">
        <f t="shared" si="48"/>
        <v>1.8483144242413839E-2</v>
      </c>
      <c r="C242">
        <v>101.88371600000001</v>
      </c>
      <c r="D242" s="3">
        <f t="shared" si="49"/>
        <v>-4.7552287694348147E-3</v>
      </c>
      <c r="E242" s="3">
        <f t="shared" si="51"/>
        <v>-1.0832415167657927E-2</v>
      </c>
      <c r="F242" s="3">
        <f>STDEV($E$32:E242)</f>
        <v>1.2956887916659159E-2</v>
      </c>
      <c r="G242" s="14">
        <f t="shared" si="54"/>
        <v>-0.83603526073033962</v>
      </c>
      <c r="H242" s="15">
        <f>yint($B$3:B242,$D$3:D242)</f>
        <v>1.5483371644070825E-4</v>
      </c>
      <c r="I242" s="16">
        <f>MyReg($B$3:B242,$D$3:D242)</f>
        <v>0.32041911290137526</v>
      </c>
      <c r="J242" s="17">
        <f>STDEV($D$3:D242)</f>
        <v>1.3412490213428061E-2</v>
      </c>
      <c r="K242" s="4">
        <f t="shared" si="52"/>
        <v>6.0771863982231117E-3</v>
      </c>
      <c r="L242">
        <f t="shared" si="55"/>
        <v>-0.83603526073033962</v>
      </c>
      <c r="M242">
        <f>RSQ($D$3:D242,$B$3:B242)</f>
        <v>9.3070376164717902E-2</v>
      </c>
      <c r="N242">
        <v>210</v>
      </c>
      <c r="O242" t="str">
        <f t="shared" si="53"/>
        <v/>
      </c>
      <c r="P242" t="str">
        <f t="shared" si="57"/>
        <v/>
      </c>
      <c r="Q242">
        <f t="shared" si="58"/>
        <v>0</v>
      </c>
      <c r="R242">
        <f t="shared" si="59"/>
        <v>0</v>
      </c>
      <c r="S242">
        <f t="shared" si="60"/>
        <v>0</v>
      </c>
      <c r="T242">
        <f t="shared" si="61"/>
        <v>0</v>
      </c>
      <c r="U242">
        <f t="shared" si="56"/>
        <v>0</v>
      </c>
      <c r="V242">
        <f t="shared" si="62"/>
        <v>0</v>
      </c>
      <c r="W242">
        <f t="shared" si="50"/>
        <v>0</v>
      </c>
      <c r="X242">
        <f>SUM($W$34:W242)</f>
        <v>138.22189605000017</v>
      </c>
      <c r="Y242">
        <f t="shared" si="63"/>
        <v>0</v>
      </c>
    </row>
    <row r="243" spans="1:25">
      <c r="A243">
        <v>98.989683749999998</v>
      </c>
      <c r="B243" s="2">
        <f t="shared" si="48"/>
        <v>-3.3012754355115932E-5</v>
      </c>
      <c r="C243">
        <v>102.60623940000001</v>
      </c>
      <c r="D243" s="3">
        <f t="shared" si="49"/>
        <v>7.0916475013534054E-3</v>
      </c>
      <c r="E243" s="3">
        <f t="shared" si="51"/>
        <v>6.9185634321696837E-3</v>
      </c>
      <c r="F243" s="3">
        <f>STDEV($E$32:E243)</f>
        <v>1.2935095933742249E-2</v>
      </c>
      <c r="G243" s="14">
        <f t="shared" si="54"/>
        <v>0.53486757791428885</v>
      </c>
      <c r="H243" s="15">
        <f>yint($B$3:B243,$D$3:D243)</f>
        <v>1.8366156417984949E-4</v>
      </c>
      <c r="I243" s="16">
        <f>MyReg($B$3:B243,$D$3:D243)</f>
        <v>0.32040631576349832</v>
      </c>
      <c r="J243" s="17">
        <f>STDEV($D$3:D243)</f>
        <v>1.3391948214396182E-2</v>
      </c>
      <c r="K243" s="4">
        <f t="shared" si="52"/>
        <v>1.7308406918372141E-4</v>
      </c>
      <c r="L243">
        <f t="shared" si="55"/>
        <v>0.53486757791428885</v>
      </c>
      <c r="M243">
        <f>RSQ($D$3:D243,$B$3:B243)</f>
        <v>9.2959720380909217E-2</v>
      </c>
      <c r="N243">
        <v>211</v>
      </c>
      <c r="O243" t="str">
        <f t="shared" si="53"/>
        <v/>
      </c>
      <c r="P243" t="str">
        <f t="shared" si="57"/>
        <v/>
      </c>
      <c r="Q243">
        <f t="shared" si="58"/>
        <v>0</v>
      </c>
      <c r="R243">
        <f t="shared" si="59"/>
        <v>0</v>
      </c>
      <c r="S243">
        <f t="shared" si="60"/>
        <v>0</v>
      </c>
      <c r="T243">
        <f t="shared" si="61"/>
        <v>0</v>
      </c>
      <c r="U243">
        <f t="shared" si="56"/>
        <v>0</v>
      </c>
      <c r="V243">
        <f t="shared" si="62"/>
        <v>0</v>
      </c>
      <c r="W243">
        <f t="shared" si="50"/>
        <v>0</v>
      </c>
      <c r="X243">
        <f>SUM($W$34:W243)</f>
        <v>138.22189605000017</v>
      </c>
      <c r="Y243">
        <f t="shared" si="63"/>
        <v>0</v>
      </c>
    </row>
    <row r="244" spans="1:25">
      <c r="A244">
        <v>100.7647352</v>
      </c>
      <c r="B244" s="2">
        <f t="shared" si="48"/>
        <v>1.7931681188950221E-2</v>
      </c>
      <c r="C244">
        <v>103.1344508</v>
      </c>
      <c r="D244" s="3">
        <f t="shared" si="49"/>
        <v>5.147946197899436E-3</v>
      </c>
      <c r="E244" s="3">
        <f t="shared" si="51"/>
        <v>-7.7159947145146335E-4</v>
      </c>
      <c r="F244" s="3">
        <f>STDEV($E$32:E244)</f>
        <v>1.2904646621219696E-2</v>
      </c>
      <c r="G244" s="14">
        <f t="shared" si="54"/>
        <v>-5.979237511104623E-2</v>
      </c>
      <c r="H244" s="15">
        <f>yint($B$3:B244,$D$3:D244)</f>
        <v>1.80473643642084E-4</v>
      </c>
      <c r="I244" s="16">
        <f>MyReg($B$3:B244,$D$3:D244)</f>
        <v>0.32005208910614141</v>
      </c>
      <c r="J244" s="17">
        <f>STDEV($D$3:D244)</f>
        <v>1.3367925640285636E-2</v>
      </c>
      <c r="K244" s="4">
        <f t="shared" si="52"/>
        <v>5.9195456693508994E-3</v>
      </c>
      <c r="L244">
        <f t="shared" si="55"/>
        <v>-5.979237511104623E-2</v>
      </c>
      <c r="M244">
        <f>RSQ($D$3:D244,$B$3:B244)</f>
        <v>9.3460029107207215E-2</v>
      </c>
      <c r="N244">
        <v>212</v>
      </c>
      <c r="O244" t="str">
        <f t="shared" si="53"/>
        <v/>
      </c>
      <c r="P244" t="str">
        <f t="shared" si="57"/>
        <v/>
      </c>
      <c r="Q244">
        <f t="shared" si="58"/>
        <v>0</v>
      </c>
      <c r="R244">
        <f t="shared" si="59"/>
        <v>0</v>
      </c>
      <c r="S244">
        <f t="shared" si="60"/>
        <v>0</v>
      </c>
      <c r="T244">
        <f t="shared" si="61"/>
        <v>0</v>
      </c>
      <c r="U244">
        <f t="shared" si="56"/>
        <v>0</v>
      </c>
      <c r="V244">
        <f t="shared" si="62"/>
        <v>0</v>
      </c>
      <c r="W244">
        <f t="shared" si="50"/>
        <v>0</v>
      </c>
      <c r="X244">
        <f>SUM($W$34:W244)</f>
        <v>138.22189605000017</v>
      </c>
      <c r="Y244">
        <f t="shared" si="63"/>
        <v>0</v>
      </c>
    </row>
    <row r="245" spans="1:25">
      <c r="A245">
        <v>98.323017669999999</v>
      </c>
      <c r="B245" s="2">
        <f t="shared" si="48"/>
        <v>-2.4231865693425701E-2</v>
      </c>
      <c r="C245">
        <v>102.2547205</v>
      </c>
      <c r="D245" s="3">
        <f t="shared" si="49"/>
        <v>-8.5299363420859118E-3</v>
      </c>
      <c r="E245" s="3">
        <f t="shared" si="51"/>
        <v>-9.3694749766645366E-4</v>
      </c>
      <c r="F245" s="3">
        <f>STDEV($E$32:E245)</f>
        <v>1.2874459248682579E-2</v>
      </c>
      <c r="G245" s="14">
        <f t="shared" si="54"/>
        <v>-7.2775677763889754E-2</v>
      </c>
      <c r="H245" s="15">
        <f>yint($B$3:B245,$D$3:D245)</f>
        <v>1.7653652916746449E-4</v>
      </c>
      <c r="I245" s="16">
        <f>MyReg($B$3:B245,$D$3:D245)</f>
        <v>0.32063257001687895</v>
      </c>
      <c r="J245" s="17">
        <f>STDEV($D$3:D245)</f>
        <v>1.3352071719795387E-2</v>
      </c>
      <c r="K245" s="4">
        <f t="shared" si="52"/>
        <v>-7.5929888444194581E-3</v>
      </c>
      <c r="L245">
        <f t="shared" si="55"/>
        <v>-7.2775677763889754E-2</v>
      </c>
      <c r="M245">
        <f>RSQ($D$3:D245,$B$3:B245)</f>
        <v>9.5040139945121949E-2</v>
      </c>
      <c r="N245">
        <v>213</v>
      </c>
      <c r="O245" t="str">
        <f t="shared" si="53"/>
        <v/>
      </c>
      <c r="P245" t="str">
        <f t="shared" si="57"/>
        <v/>
      </c>
      <c r="Q245">
        <f t="shared" si="58"/>
        <v>0</v>
      </c>
      <c r="R245">
        <f t="shared" si="59"/>
        <v>0</v>
      </c>
      <c r="S245">
        <f t="shared" si="60"/>
        <v>0</v>
      </c>
      <c r="T245">
        <f t="shared" si="61"/>
        <v>0</v>
      </c>
      <c r="U245">
        <f t="shared" si="56"/>
        <v>0</v>
      </c>
      <c r="V245">
        <f t="shared" si="62"/>
        <v>0</v>
      </c>
      <c r="W245">
        <f t="shared" si="50"/>
        <v>0</v>
      </c>
      <c r="X245">
        <f>SUM($W$34:W245)</f>
        <v>138.22189605000017</v>
      </c>
      <c r="Y245">
        <f t="shared" si="63"/>
        <v>0</v>
      </c>
    </row>
    <row r="246" spans="1:25">
      <c r="A246">
        <v>93.570298719999997</v>
      </c>
      <c r="B246" s="2">
        <f t="shared" si="48"/>
        <v>-4.833780596473837E-2</v>
      </c>
      <c r="C246">
        <v>101.4692884</v>
      </c>
      <c r="D246" s="3">
        <f t="shared" si="49"/>
        <v>-7.6811329213892707E-3</v>
      </c>
      <c r="E246" s="3">
        <f t="shared" si="51"/>
        <v>7.189989582364947E-3</v>
      </c>
      <c r="F246" s="3">
        <f>STDEV($E$32:E246)</f>
        <v>1.28538569889536E-2</v>
      </c>
      <c r="G246" s="14">
        <f t="shared" si="54"/>
        <v>0.55936436732911454</v>
      </c>
      <c r="H246" s="15">
        <f>yint($B$3:B246,$D$3:D246)</f>
        <v>2.0623421543614057E-4</v>
      </c>
      <c r="I246" s="16">
        <f>MyReg($B$3:B246,$D$3:D246)</f>
        <v>0.3119164475563711</v>
      </c>
      <c r="J246" s="17">
        <f>STDEV($D$3:D246)</f>
        <v>1.3334071752642392E-2</v>
      </c>
      <c r="K246" s="4">
        <f t="shared" si="52"/>
        <v>-1.4871122503754218E-2</v>
      </c>
      <c r="L246">
        <f t="shared" si="55"/>
        <v>0.55936436732911454</v>
      </c>
      <c r="M246">
        <f>RSQ($D$3:D246,$B$3:B246)</f>
        <v>9.5057825488393866E-2</v>
      </c>
      <c r="N246">
        <v>214</v>
      </c>
      <c r="O246" t="str">
        <f t="shared" si="53"/>
        <v/>
      </c>
      <c r="P246" t="str">
        <f t="shared" si="57"/>
        <v/>
      </c>
      <c r="Q246">
        <f t="shared" si="58"/>
        <v>0</v>
      </c>
      <c r="R246">
        <f t="shared" si="59"/>
        <v>0</v>
      </c>
      <c r="S246">
        <f t="shared" si="60"/>
        <v>0</v>
      </c>
      <c r="T246">
        <f t="shared" si="61"/>
        <v>0</v>
      </c>
      <c r="U246">
        <f t="shared" si="56"/>
        <v>0</v>
      </c>
      <c r="V246">
        <f t="shared" si="62"/>
        <v>0</v>
      </c>
      <c r="W246">
        <f t="shared" si="50"/>
        <v>0</v>
      </c>
      <c r="X246">
        <f>SUM($W$34:W246)</f>
        <v>138.22189605000017</v>
      </c>
      <c r="Y246">
        <f t="shared" si="63"/>
        <v>0</v>
      </c>
    </row>
    <row r="247" spans="1:25">
      <c r="A247">
        <v>94.006972559999994</v>
      </c>
      <c r="B247" s="2">
        <f t="shared" si="48"/>
        <v>4.6667996786747615E-3</v>
      </c>
      <c r="C247">
        <v>100.5799099</v>
      </c>
      <c r="D247" s="3">
        <f t="shared" si="49"/>
        <v>-8.7650018446368879E-3</v>
      </c>
      <c r="E247" s="3">
        <f t="shared" si="51"/>
        <v>-1.0378563438422491E-2</v>
      </c>
      <c r="F247" s="3">
        <f>STDEV($E$32:E247)</f>
        <v>1.2843259660751666E-2</v>
      </c>
      <c r="G247" s="14">
        <f t="shared" si="54"/>
        <v>-0.80809418423103607</v>
      </c>
      <c r="H247" s="15">
        <f>yint($B$3:B247,$D$3:D247)</f>
        <v>1.6347766527956647E-4</v>
      </c>
      <c r="I247" s="16">
        <f>MyReg($B$3:B247,$D$3:D247)</f>
        <v>0.31072341397731046</v>
      </c>
      <c r="J247" s="17">
        <f>STDEV($D$3:D247)</f>
        <v>1.3318898873197076E-2</v>
      </c>
      <c r="K247" s="4">
        <f t="shared" si="52"/>
        <v>1.6135615937856037E-3</v>
      </c>
      <c r="L247">
        <f t="shared" si="55"/>
        <v>-0.80809418423103607</v>
      </c>
      <c r="M247">
        <f>RSQ($D$3:D247,$B$3:B247)</f>
        <v>9.421191993736569E-2</v>
      </c>
      <c r="N247">
        <v>215</v>
      </c>
      <c r="O247" t="str">
        <f t="shared" si="53"/>
        <v/>
      </c>
      <c r="P247" t="str">
        <f t="shared" si="57"/>
        <v/>
      </c>
      <c r="Q247">
        <f t="shared" si="58"/>
        <v>0</v>
      </c>
      <c r="R247">
        <f t="shared" si="59"/>
        <v>0</v>
      </c>
      <c r="S247">
        <f t="shared" si="60"/>
        <v>0</v>
      </c>
      <c r="T247">
        <f t="shared" si="61"/>
        <v>0</v>
      </c>
      <c r="U247">
        <f t="shared" si="56"/>
        <v>0</v>
      </c>
      <c r="V247">
        <f t="shared" si="62"/>
        <v>0</v>
      </c>
      <c r="W247">
        <f t="shared" si="50"/>
        <v>0</v>
      </c>
      <c r="X247">
        <f>SUM($W$34:W247)</f>
        <v>138.22189605000017</v>
      </c>
      <c r="Y247">
        <f t="shared" si="63"/>
        <v>0</v>
      </c>
    </row>
    <row r="248" spans="1:25">
      <c r="A248">
        <v>93.203959909999995</v>
      </c>
      <c r="B248" s="2">
        <f t="shared" si="48"/>
        <v>-8.5420541490949121E-3</v>
      </c>
      <c r="C248">
        <v>101.50667129999999</v>
      </c>
      <c r="D248" s="3">
        <f t="shared" si="49"/>
        <v>9.2141800576418052E-3</v>
      </c>
      <c r="E248" s="3">
        <f t="shared" si="51"/>
        <v>1.1638083425892114E-2</v>
      </c>
      <c r="F248" s="3">
        <f>STDEV($E$32:E248)</f>
        <v>1.2838139465046933E-2</v>
      </c>
      <c r="G248" s="14">
        <f t="shared" si="54"/>
        <v>0.90652414686551053</v>
      </c>
      <c r="H248" s="15">
        <f>yint($B$3:B248,$D$3:D248)</f>
        <v>2.1059733220065108E-4</v>
      </c>
      <c r="I248" s="16">
        <f>MyReg($B$3:B248,$D$3:D248)</f>
        <v>0.30841535940510301</v>
      </c>
      <c r="J248" s="17">
        <f>STDEV($D$3:D248)</f>
        <v>1.3304352842286489E-2</v>
      </c>
      <c r="K248" s="4">
        <f t="shared" si="52"/>
        <v>-2.4239033682503077E-3</v>
      </c>
      <c r="L248">
        <f t="shared" si="55"/>
        <v>0.90652414686551053</v>
      </c>
      <c r="M248">
        <f>RSQ($D$3:D248,$B$3:B248)</f>
        <v>9.2794166925942556E-2</v>
      </c>
      <c r="N248">
        <v>216</v>
      </c>
      <c r="O248" t="str">
        <f t="shared" si="53"/>
        <v/>
      </c>
      <c r="P248" t="str">
        <f t="shared" si="57"/>
        <v/>
      </c>
      <c r="Q248">
        <f t="shared" si="58"/>
        <v>0</v>
      </c>
      <c r="R248">
        <f t="shared" si="59"/>
        <v>0</v>
      </c>
      <c r="S248">
        <f t="shared" si="60"/>
        <v>0</v>
      </c>
      <c r="T248">
        <f t="shared" si="61"/>
        <v>0</v>
      </c>
      <c r="U248">
        <f t="shared" si="56"/>
        <v>0</v>
      </c>
      <c r="V248">
        <f t="shared" si="62"/>
        <v>0</v>
      </c>
      <c r="W248">
        <f t="shared" si="50"/>
        <v>0</v>
      </c>
      <c r="X248">
        <f>SUM($W$34:W248)</f>
        <v>138.22189605000017</v>
      </c>
      <c r="Y248">
        <f t="shared" si="63"/>
        <v>0</v>
      </c>
    </row>
    <row r="249" spans="1:25">
      <c r="A249">
        <v>89.608908409999998</v>
      </c>
      <c r="B249" s="2">
        <f t="shared" si="48"/>
        <v>-3.857187509491513E-2</v>
      </c>
      <c r="C249">
        <v>101.7025828</v>
      </c>
      <c r="D249" s="3">
        <f t="shared" si="49"/>
        <v>1.930035705938948E-3</v>
      </c>
      <c r="E249" s="3">
        <f t="shared" si="51"/>
        <v>1.3106175129595696E-2</v>
      </c>
      <c r="F249" s="3">
        <f>STDEV($E$32:E249)</f>
        <v>1.283934111095388E-2</v>
      </c>
      <c r="G249" s="14">
        <f t="shared" si="54"/>
        <v>1.0207825320891402</v>
      </c>
      <c r="H249" s="15">
        <f>yint($B$3:B249,$D$3:D249)</f>
        <v>2.6149856497330933E-4</v>
      </c>
      <c r="I249" s="16">
        <f>MyReg($B$3:B249,$D$3:D249)</f>
        <v>0.29652792249495447</v>
      </c>
      <c r="J249" s="17">
        <f>STDEV($D$3:D249)</f>
        <v>1.3277767578428091E-2</v>
      </c>
      <c r="K249" s="4">
        <f t="shared" si="52"/>
        <v>-1.1176139423656748E-2</v>
      </c>
      <c r="L249">
        <f t="shared" si="55"/>
        <v>1.0207825320891402</v>
      </c>
      <c r="M249">
        <f>RSQ($D$3:D249,$B$3:B249)</f>
        <v>8.8745657252819701E-2</v>
      </c>
      <c r="N249">
        <v>217</v>
      </c>
      <c r="O249" t="str">
        <f t="shared" si="53"/>
        <v/>
      </c>
      <c r="P249" t="str">
        <f t="shared" si="57"/>
        <v/>
      </c>
      <c r="Q249">
        <f t="shared" si="58"/>
        <v>0</v>
      </c>
      <c r="R249">
        <f t="shared" si="59"/>
        <v>0</v>
      </c>
      <c r="S249">
        <f t="shared" si="60"/>
        <v>0</v>
      </c>
      <c r="T249">
        <f t="shared" si="61"/>
        <v>0</v>
      </c>
      <c r="U249">
        <f t="shared" si="56"/>
        <v>0</v>
      </c>
      <c r="V249">
        <f t="shared" si="62"/>
        <v>0</v>
      </c>
      <c r="W249">
        <f t="shared" si="50"/>
        <v>0</v>
      </c>
      <c r="X249">
        <f>SUM($W$34:W249)</f>
        <v>138.22189605000017</v>
      </c>
      <c r="Y249">
        <f t="shared" si="63"/>
        <v>0</v>
      </c>
    </row>
    <row r="250" spans="1:25">
      <c r="A250">
        <v>90.966449740000002</v>
      </c>
      <c r="B250" s="2">
        <f t="shared" si="48"/>
        <v>1.5149624675580887E-2</v>
      </c>
      <c r="C250">
        <v>99.063160550000006</v>
      </c>
      <c r="D250" s="3">
        <f t="shared" si="49"/>
        <v>-2.5952362047584061E-2</v>
      </c>
      <c r="E250" s="3">
        <f t="shared" si="51"/>
        <v>-3.0415960160684749E-2</v>
      </c>
      <c r="F250" s="3">
        <f>STDEV($E$32:E250)</f>
        <v>1.2974125565560015E-2</v>
      </c>
      <c r="G250" s="14">
        <f t="shared" si="54"/>
        <v>-2.3443553098811001</v>
      </c>
      <c r="H250" s="15">
        <f>yint($B$3:B250,$D$3:D250)</f>
        <v>1.3452997868396442E-4</v>
      </c>
      <c r="I250" s="16">
        <f>MyReg($B$3:B250,$D$3:D250)</f>
        <v>0.28575415082028977</v>
      </c>
      <c r="J250" s="17">
        <f>STDEV($D$3:D250)</f>
        <v>1.3354173885269485E-2</v>
      </c>
      <c r="K250" s="4">
        <f t="shared" si="52"/>
        <v>4.4635981131006886E-3</v>
      </c>
      <c r="L250">
        <f t="shared" si="55"/>
        <v>-2.3443553098811001</v>
      </c>
      <c r="M250">
        <f>RSQ($D$3:D250,$B$3:B250)</f>
        <v>8.1587628824551686E-2</v>
      </c>
      <c r="N250">
        <v>218</v>
      </c>
      <c r="O250" t="str">
        <f t="shared" si="53"/>
        <v>buyY</v>
      </c>
      <c r="P250" t="str">
        <f t="shared" si="57"/>
        <v/>
      </c>
      <c r="Q250">
        <f t="shared" si="58"/>
        <v>-15</v>
      </c>
      <c r="R250">
        <f t="shared" si="59"/>
        <v>-5</v>
      </c>
      <c r="S250">
        <f t="shared" si="60"/>
        <v>15</v>
      </c>
      <c r="T250">
        <f t="shared" si="61"/>
        <v>5</v>
      </c>
      <c r="U250">
        <f t="shared" si="56"/>
        <v>30</v>
      </c>
      <c r="V250">
        <f t="shared" si="62"/>
        <v>-15</v>
      </c>
      <c r="W250">
        <f t="shared" si="50"/>
        <v>-121.45066215000007</v>
      </c>
      <c r="X250">
        <f>SUM($W$34:W250)</f>
        <v>16.771233900000098</v>
      </c>
      <c r="Y250">
        <f t="shared" si="63"/>
        <v>0</v>
      </c>
    </row>
    <row r="251" spans="1:25">
      <c r="A251">
        <v>90.785508640000003</v>
      </c>
      <c r="B251" s="2">
        <f t="shared" si="48"/>
        <v>-1.9890970848830919E-3</v>
      </c>
      <c r="C251">
        <v>98.045023229999998</v>
      </c>
      <c r="D251" s="3">
        <f t="shared" si="49"/>
        <v>-1.0277658358034368E-2</v>
      </c>
      <c r="E251" s="3">
        <f t="shared" si="51"/>
        <v>-9.8036238267957786E-3</v>
      </c>
      <c r="F251" s="3">
        <f>STDEV($E$32:E251)</f>
        <v>1.2960994997715735E-2</v>
      </c>
      <c r="G251" s="14">
        <f t="shared" si="54"/>
        <v>-0.75639438395922409</v>
      </c>
      <c r="H251" s="15">
        <f>yint($B$3:B251,$D$3:D251)</f>
        <v>9.5109840181423376E-5</v>
      </c>
      <c r="I251" s="16">
        <f>MyReg($B$3:B251,$D$3:D251)</f>
        <v>0.28613202228561135</v>
      </c>
      <c r="J251" s="17">
        <f>STDEV($D$3:D251)</f>
        <v>1.3343286737710775E-2</v>
      </c>
      <c r="K251" s="4">
        <f t="shared" si="52"/>
        <v>-4.7403453123859003E-4</v>
      </c>
      <c r="L251">
        <f t="shared" si="55"/>
        <v>-0.75639438395922409</v>
      </c>
      <c r="M251">
        <f>RSQ($D$3:D251,$B$3:B251)</f>
        <v>8.1612017747390658E-2</v>
      </c>
      <c r="N251">
        <v>219</v>
      </c>
      <c r="O251" t="str">
        <f t="shared" si="53"/>
        <v/>
      </c>
      <c r="P251" t="str">
        <f t="shared" si="57"/>
        <v>buyhold</v>
      </c>
      <c r="Q251">
        <f t="shared" si="58"/>
        <v>-15</v>
      </c>
      <c r="R251">
        <f t="shared" si="59"/>
        <v>0</v>
      </c>
      <c r="S251">
        <f t="shared" si="60"/>
        <v>15</v>
      </c>
      <c r="T251">
        <f t="shared" si="61"/>
        <v>0</v>
      </c>
      <c r="U251">
        <f t="shared" si="56"/>
        <v>30</v>
      </c>
      <c r="V251">
        <f t="shared" si="62"/>
        <v>0</v>
      </c>
      <c r="W251">
        <f t="shared" si="50"/>
        <v>0</v>
      </c>
      <c r="X251">
        <f>SUM($W$34:W251)</f>
        <v>16.771233900000098</v>
      </c>
      <c r="Y251">
        <f t="shared" si="63"/>
        <v>0</v>
      </c>
    </row>
    <row r="252" spans="1:25">
      <c r="A252">
        <v>91.112126480000001</v>
      </c>
      <c r="B252" s="2">
        <f t="shared" si="48"/>
        <v>3.5976869534890704E-3</v>
      </c>
      <c r="C252">
        <v>97.704416670000001</v>
      </c>
      <c r="D252" s="3">
        <f t="shared" si="49"/>
        <v>-3.4739811239677307E-3</v>
      </c>
      <c r="E252" s="3">
        <f t="shared" si="51"/>
        <v>-4.5785367958902871E-3</v>
      </c>
      <c r="F252" s="3">
        <f>STDEV($E$32:E252)</f>
        <v>1.2934945883242606E-2</v>
      </c>
      <c r="G252" s="14">
        <f t="shared" si="54"/>
        <v>-0.35396644386598031</v>
      </c>
      <c r="H252" s="15">
        <f>yint($B$3:B252,$D$3:D252)</f>
        <v>7.6600720783142365E-5</v>
      </c>
      <c r="I252" s="16">
        <f>MyReg($B$3:B252,$D$3:D252)</f>
        <v>0.28572662503125612</v>
      </c>
      <c r="J252" s="17">
        <f>STDEV($D$3:D252)</f>
        <v>1.3318288316339055E-2</v>
      </c>
      <c r="K252" s="4">
        <f t="shared" si="52"/>
        <v>1.1045556719225561E-3</v>
      </c>
      <c r="L252">
        <f t="shared" si="55"/>
        <v>-0.35396644386598031</v>
      </c>
      <c r="M252">
        <f>RSQ($D$3:D252,$B$3:B252)</f>
        <v>8.138661631538309E-2</v>
      </c>
      <c r="N252">
        <v>220</v>
      </c>
      <c r="O252" t="str">
        <f t="shared" si="53"/>
        <v/>
      </c>
      <c r="P252" t="str">
        <f t="shared" si="57"/>
        <v>close</v>
      </c>
      <c r="Q252">
        <f t="shared" si="58"/>
        <v>0</v>
      </c>
      <c r="R252">
        <f t="shared" si="59"/>
        <v>0</v>
      </c>
      <c r="S252">
        <f t="shared" si="60"/>
        <v>0</v>
      </c>
      <c r="T252">
        <f t="shared" si="61"/>
        <v>0</v>
      </c>
      <c r="U252">
        <f t="shared" si="56"/>
        <v>0</v>
      </c>
      <c r="V252">
        <f t="shared" si="62"/>
        <v>15</v>
      </c>
      <c r="W252">
        <f t="shared" si="50"/>
        <v>98.884352849999999</v>
      </c>
      <c r="X252">
        <f>SUM($W$34:W252)</f>
        <v>115.6555867500001</v>
      </c>
      <c r="Y252">
        <f t="shared" si="63"/>
        <v>115.6555867500001</v>
      </c>
    </row>
    <row r="253" spans="1:25">
      <c r="A253">
        <v>92.431271190000004</v>
      </c>
      <c r="B253" s="2">
        <f t="shared" si="48"/>
        <v>1.4478256198855906E-2</v>
      </c>
      <c r="C253">
        <v>96.230757980000007</v>
      </c>
      <c r="D253" s="3">
        <f t="shared" si="49"/>
        <v>-1.5082825733224793E-2</v>
      </c>
      <c r="E253" s="3">
        <f t="shared" si="51"/>
        <v>-1.9125091493400602E-2</v>
      </c>
      <c r="F253" s="3">
        <f>STDEV($E$32:E253)</f>
        <v>1.2968243653243219E-2</v>
      </c>
      <c r="G253" s="14">
        <f t="shared" si="54"/>
        <v>-1.4747634301748811</v>
      </c>
      <c r="H253" s="15">
        <f>yint($B$3:B253,$D$3:D253)</f>
        <v>-1.7202154921687094E-6</v>
      </c>
      <c r="I253" s="16">
        <f>MyReg($B$3:B253,$D$3:D253)</f>
        <v>0.27931443677502665</v>
      </c>
      <c r="J253" s="17">
        <f>STDEV($D$3:D253)</f>
        <v>1.3325655482353541E-2</v>
      </c>
      <c r="K253" s="4">
        <f t="shared" si="52"/>
        <v>4.0422657601758075E-3</v>
      </c>
      <c r="L253">
        <f t="shared" si="55"/>
        <v>-1.4747634301748811</v>
      </c>
      <c r="M253">
        <f>RSQ($D$3:D253,$B$3:B253)</f>
        <v>7.7759420441093616E-2</v>
      </c>
      <c r="N253">
        <v>221</v>
      </c>
      <c r="O253" t="str">
        <f t="shared" si="53"/>
        <v/>
      </c>
      <c r="P253" t="str">
        <f t="shared" si="57"/>
        <v/>
      </c>
      <c r="Q253">
        <f t="shared" si="58"/>
        <v>0</v>
      </c>
      <c r="R253">
        <f t="shared" si="59"/>
        <v>0</v>
      </c>
      <c r="S253">
        <f t="shared" si="60"/>
        <v>0</v>
      </c>
      <c r="T253">
        <f t="shared" si="61"/>
        <v>0</v>
      </c>
      <c r="U253">
        <f t="shared" si="56"/>
        <v>0</v>
      </c>
      <c r="V253">
        <f t="shared" si="62"/>
        <v>0</v>
      </c>
      <c r="W253">
        <f t="shared" si="50"/>
        <v>0</v>
      </c>
      <c r="X253">
        <f>SUM($W$34:W253)</f>
        <v>115.6555867500001</v>
      </c>
      <c r="Y253">
        <f t="shared" si="63"/>
        <v>0</v>
      </c>
    </row>
    <row r="254" spans="1:25">
      <c r="A254">
        <v>92.332466299999993</v>
      </c>
      <c r="B254" s="2">
        <f t="shared" si="48"/>
        <v>-1.0689552218416365E-3</v>
      </c>
      <c r="C254">
        <v>93.986541279999997</v>
      </c>
      <c r="D254" s="3">
        <f t="shared" si="49"/>
        <v>-2.3321199449207637E-2</v>
      </c>
      <c r="E254" s="3">
        <f t="shared" si="51"/>
        <v>-2.2929184272423679E-2</v>
      </c>
      <c r="F254" s="3">
        <f>STDEV($E$32:E254)</f>
        <v>1.3027837013407843E-2</v>
      </c>
      <c r="G254" s="14">
        <f t="shared" si="54"/>
        <v>-1.7600146708026574</v>
      </c>
      <c r="H254" s="15">
        <f>yint($B$3:B254,$D$3:D254)</f>
        <v>-9.2973109277704838E-5</v>
      </c>
      <c r="I254" s="16">
        <f>MyReg($B$3:B254,$D$3:D254)</f>
        <v>0.27975172523227931</v>
      </c>
      <c r="J254" s="17">
        <f>STDEV($D$3:D254)</f>
        <v>1.3379534346788393E-2</v>
      </c>
      <c r="K254" s="4">
        <f t="shared" si="52"/>
        <v>-3.9201517678395651E-4</v>
      </c>
      <c r="L254">
        <f t="shared" si="55"/>
        <v>-1.7600146708026574</v>
      </c>
      <c r="M254">
        <f>RSQ($D$3:D254,$B$3:B254)</f>
        <v>7.7069085935644197E-2</v>
      </c>
      <c r="N254">
        <v>222</v>
      </c>
      <c r="O254" t="str">
        <f t="shared" si="53"/>
        <v>buyY</v>
      </c>
      <c r="P254" t="str">
        <f t="shared" si="57"/>
        <v/>
      </c>
      <c r="Q254">
        <f t="shared" si="58"/>
        <v>-10</v>
      </c>
      <c r="R254">
        <f t="shared" si="59"/>
        <v>0</v>
      </c>
      <c r="S254">
        <f t="shared" si="60"/>
        <v>10</v>
      </c>
      <c r="T254">
        <f t="shared" si="61"/>
        <v>0</v>
      </c>
      <c r="U254">
        <f t="shared" si="56"/>
        <v>20</v>
      </c>
      <c r="V254">
        <f t="shared" si="62"/>
        <v>-10</v>
      </c>
      <c r="W254">
        <f t="shared" si="50"/>
        <v>-16.540749800000043</v>
      </c>
      <c r="X254">
        <f>SUM($W$34:W254)</f>
        <v>99.114836950000054</v>
      </c>
      <c r="Y254">
        <f t="shared" si="63"/>
        <v>0</v>
      </c>
    </row>
    <row r="255" spans="1:25">
      <c r="A255">
        <v>96.970192280000006</v>
      </c>
      <c r="B255" s="2">
        <f t="shared" si="48"/>
        <v>5.0228550864562072E-2</v>
      </c>
      <c r="C255">
        <v>95.920943219999998</v>
      </c>
      <c r="D255" s="3">
        <f t="shared" si="49"/>
        <v>2.0581690885263321E-2</v>
      </c>
      <c r="E255" s="3">
        <f t="shared" si="51"/>
        <v>6.2393810399359838E-3</v>
      </c>
      <c r="F255" s="3">
        <f>STDEV($E$32:E255)</f>
        <v>1.3006048793678417E-2</v>
      </c>
      <c r="G255" s="14">
        <f t="shared" si="54"/>
        <v>0.4797291736264</v>
      </c>
      <c r="H255" s="15">
        <f>yint($B$3:B255,$D$3:D255)</f>
        <v>-6.6588186763621976E-5</v>
      </c>
      <c r="I255" s="16">
        <f>MyReg($B$3:B255,$D$3:D255)</f>
        <v>0.28686668805045934</v>
      </c>
      <c r="J255" s="17">
        <f>STDEV($D$3:D255)</f>
        <v>1.3416464851992122E-2</v>
      </c>
      <c r="K255" s="4">
        <f t="shared" si="52"/>
        <v>1.4342309845327337E-2</v>
      </c>
      <c r="L255">
        <f t="shared" si="55"/>
        <v>0.4797291736264</v>
      </c>
      <c r="M255">
        <f>RSQ($D$3:D255,$B$3:B255)</f>
        <v>8.487432728061664E-2</v>
      </c>
      <c r="N255">
        <v>223</v>
      </c>
      <c r="O255" t="str">
        <f t="shared" si="53"/>
        <v/>
      </c>
      <c r="P255" t="str">
        <f t="shared" si="57"/>
        <v>close</v>
      </c>
      <c r="Q255">
        <f t="shared" si="58"/>
        <v>0</v>
      </c>
      <c r="R255">
        <f t="shared" si="59"/>
        <v>0</v>
      </c>
      <c r="S255">
        <f t="shared" si="60"/>
        <v>0</v>
      </c>
      <c r="T255">
        <f t="shared" si="61"/>
        <v>0</v>
      </c>
      <c r="U255">
        <f t="shared" si="56"/>
        <v>0</v>
      </c>
      <c r="V255">
        <f t="shared" si="62"/>
        <v>10</v>
      </c>
      <c r="W255">
        <f t="shared" si="50"/>
        <v>-10.492490600000082</v>
      </c>
      <c r="X255">
        <f>SUM($W$34:W255)</f>
        <v>88.622346349999972</v>
      </c>
      <c r="Y255">
        <f t="shared" si="63"/>
        <v>88.622346349999972</v>
      </c>
    </row>
    <row r="256" spans="1:25">
      <c r="A256">
        <v>97.78023881</v>
      </c>
      <c r="B256" s="2">
        <f t="shared" si="48"/>
        <v>8.353562171569141E-3</v>
      </c>
      <c r="C256">
        <v>94.743614289999996</v>
      </c>
      <c r="D256" s="3">
        <f t="shared" si="49"/>
        <v>-1.2273950718976277E-2</v>
      </c>
      <c r="E256" s="3">
        <f t="shared" si="51"/>
        <v>-1.452449671293634E-2</v>
      </c>
      <c r="F256" s="3">
        <f>STDEV($E$32:E256)</f>
        <v>1.3011485540803339E-2</v>
      </c>
      <c r="G256" s="14">
        <f t="shared" si="54"/>
        <v>-1.1162827386149166</v>
      </c>
      <c r="H256" s="15">
        <f>yint($B$3:B256,$D$3:D256)</f>
        <v>-1.2407279810663048E-4</v>
      </c>
      <c r="I256" s="16">
        <f>MyReg($B$3:B256,$D$3:D256)</f>
        <v>0.2842642148697439</v>
      </c>
      <c r="J256" s="17">
        <f>STDEV($D$3:D256)</f>
        <v>1.3411784084841083E-2</v>
      </c>
      <c r="K256" s="4">
        <f t="shared" si="52"/>
        <v>2.2505459939600641E-3</v>
      </c>
      <c r="L256">
        <f t="shared" si="55"/>
        <v>-1.1162827386149166</v>
      </c>
      <c r="M256">
        <f>RSQ($D$3:D256,$B$3:B256)</f>
        <v>8.3194160347132062E-2</v>
      </c>
      <c r="N256">
        <v>224</v>
      </c>
      <c r="O256" t="str">
        <f t="shared" si="53"/>
        <v/>
      </c>
      <c r="P256" t="str">
        <f t="shared" si="57"/>
        <v/>
      </c>
      <c r="Q256">
        <f t="shared" si="58"/>
        <v>0</v>
      </c>
      <c r="R256">
        <f t="shared" si="59"/>
        <v>0</v>
      </c>
      <c r="S256">
        <f t="shared" si="60"/>
        <v>0</v>
      </c>
      <c r="T256">
        <f t="shared" si="61"/>
        <v>0</v>
      </c>
      <c r="U256">
        <f t="shared" si="56"/>
        <v>0</v>
      </c>
      <c r="V256">
        <f t="shared" si="62"/>
        <v>0</v>
      </c>
      <c r="W256">
        <f t="shared" si="50"/>
        <v>0</v>
      </c>
      <c r="X256">
        <f>SUM($W$34:W256)</f>
        <v>88.622346349999972</v>
      </c>
      <c r="Y256">
        <f t="shared" si="63"/>
        <v>0</v>
      </c>
    </row>
    <row r="257" spans="1:25">
      <c r="A257">
        <v>97.821179569999998</v>
      </c>
      <c r="B257" s="2">
        <f t="shared" si="48"/>
        <v>4.187017796055025E-4</v>
      </c>
      <c r="C257">
        <v>95.784192770000004</v>
      </c>
      <c r="D257" s="3">
        <f t="shared" si="49"/>
        <v>1.098309883782678E-2</v>
      </c>
      <c r="E257" s="3">
        <f t="shared" si="51"/>
        <v>1.0945018899447519E-2</v>
      </c>
      <c r="F257" s="3">
        <f>STDEV($E$32:E257)</f>
        <v>1.3004392983837239E-2</v>
      </c>
      <c r="G257" s="14">
        <f t="shared" si="54"/>
        <v>0.84164012215339434</v>
      </c>
      <c r="H257" s="15">
        <f>yint($B$3:B257,$D$3:D257)</f>
        <v>-8.0982557963484597E-5</v>
      </c>
      <c r="I257" s="16">
        <f>MyReg($B$3:B257,$D$3:D257)</f>
        <v>0.28436109455977476</v>
      </c>
      <c r="J257" s="17">
        <f>STDEV($D$3:D257)</f>
        <v>1.3403413065499862E-2</v>
      </c>
      <c r="K257" s="4">
        <f t="shared" si="52"/>
        <v>3.8079938379261677E-5</v>
      </c>
      <c r="L257">
        <f t="shared" si="55"/>
        <v>0.84164012215339434</v>
      </c>
      <c r="M257">
        <f>RSQ($D$3:D257,$B$3:B257)</f>
        <v>8.3027031405817686E-2</v>
      </c>
      <c r="N257">
        <v>225</v>
      </c>
      <c r="O257" t="str">
        <f t="shared" si="53"/>
        <v/>
      </c>
      <c r="P257" t="str">
        <f t="shared" si="57"/>
        <v/>
      </c>
      <c r="Q257">
        <f t="shared" si="58"/>
        <v>0</v>
      </c>
      <c r="R257">
        <f t="shared" si="59"/>
        <v>0</v>
      </c>
      <c r="S257">
        <f t="shared" si="60"/>
        <v>0</v>
      </c>
      <c r="T257">
        <f t="shared" si="61"/>
        <v>0</v>
      </c>
      <c r="U257">
        <f t="shared" si="56"/>
        <v>0</v>
      </c>
      <c r="V257">
        <f t="shared" si="62"/>
        <v>0</v>
      </c>
      <c r="W257">
        <f t="shared" si="50"/>
        <v>0</v>
      </c>
      <c r="X257">
        <f>SUM($W$34:W257)</f>
        <v>88.622346349999972</v>
      </c>
      <c r="Y257">
        <f t="shared" si="63"/>
        <v>0</v>
      </c>
    </row>
    <row r="258" spans="1:25">
      <c r="A258">
        <v>97.590720820000001</v>
      </c>
      <c r="B258" s="2">
        <f t="shared" si="48"/>
        <v>-2.3559187387950328E-3</v>
      </c>
      <c r="C258">
        <v>96.893872490000007</v>
      </c>
      <c r="D258" s="3">
        <f t="shared" si="49"/>
        <v>1.158520720286906E-2</v>
      </c>
      <c r="E258" s="3">
        <f t="shared" si="51"/>
        <v>1.228647672327437E-2</v>
      </c>
      <c r="F258" s="3">
        <f>STDEV($E$32:E258)</f>
        <v>1.3002599874221086E-2</v>
      </c>
      <c r="G258" s="14">
        <f t="shared" si="54"/>
        <v>0.94492461831679531</v>
      </c>
      <c r="H258" s="15">
        <f>yint($B$3:B258,$D$3:D258)</f>
        <v>-3.2796825350936571E-5</v>
      </c>
      <c r="I258" s="16">
        <f>MyReg($B$3:B258,$D$3:D258)</f>
        <v>0.28374183032996875</v>
      </c>
      <c r="J258" s="17">
        <f>STDEV($D$3:D258)</f>
        <v>1.3396957172984657E-2</v>
      </c>
      <c r="K258" s="4">
        <f t="shared" si="52"/>
        <v>-7.0126952040531067E-4</v>
      </c>
      <c r="L258">
        <f t="shared" si="55"/>
        <v>0.94492461831679531</v>
      </c>
      <c r="M258">
        <f>RSQ($D$3:D258,$B$3:B258)</f>
        <v>8.243077378246158E-2</v>
      </c>
      <c r="N258">
        <v>226</v>
      </c>
      <c r="O258" t="str">
        <f t="shared" si="53"/>
        <v/>
      </c>
      <c r="P258" t="str">
        <f t="shared" si="57"/>
        <v/>
      </c>
      <c r="Q258">
        <f t="shared" si="58"/>
        <v>0</v>
      </c>
      <c r="R258">
        <f t="shared" si="59"/>
        <v>0</v>
      </c>
      <c r="S258">
        <f t="shared" si="60"/>
        <v>0</v>
      </c>
      <c r="T258">
        <f t="shared" si="61"/>
        <v>0</v>
      </c>
      <c r="U258">
        <f t="shared" si="56"/>
        <v>0</v>
      </c>
      <c r="V258">
        <f t="shared" si="62"/>
        <v>0</v>
      </c>
      <c r="W258">
        <f t="shared" si="50"/>
        <v>0</v>
      </c>
      <c r="X258">
        <f>SUM($W$34:W258)</f>
        <v>88.622346349999972</v>
      </c>
      <c r="Y258">
        <f t="shared" si="63"/>
        <v>0</v>
      </c>
    </row>
    <row r="259" spans="1:25">
      <c r="A259">
        <v>98.587581150000005</v>
      </c>
      <c r="B259" s="2">
        <f t="shared" si="48"/>
        <v>1.0214704037678447E-2</v>
      </c>
      <c r="C259">
        <v>97.224768909999995</v>
      </c>
      <c r="D259" s="3">
        <f t="shared" si="49"/>
        <v>3.4150396872014597E-3</v>
      </c>
      <c r="E259" s="3">
        <f t="shared" si="51"/>
        <v>5.4614735102324809E-4</v>
      </c>
      <c r="F259" s="3">
        <f>STDEV($E$32:E259)</f>
        <v>1.2974043098454947E-2</v>
      </c>
      <c r="G259" s="14">
        <f t="shared" si="54"/>
        <v>4.2095385908521278E-2</v>
      </c>
      <c r="H259" s="15">
        <f>yint($B$3:B259,$D$3:D259)</f>
        <v>-3.0663006167311773E-5</v>
      </c>
      <c r="I259" s="16">
        <f>MyReg($B$3:B259,$D$3:D259)</f>
        <v>0.28386092554909909</v>
      </c>
      <c r="J259" s="17">
        <f>STDEV($D$3:D259)</f>
        <v>1.3372496269522433E-2</v>
      </c>
      <c r="K259" s="4">
        <f t="shared" si="52"/>
        <v>2.8688923361782116E-3</v>
      </c>
      <c r="L259">
        <f t="shared" si="55"/>
        <v>4.2095385908521278E-2</v>
      </c>
      <c r="M259">
        <f>RSQ($D$3:D259,$B$3:B259)</f>
        <v>8.2661701345757135E-2</v>
      </c>
      <c r="N259">
        <v>227</v>
      </c>
      <c r="O259" t="str">
        <f t="shared" si="53"/>
        <v/>
      </c>
      <c r="P259" t="str">
        <f t="shared" si="57"/>
        <v/>
      </c>
      <c r="Q259">
        <f t="shared" si="58"/>
        <v>0</v>
      </c>
      <c r="R259">
        <f t="shared" si="59"/>
        <v>0</v>
      </c>
      <c r="S259">
        <f t="shared" si="60"/>
        <v>0</v>
      </c>
      <c r="T259">
        <f t="shared" si="61"/>
        <v>0</v>
      </c>
      <c r="U259">
        <f t="shared" si="56"/>
        <v>0</v>
      </c>
      <c r="V259">
        <f t="shared" si="62"/>
        <v>0</v>
      </c>
      <c r="W259">
        <f t="shared" si="50"/>
        <v>0</v>
      </c>
      <c r="X259">
        <f>SUM($W$34:W259)</f>
        <v>88.622346349999972</v>
      </c>
      <c r="Y259">
        <f t="shared" si="63"/>
        <v>0</v>
      </c>
    </row>
    <row r="260" spans="1:25">
      <c r="A260">
        <v>99.693700030000002</v>
      </c>
      <c r="B260" s="2">
        <f t="shared" ref="B260:B323" si="64">(A260-A259)/A259</f>
        <v>1.1219657355392949E-2</v>
      </c>
      <c r="C260">
        <v>99.142131610000007</v>
      </c>
      <c r="D260" s="3">
        <f t="shared" ref="D260:D323" si="65">(C260-C259)/C259</f>
        <v>1.9720928334372244E-2</v>
      </c>
      <c r="E260" s="3">
        <f t="shared" si="51"/>
        <v>1.6458893811415309E-2</v>
      </c>
      <c r="F260" s="3">
        <f>STDEV($E$32:E260)</f>
        <v>1.299270190116744E-2</v>
      </c>
      <c r="G260" s="14">
        <f t="shared" si="54"/>
        <v>1.2667799151103758</v>
      </c>
      <c r="H260" s="15">
        <f>yint($B$3:B260,$D$3:D260)</f>
        <v>3.323773354902047E-5</v>
      </c>
      <c r="I260" s="16">
        <f>MyReg($B$3:B260,$D$3:D260)</f>
        <v>0.28778033830560157</v>
      </c>
      <c r="J260" s="17">
        <f>STDEV($D$3:D260)</f>
        <v>1.3402924607529275E-2</v>
      </c>
      <c r="K260" s="4">
        <f t="shared" si="52"/>
        <v>3.2620345229569343E-3</v>
      </c>
      <c r="L260">
        <f t="shared" si="55"/>
        <v>1.2667799151103758</v>
      </c>
      <c r="M260">
        <f>RSQ($D$3:D260,$B$3:B260)</f>
        <v>8.4469243186295048E-2</v>
      </c>
      <c r="N260">
        <v>228</v>
      </c>
      <c r="O260" t="str">
        <f t="shared" si="53"/>
        <v/>
      </c>
      <c r="P260" t="str">
        <f t="shared" si="57"/>
        <v/>
      </c>
      <c r="Q260">
        <f t="shared" si="58"/>
        <v>0</v>
      </c>
      <c r="R260">
        <f t="shared" si="59"/>
        <v>0</v>
      </c>
      <c r="S260">
        <f t="shared" si="60"/>
        <v>0</v>
      </c>
      <c r="T260">
        <f t="shared" si="61"/>
        <v>0</v>
      </c>
      <c r="U260">
        <f t="shared" si="56"/>
        <v>0</v>
      </c>
      <c r="V260">
        <f t="shared" si="62"/>
        <v>0</v>
      </c>
      <c r="W260">
        <f t="shared" si="50"/>
        <v>0</v>
      </c>
      <c r="X260">
        <f>SUM($W$34:W260)</f>
        <v>88.622346349999972</v>
      </c>
      <c r="Y260">
        <f t="shared" si="63"/>
        <v>0</v>
      </c>
    </row>
    <row r="261" spans="1:25">
      <c r="A261">
        <v>101.483242</v>
      </c>
      <c r="B261" s="2">
        <f t="shared" si="64"/>
        <v>1.7950401775252495E-2</v>
      </c>
      <c r="C261">
        <v>97.042841199999998</v>
      </c>
      <c r="D261" s="3">
        <f t="shared" si="65"/>
        <v>-2.1174553904671777E-2</v>
      </c>
      <c r="E261" s="3">
        <f t="shared" si="51"/>
        <v>-2.6095429003698038E-2</v>
      </c>
      <c r="F261" s="3">
        <f>STDEV($E$32:E261)</f>
        <v>1.3076248962216076E-2</v>
      </c>
      <c r="G261" s="14">
        <f t="shared" si="54"/>
        <v>-1.9956356810810947</v>
      </c>
      <c r="H261" s="15">
        <f>yint($B$3:B261,$D$3:D261)</f>
        <v>-6.7120113073124128E-5</v>
      </c>
      <c r="I261" s="16">
        <f>MyReg($B$3:B261,$D$3:D261)</f>
        <v>0.27787652190471496</v>
      </c>
      <c r="J261" s="17">
        <f>STDEV($D$3:D261)</f>
        <v>1.3441816422174393E-2</v>
      </c>
      <c r="K261" s="4">
        <f t="shared" si="52"/>
        <v>4.9208750990262602E-3</v>
      </c>
      <c r="L261">
        <f t="shared" si="55"/>
        <v>-1.9956356810810947</v>
      </c>
      <c r="M261">
        <f>RSQ($D$3:D261,$B$3:B261)</f>
        <v>7.852375326781548E-2</v>
      </c>
      <c r="N261">
        <v>229</v>
      </c>
      <c r="O261" t="str">
        <f t="shared" si="53"/>
        <v>buyY</v>
      </c>
      <c r="P261" t="str">
        <f t="shared" si="57"/>
        <v/>
      </c>
      <c r="Q261">
        <f t="shared" si="58"/>
        <v>-10</v>
      </c>
      <c r="R261">
        <f t="shared" si="59"/>
        <v>0</v>
      </c>
      <c r="S261">
        <f t="shared" si="60"/>
        <v>10</v>
      </c>
      <c r="T261">
        <f t="shared" si="61"/>
        <v>0</v>
      </c>
      <c r="U261">
        <f t="shared" si="56"/>
        <v>20</v>
      </c>
      <c r="V261">
        <f t="shared" si="62"/>
        <v>-10</v>
      </c>
      <c r="W261">
        <f t="shared" si="50"/>
        <v>44.404008000000061</v>
      </c>
      <c r="X261">
        <f>SUM($W$34:W261)</f>
        <v>133.02635435000002</v>
      </c>
      <c r="Y261">
        <f t="shared" si="63"/>
        <v>0</v>
      </c>
    </row>
    <row r="262" spans="1:25">
      <c r="A262">
        <v>103.6394631</v>
      </c>
      <c r="B262" s="2">
        <f t="shared" si="64"/>
        <v>2.1247065599264123E-2</v>
      </c>
      <c r="C262">
        <v>97.352784959999994</v>
      </c>
      <c r="D262" s="3">
        <f t="shared" si="65"/>
        <v>3.1938858772819598E-3</v>
      </c>
      <c r="E262" s="3">
        <f t="shared" si="51"/>
        <v>-2.6084891569461495E-3</v>
      </c>
      <c r="F262" s="3">
        <f>STDEV($E$32:E262)</f>
        <v>1.3048664464262951E-2</v>
      </c>
      <c r="G262" s="14">
        <f t="shared" si="54"/>
        <v>-0.19990468481200915</v>
      </c>
      <c r="H262" s="15">
        <f>yint($B$3:B262,$D$3:D262)</f>
        <v>-7.701911558654232E-5</v>
      </c>
      <c r="I262" s="16">
        <f>MyReg($B$3:B262,$D$3:D262)</f>
        <v>0.27671558325768431</v>
      </c>
      <c r="J262" s="17">
        <f>STDEV($D$3:D262)</f>
        <v>1.3417327800916666E-2</v>
      </c>
      <c r="K262" s="4">
        <f t="shared" si="52"/>
        <v>5.8023750342281093E-3</v>
      </c>
      <c r="L262">
        <f t="shared" si="55"/>
        <v>-0.19990468481200915</v>
      </c>
      <c r="M262">
        <f>RSQ($D$3:D262,$B$3:B262)</f>
        <v>7.8579978936600375E-2</v>
      </c>
      <c r="N262">
        <v>230</v>
      </c>
      <c r="O262" t="str">
        <f t="shared" si="53"/>
        <v/>
      </c>
      <c r="P262" t="str">
        <f t="shared" si="57"/>
        <v>close</v>
      </c>
      <c r="Q262">
        <f t="shared" si="58"/>
        <v>0</v>
      </c>
      <c r="R262">
        <f t="shared" si="59"/>
        <v>0</v>
      </c>
      <c r="S262">
        <f t="shared" si="60"/>
        <v>0</v>
      </c>
      <c r="T262">
        <f t="shared" si="61"/>
        <v>0</v>
      </c>
      <c r="U262">
        <f t="shared" si="56"/>
        <v>0</v>
      </c>
      <c r="V262">
        <f t="shared" si="62"/>
        <v>10</v>
      </c>
      <c r="W262">
        <f t="shared" si="50"/>
        <v>-62.866781400000065</v>
      </c>
      <c r="X262">
        <f>SUM($W$34:W262)</f>
        <v>70.159572949999955</v>
      </c>
      <c r="Y262">
        <f t="shared" si="63"/>
        <v>70.159572949999955</v>
      </c>
    </row>
    <row r="263" spans="1:25">
      <c r="A263">
        <v>102.07659580000001</v>
      </c>
      <c r="B263" s="2">
        <f t="shared" si="64"/>
        <v>-1.5079847514184909E-2</v>
      </c>
      <c r="C263">
        <v>96.614226669999994</v>
      </c>
      <c r="D263" s="3">
        <f t="shared" si="65"/>
        <v>-7.586411526937383E-3</v>
      </c>
      <c r="E263" s="3">
        <f t="shared" si="51"/>
        <v>-3.3076401358544151E-3</v>
      </c>
      <c r="F263" s="3">
        <f>STDEV($E$32:E263)</f>
        <v>1.3021863151542223E-2</v>
      </c>
      <c r="G263" s="14">
        <f t="shared" si="54"/>
        <v>-0.25400667303608393</v>
      </c>
      <c r="H263" s="15">
        <f>yint($B$3:B263,$D$3:D263)</f>
        <v>-8.9983827794657456E-5</v>
      </c>
      <c r="I263" s="16">
        <f>MyReg($B$3:B263,$D$3:D263)</f>
        <v>0.27777386736491289</v>
      </c>
      <c r="J263" s="17">
        <f>STDEV($D$3:D263)</f>
        <v>1.3399701938218612E-2</v>
      </c>
      <c r="K263" s="4">
        <f t="shared" si="52"/>
        <v>-4.2787713910829679E-3</v>
      </c>
      <c r="L263">
        <f t="shared" si="55"/>
        <v>-0.25400667303608393</v>
      </c>
      <c r="M263">
        <f>RSQ($D$3:D263,$B$3:B263)</f>
        <v>7.9471176337715957E-2</v>
      </c>
      <c r="N263">
        <v>231</v>
      </c>
      <c r="O263" t="str">
        <f t="shared" si="53"/>
        <v/>
      </c>
      <c r="P263" t="str">
        <f t="shared" si="57"/>
        <v/>
      </c>
      <c r="Q263">
        <f t="shared" si="58"/>
        <v>0</v>
      </c>
      <c r="R263">
        <f t="shared" si="59"/>
        <v>0</v>
      </c>
      <c r="S263">
        <f t="shared" si="60"/>
        <v>0</v>
      </c>
      <c r="T263">
        <f t="shared" si="61"/>
        <v>0</v>
      </c>
      <c r="U263">
        <f t="shared" si="56"/>
        <v>0</v>
      </c>
      <c r="V263">
        <f t="shared" si="62"/>
        <v>0</v>
      </c>
      <c r="W263">
        <f t="shared" si="50"/>
        <v>0</v>
      </c>
      <c r="X263">
        <f>SUM($W$34:W263)</f>
        <v>70.159572949999955</v>
      </c>
      <c r="Y263">
        <f t="shared" si="63"/>
        <v>0</v>
      </c>
    </row>
    <row r="264" spans="1:25">
      <c r="A264">
        <v>102.8205591</v>
      </c>
      <c r="B264" s="2">
        <f t="shared" si="64"/>
        <v>7.2882847842775543E-3</v>
      </c>
      <c r="C264">
        <v>97.643412499999997</v>
      </c>
      <c r="D264" s="3">
        <f t="shared" si="65"/>
        <v>1.0652528778347908E-2</v>
      </c>
      <c r="E264" s="3">
        <f t="shared" si="51"/>
        <v>8.6756376472260678E-3</v>
      </c>
      <c r="F264" s="3">
        <f>STDEV($E$32:E264)</f>
        <v>1.3007176616075013E-2</v>
      </c>
      <c r="G264" s="14">
        <f t="shared" si="54"/>
        <v>0.66698853281535508</v>
      </c>
      <c r="H264" s="15">
        <f>yint($B$3:B264,$D$3:D264)</f>
        <v>-5.6963404023698093E-5</v>
      </c>
      <c r="I264" s="16">
        <f>MyReg($B$3:B264,$D$3:D264)</f>
        <v>0.27905804936890144</v>
      </c>
      <c r="J264" s="17">
        <f>STDEV($D$3:D264)</f>
        <v>1.3390319312756816E-2</v>
      </c>
      <c r="K264" s="4">
        <f t="shared" si="52"/>
        <v>1.976891131121841E-3</v>
      </c>
      <c r="L264">
        <f t="shared" si="55"/>
        <v>0.66698853281535508</v>
      </c>
      <c r="M264">
        <f>RSQ($D$3:D264,$B$3:B264)</f>
        <v>8.0096359873314607E-2</v>
      </c>
      <c r="N264">
        <v>232</v>
      </c>
      <c r="O264" t="str">
        <f t="shared" si="53"/>
        <v/>
      </c>
      <c r="P264" t="str">
        <f t="shared" si="57"/>
        <v/>
      </c>
      <c r="Q264">
        <f t="shared" si="58"/>
        <v>0</v>
      </c>
      <c r="R264">
        <f t="shared" si="59"/>
        <v>0</v>
      </c>
      <c r="S264">
        <f t="shared" si="60"/>
        <v>0</v>
      </c>
      <c r="T264">
        <f t="shared" si="61"/>
        <v>0</v>
      </c>
      <c r="U264">
        <f t="shared" si="56"/>
        <v>0</v>
      </c>
      <c r="V264">
        <f t="shared" si="62"/>
        <v>0</v>
      </c>
      <c r="W264">
        <f t="shared" si="50"/>
        <v>0</v>
      </c>
      <c r="X264">
        <f>SUM($W$34:W264)</f>
        <v>70.159572949999955</v>
      </c>
      <c r="Y264">
        <f t="shared" si="63"/>
        <v>0</v>
      </c>
    </row>
    <row r="265" spans="1:25">
      <c r="A265">
        <v>103.844126</v>
      </c>
      <c r="B265" s="2">
        <f t="shared" si="64"/>
        <v>9.9548855691838564E-3</v>
      </c>
      <c r="C265">
        <v>98.50445517</v>
      </c>
      <c r="D265" s="3">
        <f t="shared" si="65"/>
        <v>8.8182361508514807E-3</v>
      </c>
      <c r="E265" s="3">
        <f t="shared" si="51"/>
        <v>6.0620818222549677E-3</v>
      </c>
      <c r="F265" s="3">
        <f>STDEV($E$32:E265)</f>
        <v>1.298589270184532E-2</v>
      </c>
      <c r="G265" s="14">
        <f t="shared" si="54"/>
        <v>0.46682056916992193</v>
      </c>
      <c r="H265" s="15">
        <f>yint($B$3:B265,$D$3:D265)</f>
        <v>-3.4069165596480676E-5</v>
      </c>
      <c r="I265" s="16">
        <f>MyReg($B$3:B265,$D$3:D265)</f>
        <v>0.28028684757867572</v>
      </c>
      <c r="J265" s="17">
        <f>STDEV($D$3:D265)</f>
        <v>1.3375802030347604E-2</v>
      </c>
      <c r="K265" s="4">
        <f t="shared" si="52"/>
        <v>2.7561543285965131E-3</v>
      </c>
      <c r="L265">
        <f t="shared" si="55"/>
        <v>0.46682056916992193</v>
      </c>
      <c r="M265">
        <f>RSQ($D$3:D265,$B$3:B265)</f>
        <v>8.0828650936649413E-2</v>
      </c>
      <c r="N265">
        <v>233</v>
      </c>
      <c r="O265" t="str">
        <f t="shared" si="53"/>
        <v/>
      </c>
      <c r="P265" t="str">
        <f t="shared" si="57"/>
        <v/>
      </c>
      <c r="Q265">
        <f t="shared" si="58"/>
        <v>0</v>
      </c>
      <c r="R265">
        <f t="shared" si="59"/>
        <v>0</v>
      </c>
      <c r="S265">
        <f t="shared" si="60"/>
        <v>0</v>
      </c>
      <c r="T265">
        <f t="shared" si="61"/>
        <v>0</v>
      </c>
      <c r="U265">
        <f t="shared" si="56"/>
        <v>0</v>
      </c>
      <c r="V265">
        <f t="shared" si="62"/>
        <v>0</v>
      </c>
      <c r="W265">
        <f t="shared" si="50"/>
        <v>0</v>
      </c>
      <c r="X265">
        <f>SUM($W$34:W265)</f>
        <v>70.159572949999955</v>
      </c>
      <c r="Y265">
        <f t="shared" si="63"/>
        <v>0</v>
      </c>
    </row>
    <row r="266" spans="1:25">
      <c r="A266">
        <v>105.0631976</v>
      </c>
      <c r="B266" s="2">
        <f t="shared" si="64"/>
        <v>1.173943724077366E-2</v>
      </c>
      <c r="C266">
        <v>100.4047199</v>
      </c>
      <c r="D266" s="3">
        <f t="shared" si="65"/>
        <v>1.9291155173849824E-2</v>
      </c>
      <c r="E266" s="3">
        <f t="shared" si="51"/>
        <v>1.5930526001765519E-2</v>
      </c>
      <c r="F266" s="3">
        <f>STDEV($E$32:E266)</f>
        <v>1.3001144662585454E-2</v>
      </c>
      <c r="G266" s="14">
        <f t="shared" si="54"/>
        <v>1.2253171866943535</v>
      </c>
      <c r="H266" s="15">
        <f>yint($B$3:B266,$D$3:D266)</f>
        <v>2.5609255165905608E-5</v>
      </c>
      <c r="I266" s="16">
        <f>MyReg($B$3:B266,$D$3:D266)</f>
        <v>0.28408686451639598</v>
      </c>
      <c r="J266" s="17">
        <f>STDEV($D$3:D266)</f>
        <v>1.3402865616370075E-2</v>
      </c>
      <c r="K266" s="4">
        <f t="shared" si="52"/>
        <v>3.3606291720843055E-3</v>
      </c>
      <c r="L266">
        <f t="shared" si="55"/>
        <v>1.2253171866943535</v>
      </c>
      <c r="M266">
        <f>RSQ($D$3:D266,$B$3:B266)</f>
        <v>8.2610970810829409E-2</v>
      </c>
      <c r="N266">
        <v>234</v>
      </c>
      <c r="O266" t="str">
        <f t="shared" si="53"/>
        <v/>
      </c>
      <c r="P266" t="str">
        <f t="shared" si="57"/>
        <v/>
      </c>
      <c r="Q266">
        <f t="shared" si="58"/>
        <v>0</v>
      </c>
      <c r="R266">
        <f t="shared" si="59"/>
        <v>0</v>
      </c>
      <c r="S266">
        <f t="shared" si="60"/>
        <v>0</v>
      </c>
      <c r="T266">
        <f t="shared" si="61"/>
        <v>0</v>
      </c>
      <c r="U266">
        <f t="shared" si="56"/>
        <v>0</v>
      </c>
      <c r="V266">
        <f t="shared" si="62"/>
        <v>0</v>
      </c>
      <c r="W266">
        <f t="shared" si="50"/>
        <v>0</v>
      </c>
      <c r="X266">
        <f>SUM($W$34:W266)</f>
        <v>70.159572949999955</v>
      </c>
      <c r="Y266">
        <f t="shared" si="63"/>
        <v>0</v>
      </c>
    </row>
    <row r="267" spans="1:25">
      <c r="A267">
        <v>104.0892235</v>
      </c>
      <c r="B267" s="2">
        <f t="shared" si="64"/>
        <v>-9.2703641450942523E-3</v>
      </c>
      <c r="C267">
        <v>101.76698399999999</v>
      </c>
      <c r="D267" s="3">
        <f t="shared" si="65"/>
        <v>1.3567729697934152E-2</v>
      </c>
      <c r="E267" s="3">
        <f t="shared" si="51"/>
        <v>1.6084454573221031E-2</v>
      </c>
      <c r="F267" s="3">
        <f>STDEV($E$32:E267)</f>
        <v>1.3016699352140355E-2</v>
      </c>
      <c r="G267" s="14">
        <f t="shared" si="54"/>
        <v>1.2356784264650194</v>
      </c>
      <c r="H267" s="15">
        <f>yint($B$3:B267,$D$3:D267)</f>
        <v>8.7420756494327481E-5</v>
      </c>
      <c r="I267" s="16">
        <f>MyReg($B$3:B267,$D$3:D267)</f>
        <v>0.28091082410816476</v>
      </c>
      <c r="J267" s="17">
        <f>STDEV($D$3:D267)</f>
        <v>1.340299692366889E-2</v>
      </c>
      <c r="K267" s="4">
        <f t="shared" si="52"/>
        <v>-2.5167248752868809E-3</v>
      </c>
      <c r="L267">
        <f t="shared" si="55"/>
        <v>1.2356784264650194</v>
      </c>
      <c r="M267">
        <f>RSQ($D$3:D267,$B$3:B267)</f>
        <v>8.0617759073480399E-2</v>
      </c>
      <c r="N267">
        <v>235</v>
      </c>
      <c r="O267" t="str">
        <f t="shared" si="53"/>
        <v/>
      </c>
      <c r="P267" t="str">
        <f t="shared" si="57"/>
        <v/>
      </c>
      <c r="Q267">
        <f t="shared" si="58"/>
        <v>0</v>
      </c>
      <c r="R267">
        <f t="shared" si="59"/>
        <v>0</v>
      </c>
      <c r="S267">
        <f t="shared" si="60"/>
        <v>0</v>
      </c>
      <c r="T267">
        <f t="shared" si="61"/>
        <v>0</v>
      </c>
      <c r="U267">
        <f t="shared" si="56"/>
        <v>0</v>
      </c>
      <c r="V267">
        <f t="shared" si="62"/>
        <v>0</v>
      </c>
      <c r="W267">
        <f t="shared" si="50"/>
        <v>0</v>
      </c>
      <c r="X267">
        <f>SUM($W$34:W267)</f>
        <v>70.159572949999955</v>
      </c>
      <c r="Y267">
        <f t="shared" si="63"/>
        <v>0</v>
      </c>
    </row>
    <row r="268" spans="1:25">
      <c r="A268">
        <v>104.14501250000001</v>
      </c>
      <c r="B268" s="2">
        <f t="shared" si="64"/>
        <v>5.3597287138955655E-4</v>
      </c>
      <c r="C268">
        <v>99.868675330000002</v>
      </c>
      <c r="D268" s="3">
        <f t="shared" si="65"/>
        <v>-1.8653482646198809E-2</v>
      </c>
      <c r="E268" s="3">
        <f t="shared" si="51"/>
        <v>-1.8820410177300885E-2</v>
      </c>
      <c r="F268" s="3">
        <f>STDEV($E$32:E268)</f>
        <v>1.3045687958618289E-2</v>
      </c>
      <c r="G268" s="14">
        <f t="shared" si="54"/>
        <v>-1.4426537133955959</v>
      </c>
      <c r="H268" s="15">
        <f>yint($B$3:B268,$D$3:D268)</f>
        <v>1.6427990714177671E-5</v>
      </c>
      <c r="I268" s="16">
        <f>MyReg($B$3:B268,$D$3:D268)</f>
        <v>0.28079693660187516</v>
      </c>
      <c r="J268" s="17">
        <f>STDEV($D$3:D268)</f>
        <v>1.342730231610899E-2</v>
      </c>
      <c r="K268" s="4">
        <f t="shared" si="52"/>
        <v>1.6692753110207598E-4</v>
      </c>
      <c r="L268">
        <f t="shared" si="55"/>
        <v>-1.4426537133955959</v>
      </c>
      <c r="M268">
        <f>RSQ($D$3:D268,$B$3:B268)</f>
        <v>7.9958313852912244E-2</v>
      </c>
      <c r="N268">
        <v>236</v>
      </c>
      <c r="O268" t="str">
        <f t="shared" si="53"/>
        <v/>
      </c>
      <c r="P268" t="str">
        <f t="shared" si="57"/>
        <v/>
      </c>
      <c r="Q268">
        <f t="shared" si="58"/>
        <v>0</v>
      </c>
      <c r="R268">
        <f t="shared" si="59"/>
        <v>0</v>
      </c>
      <c r="S268">
        <f t="shared" si="60"/>
        <v>0</v>
      </c>
      <c r="T268">
        <f t="shared" si="61"/>
        <v>0</v>
      </c>
      <c r="U268">
        <f t="shared" si="56"/>
        <v>0</v>
      </c>
      <c r="V268">
        <f t="shared" si="62"/>
        <v>0</v>
      </c>
      <c r="W268">
        <f t="shared" ref="W268:W331" si="66">IF(ABS(V268)&gt;0,V268*(C268-A268),0)</f>
        <v>0</v>
      </c>
      <c r="X268">
        <f>SUM($W$34:W268)</f>
        <v>70.159572949999955</v>
      </c>
      <c r="Y268">
        <f t="shared" si="63"/>
        <v>0</v>
      </c>
    </row>
    <row r="269" spans="1:25">
      <c r="A269">
        <v>105.5563484</v>
      </c>
      <c r="B269" s="2">
        <f t="shared" si="64"/>
        <v>1.3551641755288064E-2</v>
      </c>
      <c r="C269">
        <v>100.2509561</v>
      </c>
      <c r="D269" s="3">
        <f t="shared" si="65"/>
        <v>3.8278345911449086E-3</v>
      </c>
      <c r="E269" s="3">
        <f t="shared" si="51"/>
        <v>6.1018669203351077E-6</v>
      </c>
      <c r="F269" s="3">
        <f>STDEV($E$32:E269)</f>
        <v>1.3018144002130777E-2</v>
      </c>
      <c r="G269" s="14">
        <f t="shared" si="54"/>
        <v>4.6872018924789659E-4</v>
      </c>
      <c r="H269" s="15">
        <f>yint($B$3:B269,$D$3:D269)</f>
        <v>1.6450521319631649E-5</v>
      </c>
      <c r="I269" s="16">
        <f>MyReg($B$3:B269,$D$3:D269)</f>
        <v>0.28079861256810901</v>
      </c>
      <c r="J269" s="17">
        <f>STDEV($D$3:D269)</f>
        <v>1.3403996654109346E-2</v>
      </c>
      <c r="K269" s="4">
        <f t="shared" si="52"/>
        <v>3.8217327242245735E-3</v>
      </c>
      <c r="L269">
        <f t="shared" si="55"/>
        <v>4.6872018924789659E-4</v>
      </c>
      <c r="M269">
        <f>RSQ($D$3:D269,$B$3:B269)</f>
        <v>8.0227001958076929E-2</v>
      </c>
      <c r="N269">
        <v>237</v>
      </c>
      <c r="O269" t="str">
        <f t="shared" si="53"/>
        <v/>
      </c>
      <c r="P269" t="str">
        <f t="shared" si="57"/>
        <v/>
      </c>
      <c r="Q269">
        <f t="shared" si="58"/>
        <v>0</v>
      </c>
      <c r="R269">
        <f t="shared" si="59"/>
        <v>0</v>
      </c>
      <c r="S269">
        <f t="shared" si="60"/>
        <v>0</v>
      </c>
      <c r="T269">
        <f t="shared" si="61"/>
        <v>0</v>
      </c>
      <c r="U269">
        <f t="shared" si="56"/>
        <v>0</v>
      </c>
      <c r="V269">
        <f t="shared" si="62"/>
        <v>0</v>
      </c>
      <c r="W269">
        <f t="shared" si="66"/>
        <v>0</v>
      </c>
      <c r="X269">
        <f>SUM($W$34:W269)</f>
        <v>70.159572949999955</v>
      </c>
      <c r="Y269">
        <f t="shared" si="63"/>
        <v>0</v>
      </c>
    </row>
    <row r="270" spans="1:25">
      <c r="A270">
        <v>105.5390537</v>
      </c>
      <c r="B270" s="2">
        <f t="shared" si="64"/>
        <v>-1.638432956630004E-4</v>
      </c>
      <c r="C270">
        <v>102.4424367</v>
      </c>
      <c r="D270" s="3">
        <f t="shared" si="65"/>
        <v>2.1859947129222498E-2</v>
      </c>
      <c r="E270" s="3">
        <f t="shared" si="51"/>
        <v>2.1807732780482262E-2</v>
      </c>
      <c r="F270" s="3">
        <f>STDEV($E$32:E270)</f>
        <v>1.3068611234643139E-2</v>
      </c>
      <c r="G270" s="14">
        <f t="shared" si="54"/>
        <v>1.6687108055271307</v>
      </c>
      <c r="H270" s="15">
        <f>yint($B$3:B270,$D$3:D270)</f>
        <v>9.8187697395365225E-5</v>
      </c>
      <c r="I270" s="16">
        <f>MyReg($B$3:B270,$D$3:D270)</f>
        <v>0.2805934076771131</v>
      </c>
      <c r="J270" s="17">
        <f>STDEV($D$3:D270)</f>
        <v>1.3444744816701971E-2</v>
      </c>
      <c r="K270" s="4">
        <f t="shared" si="52"/>
        <v>5.2214348740235175E-5</v>
      </c>
      <c r="L270">
        <f t="shared" si="55"/>
        <v>1.6687108055271307</v>
      </c>
      <c r="M270">
        <f>RSQ($D$3:D270,$B$3:B270)</f>
        <v>7.932705054680729E-2</v>
      </c>
      <c r="N270">
        <v>238</v>
      </c>
      <c r="O270" t="str">
        <f t="shared" si="53"/>
        <v>sellY</v>
      </c>
      <c r="P270" t="str">
        <f t="shared" si="57"/>
        <v/>
      </c>
      <c r="Q270">
        <f t="shared" si="58"/>
        <v>10</v>
      </c>
      <c r="R270">
        <f t="shared" si="59"/>
        <v>0</v>
      </c>
      <c r="S270">
        <f t="shared" si="60"/>
        <v>-10</v>
      </c>
      <c r="T270">
        <f t="shared" si="61"/>
        <v>0</v>
      </c>
      <c r="U270">
        <f t="shared" si="56"/>
        <v>20</v>
      </c>
      <c r="V270">
        <f t="shared" si="62"/>
        <v>10</v>
      </c>
      <c r="W270">
        <f t="shared" si="66"/>
        <v>-30.966169999999948</v>
      </c>
      <c r="X270">
        <f>SUM($W$34:W270)</f>
        <v>39.193402950000007</v>
      </c>
      <c r="Y270">
        <f t="shared" si="63"/>
        <v>0</v>
      </c>
    </row>
    <row r="271" spans="1:25">
      <c r="A271">
        <v>107.8764675</v>
      </c>
      <c r="B271" s="2">
        <f t="shared" si="64"/>
        <v>2.214738258544768E-2</v>
      </c>
      <c r="C271">
        <v>101.5251422</v>
      </c>
      <c r="D271" s="3">
        <f t="shared" si="65"/>
        <v>-8.9542432760191942E-3</v>
      </c>
      <c r="E271" s="3">
        <f t="shared" si="51"/>
        <v>-1.5062679501670416E-2</v>
      </c>
      <c r="F271" s="3">
        <f>STDEV($E$32:E271)</f>
        <v>1.3076867583954696E-2</v>
      </c>
      <c r="G271" s="14">
        <f t="shared" si="54"/>
        <v>-1.1518568498890598</v>
      </c>
      <c r="H271" s="15">
        <f>yint($B$3:B271,$D$3:D271)</f>
        <v>4.3960593451064704E-5</v>
      </c>
      <c r="I271" s="16">
        <f>MyReg($B$3:B271,$D$3:D271)</f>
        <v>0.27382358203289114</v>
      </c>
      <c r="J271" s="17">
        <f>STDEV($D$3:D271)</f>
        <v>1.3431189630339643E-2</v>
      </c>
      <c r="K271" s="4">
        <f t="shared" si="52"/>
        <v>6.1084362256512217E-3</v>
      </c>
      <c r="L271">
        <f t="shared" si="55"/>
        <v>-1.1518568498890598</v>
      </c>
      <c r="M271">
        <f>RSQ($D$3:D271,$B$3:B271)</f>
        <v>7.6153550424512773E-2</v>
      </c>
      <c r="N271">
        <v>239</v>
      </c>
      <c r="O271" t="str">
        <f t="shared" si="53"/>
        <v/>
      </c>
      <c r="P271" t="str">
        <f t="shared" si="57"/>
        <v>close</v>
      </c>
      <c r="Q271">
        <f t="shared" si="58"/>
        <v>0</v>
      </c>
      <c r="R271">
        <f t="shared" si="59"/>
        <v>0</v>
      </c>
      <c r="S271">
        <f t="shared" si="60"/>
        <v>0</v>
      </c>
      <c r="T271">
        <f t="shared" si="61"/>
        <v>0</v>
      </c>
      <c r="U271">
        <f t="shared" si="56"/>
        <v>0</v>
      </c>
      <c r="V271">
        <f t="shared" si="62"/>
        <v>-10</v>
      </c>
      <c r="W271">
        <f t="shared" si="66"/>
        <v>63.513252999999992</v>
      </c>
      <c r="X271">
        <f>SUM($W$34:W271)</f>
        <v>102.70665595</v>
      </c>
      <c r="Y271">
        <f t="shared" si="63"/>
        <v>102.70665595</v>
      </c>
    </row>
    <row r="272" spans="1:25">
      <c r="A272">
        <v>108.6461248</v>
      </c>
      <c r="B272" s="2">
        <f t="shared" si="64"/>
        <v>7.1346171953581214E-3</v>
      </c>
      <c r="C272">
        <v>101.1220897</v>
      </c>
      <c r="D272" s="3">
        <f t="shared" si="65"/>
        <v>-3.9699772023564931E-3</v>
      </c>
      <c r="E272" s="3">
        <f t="shared" si="51"/>
        <v>-5.9399524654607724E-3</v>
      </c>
      <c r="F272" s="3">
        <f>STDEV($E$32:E272)</f>
        <v>1.3054866790077477E-2</v>
      </c>
      <c r="G272" s="14">
        <f t="shared" si="54"/>
        <v>-0.45499908662227878</v>
      </c>
      <c r="H272" s="15">
        <f>yint($B$3:B272,$D$3:D272)</f>
        <v>2.2184283365592007E-5</v>
      </c>
      <c r="I272" s="16">
        <f>MyReg($B$3:B272,$D$3:D272)</f>
        <v>0.27300567450289376</v>
      </c>
      <c r="J272" s="17">
        <f>STDEV($D$3:D272)</f>
        <v>1.3408541502457938E-2</v>
      </c>
      <c r="K272" s="4">
        <f t="shared" si="52"/>
        <v>1.9699752631042798E-3</v>
      </c>
      <c r="L272">
        <f t="shared" si="55"/>
        <v>-0.45499908662227878</v>
      </c>
      <c r="M272">
        <f>RSQ($D$3:D272,$B$3:B272)</f>
        <v>7.5743060989573646E-2</v>
      </c>
      <c r="N272">
        <v>240</v>
      </c>
      <c r="O272" t="str">
        <f t="shared" si="53"/>
        <v/>
      </c>
      <c r="P272" t="str">
        <f t="shared" si="57"/>
        <v/>
      </c>
      <c r="Q272">
        <f t="shared" si="58"/>
        <v>0</v>
      </c>
      <c r="R272">
        <f t="shared" si="59"/>
        <v>0</v>
      </c>
      <c r="S272">
        <f t="shared" si="60"/>
        <v>0</v>
      </c>
      <c r="T272">
        <f t="shared" si="61"/>
        <v>0</v>
      </c>
      <c r="U272">
        <f t="shared" si="56"/>
        <v>0</v>
      </c>
      <c r="V272">
        <f t="shared" si="62"/>
        <v>0</v>
      </c>
      <c r="W272">
        <f t="shared" si="66"/>
        <v>0</v>
      </c>
      <c r="X272">
        <f>SUM($W$34:W272)</f>
        <v>102.70665595</v>
      </c>
      <c r="Y272">
        <f t="shared" si="63"/>
        <v>0</v>
      </c>
    </row>
    <row r="273" spans="1:25">
      <c r="A273">
        <v>107.6156067</v>
      </c>
      <c r="B273" s="2">
        <f t="shared" si="64"/>
        <v>-9.4850884179901729E-3</v>
      </c>
      <c r="C273">
        <v>100.11079119999999</v>
      </c>
      <c r="D273" s="3">
        <f t="shared" si="65"/>
        <v>-1.0000767418871976E-2</v>
      </c>
      <c r="E273" s="3">
        <f t="shared" si="51"/>
        <v>-7.3914030821522619E-3</v>
      </c>
      <c r="F273" s="3">
        <f>STDEV($E$32:E273)</f>
        <v>1.3035941183520939E-2</v>
      </c>
      <c r="G273" s="14">
        <f t="shared" si="54"/>
        <v>-0.56700187413363912</v>
      </c>
      <c r="H273" s="15">
        <f>yint($B$3:B273,$D$3:D273)</f>
        <v>-5.7833058597052341E-6</v>
      </c>
      <c r="I273" s="16">
        <f>MyReg($B$3:B273,$D$3:D273)</f>
        <v>0.2744920148474157</v>
      </c>
      <c r="J273" s="17">
        <f>STDEV($D$3:D273)</f>
        <v>1.3397831420132256E-2</v>
      </c>
      <c r="K273" s="4">
        <f t="shared" si="52"/>
        <v>-2.6093643367197145E-3</v>
      </c>
      <c r="L273">
        <f t="shared" si="55"/>
        <v>-0.56700187413363912</v>
      </c>
      <c r="M273">
        <f>RSQ($D$3:D273,$B$3:B273)</f>
        <v>7.6559769878177059E-2</v>
      </c>
      <c r="N273">
        <v>241</v>
      </c>
      <c r="O273" t="str">
        <f t="shared" si="53"/>
        <v/>
      </c>
      <c r="P273" t="str">
        <f t="shared" si="57"/>
        <v/>
      </c>
      <c r="Q273">
        <f t="shared" si="58"/>
        <v>0</v>
      </c>
      <c r="R273">
        <f t="shared" si="59"/>
        <v>0</v>
      </c>
      <c r="S273">
        <f t="shared" si="60"/>
        <v>0</v>
      </c>
      <c r="T273">
        <f t="shared" si="61"/>
        <v>0</v>
      </c>
      <c r="U273">
        <f t="shared" si="56"/>
        <v>0</v>
      </c>
      <c r="V273">
        <f t="shared" si="62"/>
        <v>0</v>
      </c>
      <c r="W273">
        <f t="shared" si="66"/>
        <v>0</v>
      </c>
      <c r="X273">
        <f>SUM($W$34:W273)</f>
        <v>102.70665595</v>
      </c>
      <c r="Y273">
        <f t="shared" si="63"/>
        <v>0</v>
      </c>
    </row>
    <row r="274" spans="1:25">
      <c r="A274">
        <v>107.54928700000001</v>
      </c>
      <c r="B274" s="2">
        <f t="shared" si="64"/>
        <v>-6.1626470391858124E-4</v>
      </c>
      <c r="C274">
        <v>99.274207880000006</v>
      </c>
      <c r="D274" s="3">
        <f t="shared" si="65"/>
        <v>-8.3565748504441789E-3</v>
      </c>
      <c r="E274" s="3">
        <f t="shared" si="51"/>
        <v>-8.1513945044234658E-3</v>
      </c>
      <c r="F274" s="3">
        <f>STDEV($E$32:E274)</f>
        <v>1.3018888243640744E-2</v>
      </c>
      <c r="G274" s="14">
        <f t="shared" si="54"/>
        <v>-0.62612062964786008</v>
      </c>
      <c r="H274" s="15">
        <f>yint($B$3:B274,$D$3:D274)</f>
        <v>-3.5920833470379161E-5</v>
      </c>
      <c r="I274" s="16">
        <f>MyReg($B$3:B274,$D$3:D274)</f>
        <v>0.27465391328447047</v>
      </c>
      <c r="J274" s="17">
        <f>STDEV($D$3:D274)</f>
        <v>1.3382900821945005E-2</v>
      </c>
      <c r="K274" s="4">
        <f t="shared" si="52"/>
        <v>-2.0518034602071304E-4</v>
      </c>
      <c r="L274">
        <f t="shared" si="55"/>
        <v>-0.62612062964786008</v>
      </c>
      <c r="M274">
        <f>RSQ($D$3:D274,$B$3:B274)</f>
        <v>7.6539240718443716E-2</v>
      </c>
      <c r="N274">
        <v>242</v>
      </c>
      <c r="O274" t="str">
        <f t="shared" si="53"/>
        <v/>
      </c>
      <c r="P274" t="str">
        <f t="shared" si="57"/>
        <v/>
      </c>
      <c r="Q274">
        <f t="shared" si="58"/>
        <v>0</v>
      </c>
      <c r="R274">
        <f t="shared" si="59"/>
        <v>0</v>
      </c>
      <c r="S274">
        <f t="shared" si="60"/>
        <v>0</v>
      </c>
      <c r="T274">
        <f t="shared" si="61"/>
        <v>0</v>
      </c>
      <c r="U274">
        <f t="shared" si="56"/>
        <v>0</v>
      </c>
      <c r="V274">
        <f t="shared" si="62"/>
        <v>0</v>
      </c>
      <c r="W274">
        <f t="shared" si="66"/>
        <v>0</v>
      </c>
      <c r="X274">
        <f>SUM($W$34:W274)</f>
        <v>102.70665595</v>
      </c>
      <c r="Y274">
        <f t="shared" si="63"/>
        <v>0</v>
      </c>
    </row>
    <row r="275" spans="1:25">
      <c r="A275">
        <v>109.49435750000001</v>
      </c>
      <c r="B275" s="2">
        <f t="shared" si="64"/>
        <v>1.8085387214143035E-2</v>
      </c>
      <c r="C275">
        <v>98.509491949999997</v>
      </c>
      <c r="D275" s="3">
        <f t="shared" si="65"/>
        <v>-7.703067557329457E-3</v>
      </c>
      <c r="E275" s="3">
        <f t="shared" si="51"/>
        <v>-1.2508563400972703E-2</v>
      </c>
      <c r="F275" s="3">
        <f>STDEV($E$32:E275)</f>
        <v>1.3015685427325681E-2</v>
      </c>
      <c r="G275" s="14">
        <f t="shared" si="54"/>
        <v>-0.96103762424310712</v>
      </c>
      <c r="H275" s="15">
        <f>yint($B$3:B275,$D$3:D275)</f>
        <v>-8.0295173975384828E-5</v>
      </c>
      <c r="I275" s="16">
        <f>MyReg($B$3:B275,$D$3:D275)</f>
        <v>0.27015130833349649</v>
      </c>
      <c r="J275" s="17">
        <f>STDEV($D$3:D275)</f>
        <v>1.3366542685644887E-2</v>
      </c>
      <c r="K275" s="4">
        <f t="shared" si="52"/>
        <v>4.8054958436432454E-3</v>
      </c>
      <c r="L275">
        <f t="shared" si="55"/>
        <v>-0.96103762424310712</v>
      </c>
      <c r="M275">
        <f>RSQ($D$3:D275,$B$3:B275)</f>
        <v>7.4428938797885869E-2</v>
      </c>
      <c r="N275">
        <v>243</v>
      </c>
      <c r="O275" t="str">
        <f t="shared" si="53"/>
        <v/>
      </c>
      <c r="P275" t="str">
        <f t="shared" si="57"/>
        <v/>
      </c>
      <c r="Q275">
        <f t="shared" si="58"/>
        <v>0</v>
      </c>
      <c r="R275">
        <f t="shared" si="59"/>
        <v>0</v>
      </c>
      <c r="S275">
        <f t="shared" si="60"/>
        <v>0</v>
      </c>
      <c r="T275">
        <f t="shared" si="61"/>
        <v>0</v>
      </c>
      <c r="U275">
        <f t="shared" si="56"/>
        <v>0</v>
      </c>
      <c r="V275">
        <f t="shared" si="62"/>
        <v>0</v>
      </c>
      <c r="W275">
        <f t="shared" si="66"/>
        <v>0</v>
      </c>
      <c r="X275">
        <f>SUM($W$34:W275)</f>
        <v>102.70665595</v>
      </c>
      <c r="Y275">
        <f t="shared" si="63"/>
        <v>0</v>
      </c>
    </row>
    <row r="276" spans="1:25">
      <c r="A276">
        <v>110.3114726</v>
      </c>
      <c r="B276" s="2">
        <f t="shared" si="64"/>
        <v>7.4626229027372039E-3</v>
      </c>
      <c r="C276">
        <v>98.943863879999995</v>
      </c>
      <c r="D276" s="3">
        <f t="shared" si="65"/>
        <v>4.4094423938402776E-3</v>
      </c>
      <c r="E276" s="3">
        <f t="shared" si="51"/>
        <v>2.4622192176735969E-3</v>
      </c>
      <c r="F276" s="3">
        <f>STDEV($E$32:E276)</f>
        <v>1.2990200693844708E-2</v>
      </c>
      <c r="G276" s="14">
        <f t="shared" si="54"/>
        <v>0.18954435544943488</v>
      </c>
      <c r="H276" s="15">
        <f>yint($B$3:B276,$D$3:D276)</f>
        <v>-7.1424052884303381E-5</v>
      </c>
      <c r="I276" s="16">
        <f>MyReg($B$3:B276,$D$3:D276)</f>
        <v>0.27050103634615752</v>
      </c>
      <c r="J276" s="17">
        <f>STDEV($D$3:D276)</f>
        <v>1.3344657521064809E-2</v>
      </c>
      <c r="K276" s="4">
        <f t="shared" si="52"/>
        <v>1.9472231761666807E-3</v>
      </c>
      <c r="L276">
        <f t="shared" si="55"/>
        <v>0.18954435544943488</v>
      </c>
      <c r="M276">
        <f>RSQ($D$3:D276,$B$3:B276)</f>
        <v>7.4666802040842375E-2</v>
      </c>
      <c r="N276">
        <v>244</v>
      </c>
      <c r="O276" t="str">
        <f t="shared" si="53"/>
        <v/>
      </c>
      <c r="P276" t="str">
        <f t="shared" si="57"/>
        <v/>
      </c>
      <c r="Q276">
        <f t="shared" si="58"/>
        <v>0</v>
      </c>
      <c r="R276">
        <f t="shared" si="59"/>
        <v>0</v>
      </c>
      <c r="S276">
        <f t="shared" si="60"/>
        <v>0</v>
      </c>
      <c r="T276">
        <f t="shared" si="61"/>
        <v>0</v>
      </c>
      <c r="U276">
        <f t="shared" si="56"/>
        <v>0</v>
      </c>
      <c r="V276">
        <f t="shared" si="62"/>
        <v>0</v>
      </c>
      <c r="W276">
        <f t="shared" si="66"/>
        <v>0</v>
      </c>
      <c r="X276">
        <f>SUM($W$34:W276)</f>
        <v>102.70665595</v>
      </c>
      <c r="Y276">
        <f t="shared" si="63"/>
        <v>0</v>
      </c>
    </row>
    <row r="277" spans="1:25">
      <c r="A277">
        <v>109.3622278</v>
      </c>
      <c r="B277" s="2">
        <f t="shared" si="64"/>
        <v>-8.6051321555832665E-3</v>
      </c>
      <c r="C277">
        <v>98.130279099999996</v>
      </c>
      <c r="D277" s="3">
        <f t="shared" si="65"/>
        <v>-8.2226906055207459E-3</v>
      </c>
      <c r="E277" s="3">
        <f t="shared" si="51"/>
        <v>-5.7928554931570286E-3</v>
      </c>
      <c r="F277" s="3">
        <f>STDEV($E$32:E277)</f>
        <v>1.2968381667522139E-2</v>
      </c>
      <c r="G277" s="14">
        <f t="shared" si="54"/>
        <v>-0.44669070063418836</v>
      </c>
      <c r="H277" s="15">
        <f>yint($B$3:B277,$D$3:D277)</f>
        <v>-9.3040414842381845E-5</v>
      </c>
      <c r="I277" s="16">
        <f>MyReg($B$3:B277,$D$3:D277)</f>
        <v>0.271558257940891</v>
      </c>
      <c r="J277" s="17">
        <f>STDEV($D$3:D277)</f>
        <v>1.3329621930098828E-2</v>
      </c>
      <c r="K277" s="4">
        <f t="shared" si="52"/>
        <v>-2.4298351123637177E-3</v>
      </c>
      <c r="L277">
        <f t="shared" si="55"/>
        <v>-0.44669070063418836</v>
      </c>
      <c r="M277">
        <f>RSQ($D$3:D277,$B$3:B277)</f>
        <v>7.5269915203191137E-2</v>
      </c>
      <c r="N277">
        <v>245</v>
      </c>
      <c r="O277" t="str">
        <f t="shared" si="53"/>
        <v/>
      </c>
      <c r="P277" t="str">
        <f t="shared" si="57"/>
        <v/>
      </c>
      <c r="Q277">
        <f t="shared" si="58"/>
        <v>0</v>
      </c>
      <c r="R277">
        <f t="shared" si="59"/>
        <v>0</v>
      </c>
      <c r="S277">
        <f t="shared" si="60"/>
        <v>0</v>
      </c>
      <c r="T277">
        <f t="shared" si="61"/>
        <v>0</v>
      </c>
      <c r="U277">
        <f t="shared" si="56"/>
        <v>0</v>
      </c>
      <c r="V277">
        <f t="shared" si="62"/>
        <v>0</v>
      </c>
      <c r="W277">
        <f t="shared" si="66"/>
        <v>0</v>
      </c>
      <c r="X277">
        <f>SUM($W$34:W277)</f>
        <v>102.70665595</v>
      </c>
      <c r="Y277">
        <f t="shared" si="63"/>
        <v>0</v>
      </c>
    </row>
    <row r="278" spans="1:25">
      <c r="A278">
        <v>107.41160619999999</v>
      </c>
      <c r="B278" s="2">
        <f t="shared" si="64"/>
        <v>-1.7836337456176118E-2</v>
      </c>
      <c r="C278">
        <v>97.337600179999995</v>
      </c>
      <c r="D278" s="3">
        <f t="shared" si="65"/>
        <v>-8.077821924792632E-3</v>
      </c>
      <c r="E278" s="3">
        <f t="shared" si="51"/>
        <v>-3.1090274094163345E-3</v>
      </c>
      <c r="F278" s="3">
        <f>STDEV($E$32:E278)</f>
        <v>1.2943205426406409E-2</v>
      </c>
      <c r="G278" s="14">
        <f t="shared" si="54"/>
        <v>-0.24020536698531983</v>
      </c>
      <c r="H278" s="15">
        <f>yint($B$3:B278,$D$3:D278)</f>
        <v>-1.0482097165650281E-4</v>
      </c>
      <c r="I278" s="16">
        <f>MyReg($B$3:B278,$D$3:D278)</f>
        <v>0.27270024216970429</v>
      </c>
      <c r="J278" s="17">
        <f>STDEV($D$3:D278)</f>
        <v>1.331428933323453E-2</v>
      </c>
      <c r="K278" s="4">
        <f t="shared" si="52"/>
        <v>-4.9687945153762975E-3</v>
      </c>
      <c r="L278">
        <f t="shared" si="55"/>
        <v>-0.24020536698531983</v>
      </c>
      <c r="M278">
        <f>RSQ($D$3:D278,$B$3:B278)</f>
        <v>7.6308942869611873E-2</v>
      </c>
      <c r="N278">
        <v>246</v>
      </c>
      <c r="O278" t="str">
        <f t="shared" si="53"/>
        <v/>
      </c>
      <c r="P278" t="str">
        <f t="shared" si="57"/>
        <v/>
      </c>
      <c r="Q278">
        <f t="shared" si="58"/>
        <v>0</v>
      </c>
      <c r="R278">
        <f t="shared" si="59"/>
        <v>0</v>
      </c>
      <c r="S278">
        <f t="shared" si="60"/>
        <v>0</v>
      </c>
      <c r="T278">
        <f t="shared" si="61"/>
        <v>0</v>
      </c>
      <c r="U278">
        <f t="shared" si="56"/>
        <v>0</v>
      </c>
      <c r="V278">
        <f t="shared" si="62"/>
        <v>0</v>
      </c>
      <c r="W278">
        <f t="shared" si="66"/>
        <v>0</v>
      </c>
      <c r="X278">
        <f>SUM($W$34:W278)</f>
        <v>102.70665595</v>
      </c>
      <c r="Y278">
        <f t="shared" si="63"/>
        <v>0</v>
      </c>
    </row>
    <row r="279" spans="1:25">
      <c r="A279">
        <v>105.5305303</v>
      </c>
      <c r="B279" s="2">
        <f t="shared" si="64"/>
        <v>-1.7512780662617064E-2</v>
      </c>
      <c r="C279">
        <v>95.769254759999995</v>
      </c>
      <c r="D279" s="3">
        <f t="shared" si="65"/>
        <v>-1.6112431548546115E-2</v>
      </c>
      <c r="E279" s="3">
        <f t="shared" si="51"/>
        <v>-1.1120646229020951E-2</v>
      </c>
      <c r="F279" s="3">
        <f>STDEV($E$32:E279)</f>
        <v>1.2935106066240825E-2</v>
      </c>
      <c r="G279" s="14">
        <f t="shared" si="54"/>
        <v>-0.85972594055835305</v>
      </c>
      <c r="H279" s="15">
        <f>yint($B$3:B279,$D$3:D279)</f>
        <v>-1.4650228273606575E-4</v>
      </c>
      <c r="I279" s="16">
        <f>MyReg($B$3:B279,$D$3:D279)</f>
        <v>0.2766712568456865</v>
      </c>
      <c r="J279" s="17">
        <f>STDEV($D$3:D279)</f>
        <v>1.3325319592899841E-2</v>
      </c>
      <c r="K279" s="4">
        <f t="shared" si="52"/>
        <v>-4.9917853195251636E-3</v>
      </c>
      <c r="L279">
        <f t="shared" si="55"/>
        <v>-0.85972594055835305</v>
      </c>
      <c r="M279">
        <f>RSQ($D$3:D279,$B$3:B279)</f>
        <v>7.8629985808420483E-2</v>
      </c>
      <c r="N279">
        <v>247</v>
      </c>
      <c r="O279" t="str">
        <f t="shared" si="53"/>
        <v/>
      </c>
      <c r="P279" t="str">
        <f t="shared" si="57"/>
        <v/>
      </c>
      <c r="Q279">
        <f t="shared" si="58"/>
        <v>0</v>
      </c>
      <c r="R279">
        <f t="shared" si="59"/>
        <v>0</v>
      </c>
      <c r="S279">
        <f t="shared" si="60"/>
        <v>0</v>
      </c>
      <c r="T279">
        <f t="shared" si="61"/>
        <v>0</v>
      </c>
      <c r="U279">
        <f t="shared" si="56"/>
        <v>0</v>
      </c>
      <c r="V279">
        <f t="shared" si="62"/>
        <v>0</v>
      </c>
      <c r="W279">
        <f t="shared" si="66"/>
        <v>0</v>
      </c>
      <c r="X279">
        <f>SUM($W$34:W279)</f>
        <v>102.70665595</v>
      </c>
      <c r="Y279">
        <f t="shared" si="63"/>
        <v>0</v>
      </c>
    </row>
    <row r="280" spans="1:25">
      <c r="A280">
        <v>104.8265442</v>
      </c>
      <c r="B280" s="2">
        <f t="shared" si="64"/>
        <v>-6.6709235516842135E-3</v>
      </c>
      <c r="C280">
        <v>94.614155150000002</v>
      </c>
      <c r="D280" s="3">
        <f t="shared" si="65"/>
        <v>-1.2061278046850216E-2</v>
      </c>
      <c r="E280" s="3">
        <f t="shared" si="51"/>
        <v>-1.0023303079605339E-2</v>
      </c>
      <c r="F280" s="3">
        <f>STDEV($E$32:E280)</f>
        <v>1.2923448070377484E-2</v>
      </c>
      <c r="G280" s="14">
        <f t="shared" si="54"/>
        <v>-0.77559046355285632</v>
      </c>
      <c r="H280" s="15">
        <f>yint($B$3:B280,$D$3:D280)</f>
        <v>-1.8308268196798731E-4</v>
      </c>
      <c r="I280" s="16">
        <f>MyReg($B$3:B280,$D$3:D280)</f>
        <v>0.27805629474026633</v>
      </c>
      <c r="J280" s="17">
        <f>STDEV($D$3:D280)</f>
        <v>1.3320681659226331E-2</v>
      </c>
      <c r="K280" s="4">
        <f t="shared" si="52"/>
        <v>-2.0379749672448772E-3</v>
      </c>
      <c r="L280">
        <f t="shared" si="55"/>
        <v>-0.77559046355285632</v>
      </c>
      <c r="M280">
        <f>RSQ($D$3:D280,$B$3:B280)</f>
        <v>7.9263457125950981E-2</v>
      </c>
      <c r="N280">
        <v>248</v>
      </c>
      <c r="O280" t="str">
        <f t="shared" si="53"/>
        <v/>
      </c>
      <c r="P280" t="str">
        <f t="shared" si="57"/>
        <v/>
      </c>
      <c r="Q280">
        <f t="shared" si="58"/>
        <v>0</v>
      </c>
      <c r="R280">
        <f t="shared" si="59"/>
        <v>0</v>
      </c>
      <c r="S280">
        <f t="shared" si="60"/>
        <v>0</v>
      </c>
      <c r="T280">
        <f t="shared" si="61"/>
        <v>0</v>
      </c>
      <c r="U280">
        <f t="shared" si="56"/>
        <v>0</v>
      </c>
      <c r="V280">
        <f t="shared" si="62"/>
        <v>0</v>
      </c>
      <c r="W280">
        <f t="shared" si="66"/>
        <v>0</v>
      </c>
      <c r="X280">
        <f>SUM($W$34:W280)</f>
        <v>102.70665595</v>
      </c>
      <c r="Y280">
        <f t="shared" si="63"/>
        <v>0</v>
      </c>
    </row>
    <row r="281" spans="1:25">
      <c r="A281">
        <v>105.1713378</v>
      </c>
      <c r="B281" s="2">
        <f t="shared" si="64"/>
        <v>3.2891821688041749E-3</v>
      </c>
      <c r="C281">
        <v>95.817826780000004</v>
      </c>
      <c r="D281" s="3">
        <f t="shared" si="65"/>
        <v>1.2721897987586715E-2</v>
      </c>
      <c r="E281" s="3">
        <f t="shared" si="51"/>
        <v>1.1945259506923664E-2</v>
      </c>
      <c r="F281" s="3">
        <f>STDEV($E$32:E281)</f>
        <v>1.2921167498787118E-2</v>
      </c>
      <c r="G281" s="14">
        <f t="shared" si="54"/>
        <v>0.92447215068181254</v>
      </c>
      <c r="H281" s="15">
        <f>yint($B$3:B281,$D$3:D281)</f>
        <v>-1.4030102708299783E-4</v>
      </c>
      <c r="I281" s="16">
        <f>MyReg($B$3:B281,$D$3:D281)</f>
        <v>0.27877431552519122</v>
      </c>
      <c r="J281" s="17">
        <f>STDEV($D$3:D281)</f>
        <v>1.3318878323182843E-2</v>
      </c>
      <c r="K281" s="4">
        <f t="shared" si="52"/>
        <v>7.7663848066305001E-4</v>
      </c>
      <c r="L281">
        <f t="shared" si="55"/>
        <v>0.92447215068181254</v>
      </c>
      <c r="M281">
        <f>RSQ($D$3:D281,$B$3:B281)</f>
        <v>7.9422657116216447E-2</v>
      </c>
      <c r="N281">
        <v>249</v>
      </c>
      <c r="O281" t="str">
        <f t="shared" si="53"/>
        <v/>
      </c>
      <c r="P281" t="str">
        <f t="shared" si="57"/>
        <v/>
      </c>
      <c r="Q281">
        <f t="shared" si="58"/>
        <v>0</v>
      </c>
      <c r="R281">
        <f t="shared" si="59"/>
        <v>0</v>
      </c>
      <c r="S281">
        <f t="shared" si="60"/>
        <v>0</v>
      </c>
      <c r="T281">
        <f t="shared" si="61"/>
        <v>0</v>
      </c>
      <c r="U281">
        <f t="shared" si="56"/>
        <v>0</v>
      </c>
      <c r="V281">
        <f t="shared" si="62"/>
        <v>0</v>
      </c>
      <c r="W281">
        <f t="shared" si="66"/>
        <v>0</v>
      </c>
      <c r="X281">
        <f>SUM($W$34:W281)</f>
        <v>102.70665595</v>
      </c>
      <c r="Y281">
        <f t="shared" si="63"/>
        <v>0</v>
      </c>
    </row>
    <row r="282" spans="1:25">
      <c r="A282">
        <v>104.48597030000001</v>
      </c>
      <c r="B282" s="2">
        <f t="shared" si="64"/>
        <v>-6.5166756868999158E-3</v>
      </c>
      <c r="C282">
        <v>95.716859450000001</v>
      </c>
      <c r="D282" s="3">
        <f t="shared" si="65"/>
        <v>-1.0537426426068554E-3</v>
      </c>
      <c r="E282" s="3">
        <f t="shared" si="51"/>
        <v>8.9919521747841048E-4</v>
      </c>
      <c r="F282" s="3">
        <f>STDEV($E$32:E282)</f>
        <v>1.2895549133542572E-2</v>
      </c>
      <c r="G282" s="14">
        <f t="shared" si="54"/>
        <v>6.9729114143694482E-2</v>
      </c>
      <c r="H282" s="15">
        <f>yint($B$3:B282,$D$3:D282)</f>
        <v>-1.3704526583809061E-4</v>
      </c>
      <c r="I282" s="16">
        <f>MyReg($B$3:B282,$D$3:D282)</f>
        <v>0.27865320931921711</v>
      </c>
      <c r="J282" s="17">
        <f>STDEV($D$3:D282)</f>
        <v>1.3295119323914608E-2</v>
      </c>
      <c r="K282" s="4">
        <f t="shared" si="52"/>
        <v>-1.9529378600852659E-3</v>
      </c>
      <c r="L282">
        <f t="shared" si="55"/>
        <v>6.9729114143694482E-2</v>
      </c>
      <c r="M282">
        <f>RSQ($D$3:D282,$B$3:B282)</f>
        <v>7.9424382585242564E-2</v>
      </c>
      <c r="N282">
        <v>250</v>
      </c>
      <c r="O282" t="str">
        <f t="shared" si="53"/>
        <v/>
      </c>
      <c r="P282" t="str">
        <f t="shared" si="57"/>
        <v/>
      </c>
      <c r="Q282">
        <f t="shared" si="58"/>
        <v>0</v>
      </c>
      <c r="R282">
        <f t="shared" si="59"/>
        <v>0</v>
      </c>
      <c r="S282">
        <f t="shared" si="60"/>
        <v>0</v>
      </c>
      <c r="T282">
        <f t="shared" si="61"/>
        <v>0</v>
      </c>
      <c r="U282">
        <f t="shared" si="56"/>
        <v>0</v>
      </c>
      <c r="V282">
        <f t="shared" si="62"/>
        <v>0</v>
      </c>
      <c r="W282">
        <f t="shared" si="66"/>
        <v>0</v>
      </c>
      <c r="X282">
        <f>SUM($W$34:W282)</f>
        <v>102.70665595</v>
      </c>
      <c r="Y282">
        <f t="shared" si="63"/>
        <v>0</v>
      </c>
    </row>
    <row r="283" spans="1:25">
      <c r="A283">
        <v>101.88400300000001</v>
      </c>
      <c r="B283" s="2">
        <f t="shared" si="64"/>
        <v>-2.490255191705865E-2</v>
      </c>
      <c r="C283">
        <v>96.016522789999996</v>
      </c>
      <c r="D283" s="3">
        <f t="shared" si="65"/>
        <v>3.1307268303817615E-3</v>
      </c>
      <c r="E283" s="3">
        <f t="shared" si="51"/>
        <v>1.0045122570366735E-2</v>
      </c>
      <c r="F283" s="3">
        <f>STDEV($E$32:E283)</f>
        <v>1.2886539854850476E-2</v>
      </c>
      <c r="G283" s="14">
        <f t="shared" si="54"/>
        <v>0.77950502489508577</v>
      </c>
      <c r="H283" s="15">
        <f>yint($B$3:B283,$D$3:D283)</f>
        <v>-9.9933242305543435E-5</v>
      </c>
      <c r="I283" s="16">
        <f>MyReg($B$3:B283,$D$3:D283)</f>
        <v>0.27364514770919574</v>
      </c>
      <c r="J283" s="17">
        <f>STDEV($D$3:D283)</f>
        <v>1.3272728776740947E-2</v>
      </c>
      <c r="K283" s="4">
        <f t="shared" si="52"/>
        <v>-6.9143957399849729E-3</v>
      </c>
      <c r="L283">
        <f t="shared" si="55"/>
        <v>0.77950502489508577</v>
      </c>
      <c r="M283">
        <f>RSQ($D$3:D283,$B$3:B283)</f>
        <v>7.7536080120410258E-2</v>
      </c>
      <c r="N283">
        <v>251</v>
      </c>
      <c r="O283" t="str">
        <f t="shared" si="53"/>
        <v/>
      </c>
      <c r="P283" t="str">
        <f t="shared" si="57"/>
        <v/>
      </c>
      <c r="Q283">
        <f t="shared" si="58"/>
        <v>0</v>
      </c>
      <c r="R283">
        <f t="shared" si="59"/>
        <v>0</v>
      </c>
      <c r="S283">
        <f t="shared" si="60"/>
        <v>0</v>
      </c>
      <c r="T283">
        <f t="shared" si="61"/>
        <v>0</v>
      </c>
      <c r="U283">
        <f t="shared" si="56"/>
        <v>0</v>
      </c>
      <c r="V283">
        <f t="shared" si="62"/>
        <v>0</v>
      </c>
      <c r="W283">
        <f t="shared" si="66"/>
        <v>0</v>
      </c>
      <c r="X283">
        <f>SUM($W$34:W283)</f>
        <v>102.70665595</v>
      </c>
      <c r="Y283">
        <f t="shared" si="63"/>
        <v>0</v>
      </c>
    </row>
    <row r="284" spans="1:25">
      <c r="A284">
        <v>100.49253640000001</v>
      </c>
      <c r="B284" s="2">
        <f t="shared" si="64"/>
        <v>-1.3657360910721195E-2</v>
      </c>
      <c r="C284">
        <v>96.432377389999999</v>
      </c>
      <c r="D284" s="3">
        <f t="shared" si="65"/>
        <v>4.331073318594638E-3</v>
      </c>
      <c r="E284" s="3">
        <f t="shared" si="51"/>
        <v>8.1091181856242402E-3</v>
      </c>
      <c r="F284" s="3">
        <f>STDEV($E$32:E284)</f>
        <v>1.2871875340163479E-2</v>
      </c>
      <c r="G284" s="14">
        <f t="shared" si="54"/>
        <v>0.62998731508234529</v>
      </c>
      <c r="H284" s="15">
        <f>yint($B$3:B284,$D$3:D284)</f>
        <v>-7.072989291400831E-5</v>
      </c>
      <c r="I284" s="16">
        <f>MyReg($B$3:B284,$D$3:D284)</f>
        <v>0.27145178328012887</v>
      </c>
      <c r="J284" s="17">
        <f>STDEV($D$3:D284)</f>
        <v>1.3251667164340602E-2</v>
      </c>
      <c r="K284" s="4">
        <f t="shared" si="52"/>
        <v>-3.7780448670296013E-3</v>
      </c>
      <c r="L284">
        <f t="shared" si="55"/>
        <v>0.62998731508234529</v>
      </c>
      <c r="M284">
        <f>RSQ($D$3:D284,$B$3:B284)</f>
        <v>7.6552414402688992E-2</v>
      </c>
      <c r="N284">
        <v>252</v>
      </c>
      <c r="O284" t="str">
        <f t="shared" si="53"/>
        <v/>
      </c>
      <c r="P284" t="str">
        <f t="shared" si="57"/>
        <v/>
      </c>
      <c r="Q284">
        <f t="shared" si="58"/>
        <v>0</v>
      </c>
      <c r="R284">
        <f t="shared" si="59"/>
        <v>0</v>
      </c>
      <c r="S284">
        <f t="shared" si="60"/>
        <v>0</v>
      </c>
      <c r="T284">
        <f t="shared" si="61"/>
        <v>0</v>
      </c>
      <c r="U284">
        <f t="shared" si="56"/>
        <v>0</v>
      </c>
      <c r="V284">
        <f t="shared" si="62"/>
        <v>0</v>
      </c>
      <c r="W284">
        <f t="shared" si="66"/>
        <v>0</v>
      </c>
      <c r="X284">
        <f>SUM($W$34:W284)</f>
        <v>102.70665595</v>
      </c>
      <c r="Y284">
        <f t="shared" si="63"/>
        <v>0</v>
      </c>
    </row>
    <row r="285" spans="1:25">
      <c r="A285">
        <v>100.05156820000001</v>
      </c>
      <c r="B285" s="2">
        <f t="shared" si="64"/>
        <v>-4.3880691621193905E-3</v>
      </c>
      <c r="C285">
        <v>94.57597663</v>
      </c>
      <c r="D285" s="3">
        <f t="shared" si="65"/>
        <v>-1.9250803622648298E-2</v>
      </c>
      <c r="E285" s="3">
        <f t="shared" si="51"/>
        <v>-1.7918317553121513E-2</v>
      </c>
      <c r="F285" s="3">
        <f>STDEV($E$32:E285)</f>
        <v>1.2893926764297101E-2</v>
      </c>
      <c r="G285" s="14">
        <f t="shared" si="54"/>
        <v>-1.3896711126618775</v>
      </c>
      <c r="H285" s="15">
        <f>yint($B$3:B285,$D$3:D285)</f>
        <v>-1.344404390596659E-4</v>
      </c>
      <c r="I285" s="16">
        <f>MyReg($B$3:B285,$D$3:D285)</f>
        <v>0.27302341558547272</v>
      </c>
      <c r="J285" s="17">
        <f>STDEV($D$3:D285)</f>
        <v>1.3277344204024074E-2</v>
      </c>
      <c r="K285" s="4">
        <f t="shared" si="52"/>
        <v>-1.3324860695267853E-3</v>
      </c>
      <c r="L285">
        <f t="shared" si="55"/>
        <v>-1.3896711126618775</v>
      </c>
      <c r="M285">
        <f>RSQ($D$3:D285,$B$3:B285)</f>
        <v>7.6898833350918433E-2</v>
      </c>
      <c r="N285">
        <v>253</v>
      </c>
      <c r="O285" t="str">
        <f t="shared" si="53"/>
        <v/>
      </c>
      <c r="P285" t="str">
        <f t="shared" si="57"/>
        <v/>
      </c>
      <c r="Q285">
        <f t="shared" si="58"/>
        <v>0</v>
      </c>
      <c r="R285">
        <f t="shared" si="59"/>
        <v>0</v>
      </c>
      <c r="S285">
        <f t="shared" si="60"/>
        <v>0</v>
      </c>
      <c r="T285">
        <f t="shared" si="61"/>
        <v>0</v>
      </c>
      <c r="U285">
        <f t="shared" si="56"/>
        <v>0</v>
      </c>
      <c r="V285">
        <f t="shared" si="62"/>
        <v>0</v>
      </c>
      <c r="W285">
        <f t="shared" si="66"/>
        <v>0</v>
      </c>
      <c r="X285">
        <f>SUM($W$34:W285)</f>
        <v>102.70665595</v>
      </c>
      <c r="Y285">
        <f t="shared" si="63"/>
        <v>0</v>
      </c>
    </row>
    <row r="286" spans="1:25">
      <c r="A286">
        <v>99.728635159999996</v>
      </c>
      <c r="B286" s="2">
        <f t="shared" si="64"/>
        <v>-3.2276659507672707E-3</v>
      </c>
      <c r="C286">
        <v>93.897948940000006</v>
      </c>
      <c r="D286" s="3">
        <f t="shared" si="65"/>
        <v>-7.1691323120306998E-3</v>
      </c>
      <c r="E286" s="3">
        <f t="shared" si="51"/>
        <v>-6.1304832535255954E-3</v>
      </c>
      <c r="F286" s="3">
        <f>STDEV($E$32:E286)</f>
        <v>1.2873588697780903E-2</v>
      </c>
      <c r="G286" s="14">
        <f t="shared" si="54"/>
        <v>-0.47620623879201168</v>
      </c>
      <c r="H286" s="15">
        <f>yint($B$3:B286,$D$3:D286)</f>
        <v>-1.5613965285692107E-4</v>
      </c>
      <c r="I286" s="16">
        <f>MyReg($B$3:B286,$D$3:D286)</f>
        <v>0.27342030405544165</v>
      </c>
      <c r="J286" s="17">
        <f>STDEV($D$3:D286)</f>
        <v>1.326048443020812E-2</v>
      </c>
      <c r="K286" s="4">
        <f t="shared" si="52"/>
        <v>-1.0386490585051044E-3</v>
      </c>
      <c r="L286">
        <f t="shared" si="55"/>
        <v>-0.47620623879201168</v>
      </c>
      <c r="M286">
        <f>RSQ($D$3:D286,$B$3:B286)</f>
        <v>7.7062096219708498E-2</v>
      </c>
      <c r="N286">
        <v>254</v>
      </c>
      <c r="O286" t="str">
        <f t="shared" si="53"/>
        <v/>
      </c>
      <c r="P286" t="str">
        <f t="shared" si="57"/>
        <v/>
      </c>
      <c r="Q286">
        <f t="shared" si="58"/>
        <v>0</v>
      </c>
      <c r="R286">
        <f t="shared" si="59"/>
        <v>0</v>
      </c>
      <c r="S286">
        <f t="shared" si="60"/>
        <v>0</v>
      </c>
      <c r="T286">
        <f t="shared" si="61"/>
        <v>0</v>
      </c>
      <c r="U286">
        <f t="shared" si="56"/>
        <v>0</v>
      </c>
      <c r="V286">
        <f t="shared" si="62"/>
        <v>0</v>
      </c>
      <c r="W286">
        <f t="shared" si="66"/>
        <v>0</v>
      </c>
      <c r="X286">
        <f>SUM($W$34:W286)</f>
        <v>102.70665595</v>
      </c>
      <c r="Y286">
        <f t="shared" si="63"/>
        <v>0</v>
      </c>
    </row>
    <row r="287" spans="1:25">
      <c r="A287">
        <v>98.190978180000002</v>
      </c>
      <c r="B287" s="2">
        <f t="shared" si="64"/>
        <v>-1.5418409943473594E-2</v>
      </c>
      <c r="C287">
        <v>92.813689569999994</v>
      </c>
      <c r="D287" s="3">
        <f t="shared" si="65"/>
        <v>-1.1547210372964002E-2</v>
      </c>
      <c r="E287" s="3">
        <f t="shared" si="51"/>
        <v>-7.1169748002571677E-3</v>
      </c>
      <c r="F287" s="3">
        <f>STDEV($E$32:E287)</f>
        <v>1.2855209134796061E-2</v>
      </c>
      <c r="G287" s="14">
        <f t="shared" si="54"/>
        <v>-0.55362575012437354</v>
      </c>
      <c r="H287" s="15">
        <f>yint($B$3:B287,$D$3:D287)</f>
        <v>-1.8137328633563812E-4</v>
      </c>
      <c r="I287" s="16">
        <f>MyReg($B$3:B287,$D$3:D287)</f>
        <v>0.27557071721067339</v>
      </c>
      <c r="J287" s="17">
        <f>STDEV($D$3:D287)</f>
        <v>1.3254370810807827E-2</v>
      </c>
      <c r="K287" s="4">
        <f t="shared" si="52"/>
        <v>-4.4302355727068345E-3</v>
      </c>
      <c r="L287">
        <f t="shared" si="55"/>
        <v>-0.55362575012437354</v>
      </c>
      <c r="M287">
        <f>RSQ($D$3:D287,$B$3:B287)</f>
        <v>7.8439728662051761E-2</v>
      </c>
      <c r="N287">
        <v>255</v>
      </c>
      <c r="O287" t="str">
        <f t="shared" si="53"/>
        <v/>
      </c>
      <c r="P287" t="str">
        <f t="shared" si="57"/>
        <v/>
      </c>
      <c r="Q287">
        <f t="shared" si="58"/>
        <v>0</v>
      </c>
      <c r="R287">
        <f t="shared" si="59"/>
        <v>0</v>
      </c>
      <c r="S287">
        <f t="shared" si="60"/>
        <v>0</v>
      </c>
      <c r="T287">
        <f t="shared" si="61"/>
        <v>0</v>
      </c>
      <c r="U287">
        <f t="shared" si="56"/>
        <v>0</v>
      </c>
      <c r="V287">
        <f t="shared" si="62"/>
        <v>0</v>
      </c>
      <c r="W287">
        <f t="shared" si="66"/>
        <v>0</v>
      </c>
      <c r="X287">
        <f>SUM($W$34:W287)</f>
        <v>102.70665595</v>
      </c>
      <c r="Y287">
        <f t="shared" si="63"/>
        <v>0</v>
      </c>
    </row>
    <row r="288" spans="1:25">
      <c r="A288">
        <v>99.516109670000006</v>
      </c>
      <c r="B288" s="2">
        <f t="shared" si="64"/>
        <v>1.3495450545067622E-2</v>
      </c>
      <c r="C288">
        <v>92.374104650000007</v>
      </c>
      <c r="D288" s="3">
        <f t="shared" si="65"/>
        <v>-4.7362077947397272E-3</v>
      </c>
      <c r="E288" s="3">
        <f t="shared" si="51"/>
        <v>-8.2160354948212309E-3</v>
      </c>
      <c r="F288" s="3">
        <f>STDEV($E$32:E288)</f>
        <v>1.2839310519643935E-2</v>
      </c>
      <c r="G288" s="14">
        <f t="shared" si="54"/>
        <v>-0.63991251572666852</v>
      </c>
      <c r="H288" s="15">
        <f>yint($B$3:B288,$D$3:D288)</f>
        <v>-2.1014464739463296E-4</v>
      </c>
      <c r="I288" s="16">
        <f>MyReg($B$3:B288,$D$3:D288)</f>
        <v>0.27342342778061335</v>
      </c>
      <c r="J288" s="17">
        <f>STDEV($D$3:D288)</f>
        <v>1.3233846875278128E-2</v>
      </c>
      <c r="K288" s="4">
        <f t="shared" si="52"/>
        <v>3.4798277000815032E-3</v>
      </c>
      <c r="L288">
        <f t="shared" si="55"/>
        <v>-0.63991251572666852</v>
      </c>
      <c r="M288">
        <f>RSQ($D$3:D288,$B$3:B288)</f>
        <v>7.7460746213647749E-2</v>
      </c>
      <c r="N288">
        <v>256</v>
      </c>
      <c r="O288" t="str">
        <f t="shared" si="53"/>
        <v/>
      </c>
      <c r="P288" t="str">
        <f t="shared" si="57"/>
        <v/>
      </c>
      <c r="Q288">
        <f t="shared" si="58"/>
        <v>0</v>
      </c>
      <c r="R288">
        <f t="shared" si="59"/>
        <v>0</v>
      </c>
      <c r="S288">
        <f t="shared" si="60"/>
        <v>0</v>
      </c>
      <c r="T288">
        <f t="shared" si="61"/>
        <v>0</v>
      </c>
      <c r="U288">
        <f t="shared" si="56"/>
        <v>0</v>
      </c>
      <c r="V288">
        <f t="shared" si="62"/>
        <v>0</v>
      </c>
      <c r="W288">
        <f t="shared" si="66"/>
        <v>0</v>
      </c>
      <c r="X288">
        <f>SUM($W$34:W288)</f>
        <v>102.70665595</v>
      </c>
      <c r="Y288">
        <f t="shared" si="63"/>
        <v>0</v>
      </c>
    </row>
    <row r="289" spans="1:25">
      <c r="A289">
        <v>98.156904350000005</v>
      </c>
      <c r="B289" s="2">
        <f t="shared" si="64"/>
        <v>-1.365814363631364E-2</v>
      </c>
      <c r="C289">
        <v>90.821931070000005</v>
      </c>
      <c r="D289" s="3">
        <f t="shared" si="65"/>
        <v>-1.6803124489066443E-2</v>
      </c>
      <c r="E289" s="3">
        <f t="shared" ref="E289:E352" si="67">D289-K289</f>
        <v>-1.2767332140679799E-2</v>
      </c>
      <c r="F289" s="3">
        <f>STDEV($E$32:E289)</f>
        <v>1.2837262877280948E-2</v>
      </c>
      <c r="G289" s="14">
        <f t="shared" si="54"/>
        <v>-0.99455251970224035</v>
      </c>
      <c r="H289" s="15">
        <f>yint($B$3:B289,$D$3:D289)</f>
        <v>-2.5503504260629526E-4</v>
      </c>
      <c r="I289" s="16">
        <f>MyReg($B$3:B289,$D$3:D289)</f>
        <v>0.27681340938077753</v>
      </c>
      <c r="J289" s="17">
        <f>STDEV($D$3:D289)</f>
        <v>1.3247037352740786E-2</v>
      </c>
      <c r="K289" s="4">
        <f t="shared" ref="K289:K352" si="68">H289+B289*I289</f>
        <v>-4.035792348386644E-3</v>
      </c>
      <c r="L289">
        <f t="shared" si="55"/>
        <v>-0.99455251970224035</v>
      </c>
      <c r="M289">
        <f>RSQ($D$3:D289,$B$3:B289)</f>
        <v>7.9245219490384766E-2</v>
      </c>
      <c r="N289">
        <v>257</v>
      </c>
      <c r="O289" t="str">
        <f t="shared" ref="O289:O352" si="69">IF(L289&gt;1.5,"sellY",IF(L289&lt;-1.5,"buyY",""))</f>
        <v/>
      </c>
      <c r="P289" t="str">
        <f t="shared" si="57"/>
        <v/>
      </c>
      <c r="Q289">
        <f t="shared" si="58"/>
        <v>0</v>
      </c>
      <c r="R289">
        <f t="shared" si="59"/>
        <v>0</v>
      </c>
      <c r="S289">
        <f t="shared" si="60"/>
        <v>0</v>
      </c>
      <c r="T289">
        <f t="shared" si="61"/>
        <v>0</v>
      </c>
      <c r="U289">
        <f t="shared" si="56"/>
        <v>0</v>
      </c>
      <c r="V289">
        <f t="shared" si="62"/>
        <v>0</v>
      </c>
      <c r="W289">
        <f t="shared" si="66"/>
        <v>0</v>
      </c>
      <c r="X289">
        <f>SUM($W$34:W289)</f>
        <v>102.70665595</v>
      </c>
      <c r="Y289">
        <f t="shared" si="63"/>
        <v>0</v>
      </c>
    </row>
    <row r="290" spans="1:25">
      <c r="A290">
        <v>97.520703449999999</v>
      </c>
      <c r="B290" s="2">
        <f t="shared" si="64"/>
        <v>-6.4814686670587292E-3</v>
      </c>
      <c r="C290">
        <v>89.465242750000002</v>
      </c>
      <c r="D290" s="3">
        <f t="shared" si="65"/>
        <v>-1.4937893348186473E-2</v>
      </c>
      <c r="E290" s="3">
        <f t="shared" si="67"/>
        <v>-1.2833515198102172E-2</v>
      </c>
      <c r="F290" s="3">
        <f>STDEV($E$32:E290)</f>
        <v>1.2835299434397504E-2</v>
      </c>
      <c r="G290" s="14">
        <f t="shared" ref="G290:G353" si="70">E290/F290</f>
        <v>-0.99986098989708416</v>
      </c>
      <c r="H290" s="15">
        <f>yint($B$3:B290,$D$3:D290)</f>
        <v>-2.9979249910833702E-4</v>
      </c>
      <c r="I290" s="16">
        <f>MyReg($B$3:B290,$D$3:D290)</f>
        <v>0.27842233661446986</v>
      </c>
      <c r="J290" s="17">
        <f>STDEV($D$3:D290)</f>
        <v>1.3252239274210572E-2</v>
      </c>
      <c r="K290" s="4">
        <f t="shared" si="68"/>
        <v>-2.1043781500843018E-3</v>
      </c>
      <c r="L290">
        <f t="shared" ref="L290:L353" si="71">(D290-K290)/F290</f>
        <v>-0.99986098989708416</v>
      </c>
      <c r="M290">
        <f>RSQ($D$3:D290,$B$3:B290)</f>
        <v>7.989194909372542E-2</v>
      </c>
      <c r="N290">
        <v>258</v>
      </c>
      <c r="O290" t="str">
        <f t="shared" si="69"/>
        <v/>
      </c>
      <c r="P290" t="str">
        <f t="shared" si="57"/>
        <v/>
      </c>
      <c r="Q290">
        <f t="shared" si="58"/>
        <v>0</v>
      </c>
      <c r="R290">
        <f t="shared" si="59"/>
        <v>0</v>
      </c>
      <c r="S290">
        <f t="shared" si="60"/>
        <v>0</v>
      </c>
      <c r="T290">
        <f t="shared" si="61"/>
        <v>0</v>
      </c>
      <c r="U290">
        <f t="shared" ref="U290:U353" si="72">ABS(Q290)+ABS(S290)</f>
        <v>0</v>
      </c>
      <c r="V290">
        <f t="shared" si="62"/>
        <v>0</v>
      </c>
      <c r="W290">
        <f t="shared" si="66"/>
        <v>0</v>
      </c>
      <c r="X290">
        <f>SUM($W$34:W290)</f>
        <v>102.70665595</v>
      </c>
      <c r="Y290">
        <f t="shared" si="63"/>
        <v>0</v>
      </c>
    </row>
    <row r="291" spans="1:25">
      <c r="A291">
        <v>98.384991569999997</v>
      </c>
      <c r="B291" s="2">
        <f t="shared" si="64"/>
        <v>8.862611624239649E-3</v>
      </c>
      <c r="C291">
        <v>90.431970149999998</v>
      </c>
      <c r="D291" s="3">
        <f t="shared" si="65"/>
        <v>1.0805619817088087E-2</v>
      </c>
      <c r="E291" s="3">
        <f t="shared" si="67"/>
        <v>8.5950323931634522E-3</v>
      </c>
      <c r="F291" s="3">
        <f>STDEV($E$32:E291)</f>
        <v>1.2823009664803783E-2</v>
      </c>
      <c r="G291" s="14">
        <f t="shared" si="70"/>
        <v>0.67028198666611338</v>
      </c>
      <c r="H291" s="15">
        <f>yint($B$3:B291,$D$3:D291)</f>
        <v>-2.69953213016024E-4</v>
      </c>
      <c r="I291" s="16">
        <f>MyReg($B$3:B291,$D$3:D291)</f>
        <v>0.27988822506407324</v>
      </c>
      <c r="J291" s="17">
        <f>STDEV($D$3:D291)</f>
        <v>1.3245328570576309E-2</v>
      </c>
      <c r="K291" s="4">
        <f t="shared" si="68"/>
        <v>2.2105874239246345E-3</v>
      </c>
      <c r="L291">
        <f t="shared" si="71"/>
        <v>0.67028198666611338</v>
      </c>
      <c r="M291">
        <f>RSQ($D$3:D291,$B$3:B291)</f>
        <v>8.0660340648759404E-2</v>
      </c>
      <c r="N291">
        <v>259</v>
      </c>
      <c r="O291" t="str">
        <f t="shared" si="69"/>
        <v/>
      </c>
      <c r="P291" t="str">
        <f t="shared" ref="P291:P354" si="73">IF(AND(OR(O290="sellY",P290="sellhold"),L291&gt;0.5),"sellhold",IF(AND(OR(O290="sellY",P290="sellhold"),L291&lt;0.5,O291&lt;&gt;"buyY"),"close",IF(AND(OR(O290="sellY",P290="sellhold"),L291&lt;0.5,O291="buyY"),"close&amp;buy",IF(AND(OR(O290="buyY",P290="buyhold"),L291&lt;-0.5),"buyhold",IF(AND(OR(O290="buyY",P290="buyhold"),L291&gt;-0.5,O291&lt;&gt;"sellY"),"close",IF(AND(OR(O290="buyY",P290="buyhold"),L291&gt;-0.5,O291="sellY"),"close&amp;sell",""))))))</f>
        <v/>
      </c>
      <c r="Q291">
        <f t="shared" ref="Q291:Q354" si="74">IF(O291="sellY",MAX(10+R291,Q290),IF(O291="buyY",MIN(-10+R291,Q290),IF(P291="sellhold",Q290+R291,IF(P291="buyhold",Q290+R291,0))))</f>
        <v>0</v>
      </c>
      <c r="R291">
        <f t="shared" ref="R291:R354" si="75">IF(AND(L291&gt;2.5,Q290&lt;15),10,IF(AND(L291&gt;2,Q290&lt;15),5,IF(AND(L291&lt;-2.5,Q290&gt;-15),-10,IF(AND(L291&lt;-2,Q290&gt;-15),-5,0))))</f>
        <v>0</v>
      </c>
      <c r="S291">
        <f t="shared" ref="S291:S354" si="76">IF(O291="sellY",MIN(-10+T291,S290),IF(O291="buyY",MAX(10+T291,S290),IF(P291="sellhold",S290+T291,IF(P291="buyhold",S290+T291,0))))</f>
        <v>0</v>
      </c>
      <c r="T291">
        <f t="shared" ref="T291:T354" si="77">IF(AND(L291&gt;2.5,Q290&lt;15),-10,IF(AND(L291&gt;2,Q290&lt;15),-5,IF(AND(L291&lt;-2.5,Q290&gt;-15),10,IF(AND(L291&lt;-2,Q290&gt;-15),5,0))))</f>
        <v>0</v>
      </c>
      <c r="U291">
        <f t="shared" si="72"/>
        <v>0</v>
      </c>
      <c r="V291">
        <f t="shared" ref="V291:V354" si="78">Q291-Q290</f>
        <v>0</v>
      </c>
      <c r="W291">
        <f t="shared" si="66"/>
        <v>0</v>
      </c>
      <c r="X291">
        <f>SUM($W$34:W291)</f>
        <v>102.70665595</v>
      </c>
      <c r="Y291">
        <f t="shared" si="63"/>
        <v>0</v>
      </c>
    </row>
    <row r="292" spans="1:25">
      <c r="A292">
        <v>99.213022769999995</v>
      </c>
      <c r="B292" s="2">
        <f t="shared" si="64"/>
        <v>8.4162349031748577E-3</v>
      </c>
      <c r="C292">
        <v>89.334365820000002</v>
      </c>
      <c r="D292" s="3">
        <f t="shared" si="65"/>
        <v>-1.2137348419805447E-2</v>
      </c>
      <c r="E292" s="3">
        <f t="shared" si="67"/>
        <v>-1.4154903421495288E-2</v>
      </c>
      <c r="F292" s="3">
        <f>STDEV($E$32:E292)</f>
        <v>1.2826197862437839E-2</v>
      </c>
      <c r="G292" s="14">
        <f t="shared" si="70"/>
        <v>-1.1035930969807217</v>
      </c>
      <c r="H292" s="15">
        <f>yint($B$3:B292,$D$3:D292)</f>
        <v>-3.1885508079642591E-4</v>
      </c>
      <c r="I292" s="16">
        <f>MyReg($B$3:B292,$D$3:D292)</f>
        <v>0.2776075180131799</v>
      </c>
      <c r="J292" s="17">
        <f>STDEV($D$3:D292)</f>
        <v>1.3240773645990573E-2</v>
      </c>
      <c r="K292" s="4">
        <f t="shared" si="68"/>
        <v>2.0175550016898417E-3</v>
      </c>
      <c r="L292">
        <f t="shared" si="71"/>
        <v>-1.1035930969807217</v>
      </c>
      <c r="M292">
        <f>RSQ($D$3:D292,$B$3:B292)</f>
        <v>7.9237504445199308E-2</v>
      </c>
      <c r="N292">
        <v>260</v>
      </c>
      <c r="O292" t="str">
        <f t="shared" si="69"/>
        <v/>
      </c>
      <c r="P292" t="str">
        <f t="shared" si="73"/>
        <v/>
      </c>
      <c r="Q292">
        <f t="shared" si="74"/>
        <v>0</v>
      </c>
      <c r="R292">
        <f t="shared" si="75"/>
        <v>0</v>
      </c>
      <c r="S292">
        <f t="shared" si="76"/>
        <v>0</v>
      </c>
      <c r="T292">
        <f t="shared" si="77"/>
        <v>0</v>
      </c>
      <c r="U292">
        <f t="shared" si="72"/>
        <v>0</v>
      </c>
      <c r="V292">
        <f t="shared" si="78"/>
        <v>0</v>
      </c>
      <c r="W292">
        <f t="shared" si="66"/>
        <v>0</v>
      </c>
      <c r="X292">
        <f>SUM($W$34:W292)</f>
        <v>102.70665595</v>
      </c>
      <c r="Y292">
        <f t="shared" ref="Y292:Y355" si="79">IF(P292="close",X292,0)</f>
        <v>0</v>
      </c>
    </row>
    <row r="293" spans="1:25">
      <c r="A293">
        <v>98.61505477</v>
      </c>
      <c r="B293" s="2">
        <f t="shared" si="64"/>
        <v>-6.0271119990591383E-3</v>
      </c>
      <c r="C293">
        <v>92.557986760000006</v>
      </c>
      <c r="D293" s="3">
        <f t="shared" si="65"/>
        <v>3.608489197197956E-2</v>
      </c>
      <c r="E293" s="3">
        <f t="shared" si="67"/>
        <v>3.7919168656265101E-2</v>
      </c>
      <c r="F293" s="3">
        <f>STDEV($E$32:E293)</f>
        <v>1.3020393776781094E-2</v>
      </c>
      <c r="G293" s="14">
        <f t="shared" si="70"/>
        <v>2.912290465737319</v>
      </c>
      <c r="H293" s="15">
        <f>yint($B$3:B293,$D$3:D293)</f>
        <v>-1.8782147344048692E-4</v>
      </c>
      <c r="I293" s="16">
        <f>MyReg($B$3:B293,$D$3:D293)</f>
        <v>0.27317481591549581</v>
      </c>
      <c r="J293" s="17">
        <f>STDEV($D$3:D293)</f>
        <v>1.3388922792060946E-2</v>
      </c>
      <c r="K293" s="4">
        <f t="shared" si="68"/>
        <v>-1.8342766842855429E-3</v>
      </c>
      <c r="L293">
        <f t="shared" si="71"/>
        <v>2.912290465737319</v>
      </c>
      <c r="M293">
        <f>RSQ($D$3:D293,$B$3:B293)</f>
        <v>7.48329647714506E-2</v>
      </c>
      <c r="N293">
        <v>261</v>
      </c>
      <c r="O293" t="str">
        <f t="shared" si="69"/>
        <v>sellY</v>
      </c>
      <c r="P293" t="str">
        <f t="shared" si="73"/>
        <v/>
      </c>
      <c r="Q293">
        <f t="shared" si="74"/>
        <v>20</v>
      </c>
      <c r="R293">
        <f t="shared" si="75"/>
        <v>10</v>
      </c>
      <c r="S293">
        <f t="shared" si="76"/>
        <v>-20</v>
      </c>
      <c r="T293">
        <f t="shared" si="77"/>
        <v>-10</v>
      </c>
      <c r="U293">
        <f t="shared" si="72"/>
        <v>40</v>
      </c>
      <c r="V293">
        <f t="shared" si="78"/>
        <v>20</v>
      </c>
      <c r="W293">
        <f t="shared" si="66"/>
        <v>-121.14136019999989</v>
      </c>
      <c r="X293">
        <f>SUM($W$34:W293)</f>
        <v>-18.434704249999896</v>
      </c>
      <c r="Y293">
        <f t="shared" si="79"/>
        <v>0</v>
      </c>
    </row>
    <row r="294" spans="1:25">
      <c r="A294">
        <v>100.8665008</v>
      </c>
      <c r="B294" s="2">
        <f t="shared" si="64"/>
        <v>2.2830652330428115E-2</v>
      </c>
      <c r="C294">
        <v>93.796634440000005</v>
      </c>
      <c r="D294" s="3">
        <f t="shared" si="65"/>
        <v>1.3382396520915853E-2</v>
      </c>
      <c r="E294" s="3">
        <f t="shared" si="67"/>
        <v>7.2365011597544824E-3</v>
      </c>
      <c r="F294" s="3">
        <f>STDEV($E$32:E294)</f>
        <v>1.3004066725168163E-2</v>
      </c>
      <c r="G294" s="14">
        <f t="shared" si="70"/>
        <v>0.55647985454803206</v>
      </c>
      <c r="H294" s="15">
        <f>yint($B$3:B294,$D$3:D294)</f>
        <v>-1.6308586023514683E-4</v>
      </c>
      <c r="I294" s="16">
        <f>MyReg($B$3:B294,$D$3:D294)</f>
        <v>0.27633819349909977</v>
      </c>
      <c r="J294" s="17">
        <f>STDEV($D$3:D294)</f>
        <v>1.3389429499834555E-2</v>
      </c>
      <c r="K294" s="4">
        <f t="shared" si="68"/>
        <v>6.145895361161371E-3</v>
      </c>
      <c r="L294">
        <f t="shared" si="71"/>
        <v>0.55647985454803206</v>
      </c>
      <c r="M294">
        <f>RSQ($D$3:D294,$B$3:B294)</f>
        <v>7.7064781977661909E-2</v>
      </c>
      <c r="N294">
        <v>262</v>
      </c>
      <c r="O294" t="str">
        <f t="shared" si="69"/>
        <v/>
      </c>
      <c r="P294" t="str">
        <f t="shared" si="73"/>
        <v>sellhold</v>
      </c>
      <c r="Q294">
        <f t="shared" si="74"/>
        <v>20</v>
      </c>
      <c r="R294">
        <f t="shared" si="75"/>
        <v>0</v>
      </c>
      <c r="S294">
        <f t="shared" si="76"/>
        <v>-20</v>
      </c>
      <c r="T294">
        <f t="shared" si="77"/>
        <v>0</v>
      </c>
      <c r="U294">
        <f t="shared" si="72"/>
        <v>40</v>
      </c>
      <c r="V294">
        <f t="shared" si="78"/>
        <v>0</v>
      </c>
      <c r="W294">
        <f t="shared" si="66"/>
        <v>0</v>
      </c>
      <c r="X294">
        <f>SUM($W$34:W294)</f>
        <v>-18.434704249999896</v>
      </c>
      <c r="Y294">
        <f t="shared" si="79"/>
        <v>0</v>
      </c>
    </row>
    <row r="295" spans="1:25">
      <c r="A295">
        <v>99.378235649999993</v>
      </c>
      <c r="B295" s="2">
        <f t="shared" si="64"/>
        <v>-1.4754801031027774E-2</v>
      </c>
      <c r="C295">
        <v>92.896701039999996</v>
      </c>
      <c r="D295" s="3">
        <f t="shared" si="65"/>
        <v>-9.5945169607943651E-3</v>
      </c>
      <c r="E295" s="3">
        <f t="shared" si="67"/>
        <v>-5.3135888880729808E-3</v>
      </c>
      <c r="F295" s="3">
        <f>STDEV($E$32:E295)</f>
        <v>1.2982874346730363E-2</v>
      </c>
      <c r="G295" s="14">
        <f t="shared" si="70"/>
        <v>-0.40927677078005203</v>
      </c>
      <c r="H295" s="15">
        <f>yint($B$3:B295,$D$3:D295)</f>
        <v>-1.8146292712547174E-4</v>
      </c>
      <c r="I295" s="16">
        <f>MyReg($B$3:B295,$D$3:D295)</f>
        <v>0.27783940542303315</v>
      </c>
      <c r="J295" s="17">
        <f>STDEV($D$3:D295)</f>
        <v>1.3377914100802031E-2</v>
      </c>
      <c r="K295" s="4">
        <f t="shared" si="68"/>
        <v>-4.2809280727213843E-3</v>
      </c>
      <c r="L295">
        <f t="shared" si="71"/>
        <v>-0.40927677078005203</v>
      </c>
      <c r="M295">
        <f>RSQ($D$3:D295,$B$3:B295)</f>
        <v>7.8096998895533135E-2</v>
      </c>
      <c r="N295">
        <v>263</v>
      </c>
      <c r="O295" t="str">
        <f t="shared" si="69"/>
        <v/>
      </c>
      <c r="P295" t="str">
        <f t="shared" si="73"/>
        <v>close</v>
      </c>
      <c r="Q295">
        <f t="shared" si="74"/>
        <v>0</v>
      </c>
      <c r="R295">
        <f t="shared" si="75"/>
        <v>0</v>
      </c>
      <c r="S295">
        <f t="shared" si="76"/>
        <v>0</v>
      </c>
      <c r="T295">
        <f t="shared" si="77"/>
        <v>0</v>
      </c>
      <c r="U295">
        <f t="shared" si="72"/>
        <v>0</v>
      </c>
      <c r="V295">
        <f t="shared" si="78"/>
        <v>-20</v>
      </c>
      <c r="W295">
        <f t="shared" si="66"/>
        <v>129.63069219999994</v>
      </c>
      <c r="X295">
        <f>SUM($W$34:W295)</f>
        <v>111.19598795000005</v>
      </c>
      <c r="Y295">
        <f t="shared" si="79"/>
        <v>111.19598795000005</v>
      </c>
    </row>
    <row r="296" spans="1:25">
      <c r="A296">
        <v>100.8793694</v>
      </c>
      <c r="B296" s="2">
        <f t="shared" si="64"/>
        <v>1.5105256600518126E-2</v>
      </c>
      <c r="C296">
        <v>93.223439880000001</v>
      </c>
      <c r="D296" s="3">
        <f t="shared" si="65"/>
        <v>3.5172275908841514E-3</v>
      </c>
      <c r="E296" s="3">
        <f t="shared" si="67"/>
        <v>-4.9434383687046004E-4</v>
      </c>
      <c r="F296" s="3">
        <f>STDEV($E$32:E296)</f>
        <v>1.2958263621103507E-2</v>
      </c>
      <c r="G296" s="14">
        <f t="shared" si="70"/>
        <v>-3.8148925760808257E-2</v>
      </c>
      <c r="H296" s="15">
        <f>yint($B$3:B296,$D$3:D296)</f>
        <v>-1.8314040193289369E-4</v>
      </c>
      <c r="I296" s="16">
        <f>MyReg($B$3:B296,$D$3:D296)</f>
        <v>0.27769881311010775</v>
      </c>
      <c r="J296" s="17">
        <f>STDEV($D$3:D296)</f>
        <v>1.3356789349692987E-2</v>
      </c>
      <c r="K296" s="4">
        <f t="shared" si="68"/>
        <v>4.0115714277546115E-3</v>
      </c>
      <c r="L296">
        <f t="shared" si="71"/>
        <v>-3.8148925760808257E-2</v>
      </c>
      <c r="M296">
        <f>RSQ($D$3:D296,$B$3:B296)</f>
        <v>7.8330253295053082E-2</v>
      </c>
      <c r="N296">
        <v>264</v>
      </c>
      <c r="O296" t="str">
        <f t="shared" si="69"/>
        <v/>
      </c>
      <c r="P296" t="str">
        <f t="shared" si="73"/>
        <v/>
      </c>
      <c r="Q296">
        <f t="shared" si="74"/>
        <v>0</v>
      </c>
      <c r="R296">
        <f t="shared" si="75"/>
        <v>0</v>
      </c>
      <c r="S296">
        <f t="shared" si="76"/>
        <v>0</v>
      </c>
      <c r="T296">
        <f t="shared" si="77"/>
        <v>0</v>
      </c>
      <c r="U296">
        <f t="shared" si="72"/>
        <v>0</v>
      </c>
      <c r="V296">
        <f t="shared" si="78"/>
        <v>0</v>
      </c>
      <c r="W296">
        <f t="shared" si="66"/>
        <v>0</v>
      </c>
      <c r="X296">
        <f>SUM($W$34:W296)</f>
        <v>111.19598795000005</v>
      </c>
      <c r="Y296">
        <f t="shared" si="79"/>
        <v>0</v>
      </c>
    </row>
    <row r="297" spans="1:25">
      <c r="A297">
        <v>100.42211829999999</v>
      </c>
      <c r="B297" s="2">
        <f t="shared" si="64"/>
        <v>-4.5326522431652682E-3</v>
      </c>
      <c r="C297">
        <v>94.199617709999998</v>
      </c>
      <c r="D297" s="3">
        <f t="shared" si="65"/>
        <v>1.0471377491074806E-2</v>
      </c>
      <c r="E297" s="3">
        <f t="shared" si="67"/>
        <v>1.186802357286898E-2</v>
      </c>
      <c r="F297" s="3">
        <f>STDEV($E$32:E297)</f>
        <v>1.2955636187041382E-2</v>
      </c>
      <c r="G297" s="14">
        <f t="shared" si="70"/>
        <v>0.91605100679963014</v>
      </c>
      <c r="H297" s="15">
        <f>yint($B$3:B297,$D$3:D297)</f>
        <v>-1.426479884694453E-4</v>
      </c>
      <c r="I297" s="16">
        <f>MyReg($B$3:B297,$D$3:D297)</f>
        <v>0.27665879181788461</v>
      </c>
      <c r="J297" s="17">
        <f>STDEV($D$3:D297)</f>
        <v>1.3348385986835572E-2</v>
      </c>
      <c r="K297" s="4">
        <f t="shared" si="68"/>
        <v>-1.3966460817941729E-3</v>
      </c>
      <c r="L297">
        <f t="shared" si="71"/>
        <v>0.91605100679963014</v>
      </c>
      <c r="M297">
        <f>RSQ($D$3:D297,$B$3:B297)</f>
        <v>7.7609307563943353E-2</v>
      </c>
      <c r="N297">
        <v>265</v>
      </c>
      <c r="O297" t="str">
        <f t="shared" si="69"/>
        <v/>
      </c>
      <c r="P297" t="str">
        <f t="shared" si="73"/>
        <v/>
      </c>
      <c r="Q297">
        <f t="shared" si="74"/>
        <v>0</v>
      </c>
      <c r="R297">
        <f t="shared" si="75"/>
        <v>0</v>
      </c>
      <c r="S297">
        <f t="shared" si="76"/>
        <v>0</v>
      </c>
      <c r="T297">
        <f t="shared" si="77"/>
        <v>0</v>
      </c>
      <c r="U297">
        <f t="shared" si="72"/>
        <v>0</v>
      </c>
      <c r="V297">
        <f t="shared" si="78"/>
        <v>0</v>
      </c>
      <c r="W297">
        <f t="shared" si="66"/>
        <v>0</v>
      </c>
      <c r="X297">
        <f>SUM($W$34:W297)</f>
        <v>111.19598795000005</v>
      </c>
      <c r="Y297">
        <f t="shared" si="79"/>
        <v>0</v>
      </c>
    </row>
    <row r="298" spans="1:25">
      <c r="A298">
        <v>100.0966703</v>
      </c>
      <c r="B298" s="2">
        <f t="shared" si="64"/>
        <v>-3.2407999901750174E-3</v>
      </c>
      <c r="C298">
        <v>92.57722115</v>
      </c>
      <c r="D298" s="3">
        <f t="shared" si="65"/>
        <v>-1.7222963313870954E-2</v>
      </c>
      <c r="E298" s="3">
        <f t="shared" si="67"/>
        <v>-1.6125658971164483E-2</v>
      </c>
      <c r="F298" s="3">
        <f>STDEV($E$32:E298)</f>
        <v>1.2967245553506096E-2</v>
      </c>
      <c r="G298" s="14">
        <f t="shared" si="70"/>
        <v>-1.2435685670195713</v>
      </c>
      <c r="H298" s="15">
        <f>yint($B$3:B298,$D$3:D298)</f>
        <v>-1.9741726935035563E-4</v>
      </c>
      <c r="I298" s="16">
        <f>MyReg($B$3:B298,$D$3:D298)</f>
        <v>0.2776743631462173</v>
      </c>
      <c r="J298" s="17">
        <f>STDEV($D$3:D298)</f>
        <v>1.3362797061526148E-2</v>
      </c>
      <c r="K298" s="4">
        <f t="shared" si="68"/>
        <v>-1.097304342706471E-3</v>
      </c>
      <c r="L298">
        <f t="shared" si="71"/>
        <v>-1.2435685670195713</v>
      </c>
      <c r="M298">
        <f>RSQ($D$3:D298,$B$3:B298)</f>
        <v>7.7763479338343308E-2</v>
      </c>
      <c r="N298">
        <v>266</v>
      </c>
      <c r="O298" t="str">
        <f t="shared" si="69"/>
        <v/>
      </c>
      <c r="P298" t="str">
        <f t="shared" si="73"/>
        <v/>
      </c>
      <c r="Q298">
        <f t="shared" si="74"/>
        <v>0</v>
      </c>
      <c r="R298">
        <f t="shared" si="75"/>
        <v>0</v>
      </c>
      <c r="S298">
        <f t="shared" si="76"/>
        <v>0</v>
      </c>
      <c r="T298">
        <f t="shared" si="77"/>
        <v>0</v>
      </c>
      <c r="U298">
        <f t="shared" si="72"/>
        <v>0</v>
      </c>
      <c r="V298">
        <f t="shared" si="78"/>
        <v>0</v>
      </c>
      <c r="W298">
        <f t="shared" si="66"/>
        <v>0</v>
      </c>
      <c r="X298">
        <f>SUM($W$34:W298)</f>
        <v>111.19598795000005</v>
      </c>
      <c r="Y298">
        <f t="shared" si="79"/>
        <v>0</v>
      </c>
    </row>
    <row r="299" spans="1:25">
      <c r="A299">
        <v>99.878743279999995</v>
      </c>
      <c r="B299" s="2">
        <f t="shared" si="64"/>
        <v>-2.1771655275530655E-3</v>
      </c>
      <c r="C299">
        <v>92.6684628</v>
      </c>
      <c r="D299" s="3">
        <f t="shared" si="65"/>
        <v>9.8557343660342334E-4</v>
      </c>
      <c r="E299" s="3">
        <f t="shared" si="67"/>
        <v>1.7813428920935783E-3</v>
      </c>
      <c r="F299" s="3">
        <f>STDEV($E$32:E299)</f>
        <v>1.2943631904346938E-2</v>
      </c>
      <c r="G299" s="14">
        <f t="shared" si="70"/>
        <v>0.13762311113740333</v>
      </c>
      <c r="H299" s="15">
        <f>yint($B$3:B299,$D$3:D299)</f>
        <v>-1.913921319517595E-4</v>
      </c>
      <c r="I299" s="16">
        <f>MyReg($B$3:B299,$D$3:D299)</f>
        <v>0.27759824225108881</v>
      </c>
      <c r="J299" s="17">
        <f>STDEV($D$3:D299)</f>
        <v>1.3340374646091146E-2</v>
      </c>
      <c r="K299" s="4">
        <f t="shared" si="68"/>
        <v>-7.9576945549015492E-4</v>
      </c>
      <c r="L299">
        <f t="shared" si="71"/>
        <v>0.13762311113740333</v>
      </c>
      <c r="M299">
        <f>RSQ($D$3:D299,$B$3:B299)</f>
        <v>7.772639499990551E-2</v>
      </c>
      <c r="N299">
        <v>267</v>
      </c>
      <c r="O299" t="str">
        <f t="shared" si="69"/>
        <v/>
      </c>
      <c r="P299" t="str">
        <f t="shared" si="73"/>
        <v/>
      </c>
      <c r="Q299">
        <f t="shared" si="74"/>
        <v>0</v>
      </c>
      <c r="R299">
        <f t="shared" si="75"/>
        <v>0</v>
      </c>
      <c r="S299">
        <f t="shared" si="76"/>
        <v>0</v>
      </c>
      <c r="T299">
        <f t="shared" si="77"/>
        <v>0</v>
      </c>
      <c r="U299">
        <f t="shared" si="72"/>
        <v>0</v>
      </c>
      <c r="V299">
        <f t="shared" si="78"/>
        <v>0</v>
      </c>
      <c r="W299">
        <f t="shared" si="66"/>
        <v>0</v>
      </c>
      <c r="X299">
        <f>SUM($W$34:W299)</f>
        <v>111.19598795000005</v>
      </c>
      <c r="Y299">
        <f t="shared" si="79"/>
        <v>0</v>
      </c>
    </row>
    <row r="300" spans="1:25">
      <c r="A300">
        <v>101.60176269999999</v>
      </c>
      <c r="B300" s="2">
        <f t="shared" si="64"/>
        <v>1.7251112332978484E-2</v>
      </c>
      <c r="C300">
        <v>92.940857530000002</v>
      </c>
      <c r="D300" s="3">
        <f t="shared" si="65"/>
        <v>2.939454500156034E-3</v>
      </c>
      <c r="E300" s="3">
        <f t="shared" si="67"/>
        <v>-1.6433847970744051E-3</v>
      </c>
      <c r="F300" s="3">
        <f>STDEV($E$32:E300)</f>
        <v>1.2919682430820947E-2</v>
      </c>
      <c r="G300" s="14">
        <f t="shared" si="70"/>
        <v>-0.12720009225257564</v>
      </c>
      <c r="H300" s="15">
        <f>yint($B$3:B300,$D$3:D300)</f>
        <v>-1.9688004137999416E-4</v>
      </c>
      <c r="I300" s="16">
        <f>MyReg($B$3:B300,$D$3:D300)</f>
        <v>0.27706731289861081</v>
      </c>
      <c r="J300" s="17">
        <f>STDEV($D$3:D300)</f>
        <v>1.331911339521177E-2</v>
      </c>
      <c r="K300" s="4">
        <f t="shared" si="68"/>
        <v>4.5828392972304391E-3</v>
      </c>
      <c r="L300">
        <f t="shared" si="71"/>
        <v>-0.12720009225257564</v>
      </c>
      <c r="M300">
        <f>RSQ($D$3:D300,$B$3:B300)</f>
        <v>7.7843105271775515E-2</v>
      </c>
      <c r="N300">
        <v>268</v>
      </c>
      <c r="O300" t="str">
        <f t="shared" si="69"/>
        <v/>
      </c>
      <c r="P300" t="str">
        <f t="shared" si="73"/>
        <v/>
      </c>
      <c r="Q300">
        <f t="shared" si="74"/>
        <v>0</v>
      </c>
      <c r="R300">
        <f t="shared" si="75"/>
        <v>0</v>
      </c>
      <c r="S300">
        <f t="shared" si="76"/>
        <v>0</v>
      </c>
      <c r="T300">
        <f t="shared" si="77"/>
        <v>0</v>
      </c>
      <c r="U300">
        <f t="shared" si="72"/>
        <v>0</v>
      </c>
      <c r="V300">
        <f t="shared" si="78"/>
        <v>0</v>
      </c>
      <c r="W300">
        <f t="shared" si="66"/>
        <v>0</v>
      </c>
      <c r="X300">
        <f>SUM($W$34:W300)</f>
        <v>111.19598795000005</v>
      </c>
      <c r="Y300">
        <f t="shared" si="79"/>
        <v>0</v>
      </c>
    </row>
    <row r="301" spans="1:25">
      <c r="A301">
        <v>101.4761221</v>
      </c>
      <c r="B301" s="2">
        <f t="shared" si="64"/>
        <v>-1.2365986244842679E-3</v>
      </c>
      <c r="C301">
        <v>92.07199919</v>
      </c>
      <c r="D301" s="3">
        <f t="shared" si="65"/>
        <v>-9.3485078908331302E-3</v>
      </c>
      <c r="E301" s="3">
        <f t="shared" si="67"/>
        <v>-8.7792334924263436E-3</v>
      </c>
      <c r="F301" s="3">
        <f>STDEV($E$32:E301)</f>
        <v>1.2905708223511806E-2</v>
      </c>
      <c r="G301" s="14">
        <f t="shared" si="70"/>
        <v>-0.68025972231668841</v>
      </c>
      <c r="H301" s="15">
        <f>yint($B$3:B301,$D$3:D301)</f>
        <v>-2.2637299013427255E-4</v>
      </c>
      <c r="I301" s="16">
        <f>MyReg($B$3:B301,$D$3:D301)</f>
        <v>0.27729402368979977</v>
      </c>
      <c r="J301" s="17">
        <f>STDEV($D$3:D301)</f>
        <v>1.3307367259830706E-2</v>
      </c>
      <c r="K301" s="4">
        <f t="shared" si="68"/>
        <v>-5.6927439840678698E-4</v>
      </c>
      <c r="L301">
        <f t="shared" si="71"/>
        <v>-0.68025972231668841</v>
      </c>
      <c r="M301">
        <f>RSQ($D$3:D301,$B$3:B301)</f>
        <v>7.7848910558509316E-2</v>
      </c>
      <c r="N301">
        <v>269</v>
      </c>
      <c r="O301" t="str">
        <f t="shared" si="69"/>
        <v/>
      </c>
      <c r="P301" t="str">
        <f t="shared" si="73"/>
        <v/>
      </c>
      <c r="Q301">
        <f t="shared" si="74"/>
        <v>0</v>
      </c>
      <c r="R301">
        <f t="shared" si="75"/>
        <v>0</v>
      </c>
      <c r="S301">
        <f t="shared" si="76"/>
        <v>0</v>
      </c>
      <c r="T301">
        <f t="shared" si="77"/>
        <v>0</v>
      </c>
      <c r="U301">
        <f t="shared" si="72"/>
        <v>0</v>
      </c>
      <c r="V301">
        <f t="shared" si="78"/>
        <v>0</v>
      </c>
      <c r="W301">
        <f t="shared" si="66"/>
        <v>0</v>
      </c>
      <c r="X301">
        <f>SUM($W$34:W301)</f>
        <v>111.19598795000005</v>
      </c>
      <c r="Y301">
        <f t="shared" si="79"/>
        <v>0</v>
      </c>
    </row>
    <row r="302" spans="1:25">
      <c r="A302">
        <v>102.1571919</v>
      </c>
      <c r="B302" s="2">
        <f t="shared" si="64"/>
        <v>6.7116262023576385E-3</v>
      </c>
      <c r="C302">
        <v>93.643478509999994</v>
      </c>
      <c r="D302" s="3">
        <f t="shared" si="65"/>
        <v>1.7067939588854653E-2</v>
      </c>
      <c r="E302" s="3">
        <f t="shared" si="67"/>
        <v>1.5369387135604397E-2</v>
      </c>
      <c r="F302" s="3">
        <f>STDEV($E$32:E302)</f>
        <v>1.2917524509332408E-2</v>
      </c>
      <c r="G302" s="14">
        <f t="shared" si="70"/>
        <v>1.1898090167741207</v>
      </c>
      <c r="H302" s="15">
        <f>yint($B$3:B302,$D$3:D302)</f>
        <v>-1.7523214304142676E-4</v>
      </c>
      <c r="I302" s="16">
        <f>MyReg($B$3:B302,$D$3:D302)</f>
        <v>0.27918488601666541</v>
      </c>
      <c r="J302" s="17">
        <f>STDEV($D$3:D302)</f>
        <v>1.3322399129742051E-2</v>
      </c>
      <c r="K302" s="4">
        <f t="shared" si="68"/>
        <v>1.6985524532502556E-3</v>
      </c>
      <c r="L302">
        <f t="shared" si="71"/>
        <v>1.1898090167741207</v>
      </c>
      <c r="M302">
        <f>RSQ($D$3:D302,$B$3:B302)</f>
        <v>7.8536167171021645E-2</v>
      </c>
      <c r="N302">
        <v>270</v>
      </c>
      <c r="O302" t="str">
        <f t="shared" si="69"/>
        <v/>
      </c>
      <c r="P302" t="str">
        <f t="shared" si="73"/>
        <v/>
      </c>
      <c r="Q302">
        <f t="shared" si="74"/>
        <v>0</v>
      </c>
      <c r="R302">
        <f t="shared" si="75"/>
        <v>0</v>
      </c>
      <c r="S302">
        <f t="shared" si="76"/>
        <v>0</v>
      </c>
      <c r="T302">
        <f t="shared" si="77"/>
        <v>0</v>
      </c>
      <c r="U302">
        <f t="shared" si="72"/>
        <v>0</v>
      </c>
      <c r="V302">
        <f t="shared" si="78"/>
        <v>0</v>
      </c>
      <c r="W302">
        <f t="shared" si="66"/>
        <v>0</v>
      </c>
      <c r="X302">
        <f>SUM($W$34:W302)</f>
        <v>111.19598795000005</v>
      </c>
      <c r="Y302">
        <f t="shared" si="79"/>
        <v>0</v>
      </c>
    </row>
    <row r="303" spans="1:25">
      <c r="A303">
        <v>101.8795685</v>
      </c>
      <c r="B303" s="2">
        <f t="shared" si="64"/>
        <v>-2.7176099385323449E-3</v>
      </c>
      <c r="C303">
        <v>94.558711790000004</v>
      </c>
      <c r="D303" s="3">
        <f t="shared" si="65"/>
        <v>9.7735933624280482E-3</v>
      </c>
      <c r="E303" s="3">
        <f t="shared" si="67"/>
        <v>1.0670320563864992E-2</v>
      </c>
      <c r="F303" s="3">
        <f>STDEV($E$32:E303)</f>
        <v>1.2911064882957205E-2</v>
      </c>
      <c r="G303" s="14">
        <f t="shared" si="70"/>
        <v>0.82644775319423658</v>
      </c>
      <c r="H303" s="15">
        <f>yint($B$3:B303,$D$3:D303)</f>
        <v>-1.3957231351421638E-4</v>
      </c>
      <c r="I303" s="16">
        <f>MyReg($B$3:B303,$D$3:D303)</f>
        <v>0.27861058247808446</v>
      </c>
      <c r="J303" s="17">
        <f>STDEV($D$3:D303)</f>
        <v>1.3312421980359354E-2</v>
      </c>
      <c r="K303" s="4">
        <f t="shared" si="68"/>
        <v>-8.9672720143694421E-4</v>
      </c>
      <c r="L303">
        <f t="shared" si="71"/>
        <v>0.82644775319423658</v>
      </c>
      <c r="M303">
        <f>RSQ($D$3:D303,$B$3:B303)</f>
        <v>7.8081620656440337E-2</v>
      </c>
      <c r="N303">
        <v>271</v>
      </c>
      <c r="O303" t="str">
        <f t="shared" si="69"/>
        <v/>
      </c>
      <c r="P303" t="str">
        <f t="shared" si="73"/>
        <v/>
      </c>
      <c r="Q303">
        <f t="shared" si="74"/>
        <v>0</v>
      </c>
      <c r="R303">
        <f t="shared" si="75"/>
        <v>0</v>
      </c>
      <c r="S303">
        <f t="shared" si="76"/>
        <v>0</v>
      </c>
      <c r="T303">
        <f t="shared" si="77"/>
        <v>0</v>
      </c>
      <c r="U303">
        <f t="shared" si="72"/>
        <v>0</v>
      </c>
      <c r="V303">
        <f t="shared" si="78"/>
        <v>0</v>
      </c>
      <c r="W303">
        <f t="shared" si="66"/>
        <v>0</v>
      </c>
      <c r="X303">
        <f>SUM($W$34:W303)</f>
        <v>111.19598795000005</v>
      </c>
      <c r="Y303">
        <f t="shared" si="79"/>
        <v>0</v>
      </c>
    </row>
    <row r="304" spans="1:25">
      <c r="A304">
        <v>103.01669459999999</v>
      </c>
      <c r="B304" s="2">
        <f t="shared" si="64"/>
        <v>1.1161473460696774E-2</v>
      </c>
      <c r="C304">
        <v>95.899210670000002</v>
      </c>
      <c r="D304" s="3">
        <f t="shared" si="65"/>
        <v>1.4176365716329079E-2</v>
      </c>
      <c r="E304" s="3">
        <f t="shared" si="67"/>
        <v>1.1143947724167848E-2</v>
      </c>
      <c r="F304" s="3">
        <f>STDEV($E$32:E304)</f>
        <v>1.2906034434015582E-2</v>
      </c>
      <c r="G304" s="14">
        <f t="shared" si="70"/>
        <v>0.86346799872131763</v>
      </c>
      <c r="H304" s="15">
        <f>yint($B$3:B304,$D$3:D304)</f>
        <v>-1.0289521574338226E-4</v>
      </c>
      <c r="I304" s="16">
        <f>MyReg($B$3:B304,$D$3:D304)</f>
        <v>0.28090495568932583</v>
      </c>
      <c r="J304" s="17">
        <f>STDEV($D$3:D304)</f>
        <v>1.3315647124446384E-2</v>
      </c>
      <c r="K304" s="4">
        <f t="shared" si="68"/>
        <v>3.0324179921612311E-3</v>
      </c>
      <c r="L304">
        <f t="shared" si="71"/>
        <v>0.86346799872131763</v>
      </c>
      <c r="M304">
        <f>RSQ($D$3:D304,$B$3:B304)</f>
        <v>7.9249569213119778E-2</v>
      </c>
      <c r="N304">
        <v>272</v>
      </c>
      <c r="O304" t="str">
        <f t="shared" si="69"/>
        <v/>
      </c>
      <c r="P304" t="str">
        <f t="shared" si="73"/>
        <v/>
      </c>
      <c r="Q304">
        <f t="shared" si="74"/>
        <v>0</v>
      </c>
      <c r="R304">
        <f t="shared" si="75"/>
        <v>0</v>
      </c>
      <c r="S304">
        <f t="shared" si="76"/>
        <v>0</v>
      </c>
      <c r="T304">
        <f t="shared" si="77"/>
        <v>0</v>
      </c>
      <c r="U304">
        <f t="shared" si="72"/>
        <v>0</v>
      </c>
      <c r="V304">
        <f t="shared" si="78"/>
        <v>0</v>
      </c>
      <c r="W304">
        <f t="shared" si="66"/>
        <v>0</v>
      </c>
      <c r="X304">
        <f>SUM($W$34:W304)</f>
        <v>111.19598795000005</v>
      </c>
      <c r="Y304">
        <f t="shared" si="79"/>
        <v>0</v>
      </c>
    </row>
    <row r="305" spans="1:25">
      <c r="A305">
        <v>104.8372013</v>
      </c>
      <c r="B305" s="2">
        <f t="shared" si="64"/>
        <v>1.7671957997378904E-2</v>
      </c>
      <c r="C305">
        <v>94.626914929999998</v>
      </c>
      <c r="D305" s="3">
        <f t="shared" si="65"/>
        <v>-1.3267009510413149E-2</v>
      </c>
      <c r="E305" s="3">
        <f t="shared" si="67"/>
        <v>-1.7966291713182231E-2</v>
      </c>
      <c r="F305" s="3">
        <f>STDEV($E$32:E305)</f>
        <v>1.2926525357094331E-2</v>
      </c>
      <c r="G305" s="14">
        <f t="shared" si="70"/>
        <v>-1.3898778841850163</v>
      </c>
      <c r="H305" s="15">
        <f>yint($B$3:B305,$D$3:D305)</f>
        <v>-1.6128880109184435E-4</v>
      </c>
      <c r="I305" s="16">
        <f>MyReg($B$3:B305,$D$3:D305)</f>
        <v>0.27504428227940819</v>
      </c>
      <c r="J305" s="17">
        <f>STDEV($D$3:D305)</f>
        <v>1.3315249065953945E-2</v>
      </c>
      <c r="K305" s="4">
        <f t="shared" si="68"/>
        <v>4.6992822027690836E-3</v>
      </c>
      <c r="L305">
        <f t="shared" si="71"/>
        <v>-1.3898778841850163</v>
      </c>
      <c r="M305">
        <f>RSQ($D$3:D305,$B$3:B305)</f>
        <v>7.6160666321150511E-2</v>
      </c>
      <c r="N305">
        <v>273</v>
      </c>
      <c r="O305" t="str">
        <f t="shared" si="69"/>
        <v/>
      </c>
      <c r="P305" t="str">
        <f t="shared" si="73"/>
        <v/>
      </c>
      <c r="Q305">
        <f t="shared" si="74"/>
        <v>0</v>
      </c>
      <c r="R305">
        <f t="shared" si="75"/>
        <v>0</v>
      </c>
      <c r="S305">
        <f t="shared" si="76"/>
        <v>0</v>
      </c>
      <c r="T305">
        <f t="shared" si="77"/>
        <v>0</v>
      </c>
      <c r="U305">
        <f t="shared" si="72"/>
        <v>0</v>
      </c>
      <c r="V305">
        <f t="shared" si="78"/>
        <v>0</v>
      </c>
      <c r="W305">
        <f t="shared" si="66"/>
        <v>0</v>
      </c>
      <c r="X305">
        <f>SUM($W$34:W305)</f>
        <v>111.19598795000005</v>
      </c>
      <c r="Y305">
        <f t="shared" si="79"/>
        <v>0</v>
      </c>
    </row>
    <row r="306" spans="1:25">
      <c r="A306">
        <v>104.45331179999999</v>
      </c>
      <c r="B306" s="2">
        <f t="shared" si="64"/>
        <v>-3.6617679148213708E-3</v>
      </c>
      <c r="C306">
        <v>92.630496390000005</v>
      </c>
      <c r="D306" s="3">
        <f t="shared" si="65"/>
        <v>-2.1097787468574228E-2</v>
      </c>
      <c r="E306" s="3">
        <f t="shared" si="67"/>
        <v>-1.9858189186297455E-2</v>
      </c>
      <c r="F306" s="3">
        <f>STDEV($E$32:E306)</f>
        <v>1.2956369800805834E-2</v>
      </c>
      <c r="G306" s="14">
        <f t="shared" si="70"/>
        <v>-1.5326970047630437</v>
      </c>
      <c r="H306" s="15">
        <f>yint($B$3:B306,$D$3:D306)</f>
        <v>-2.2717992832432538E-4</v>
      </c>
      <c r="I306" s="16">
        <f>MyReg($B$3:B306,$D$3:D306)</f>
        <v>0.27648348489115926</v>
      </c>
      <c r="J306" s="17">
        <f>STDEV($D$3:D306)</f>
        <v>1.3347730743380521E-2</v>
      </c>
      <c r="K306" s="4">
        <f t="shared" si="68"/>
        <v>-1.2395982822767716E-3</v>
      </c>
      <c r="L306">
        <f t="shared" si="71"/>
        <v>-1.5326970047630437</v>
      </c>
      <c r="M306">
        <f>RSQ($D$3:D306,$B$3:B306)</f>
        <v>7.6354467731487644E-2</v>
      </c>
      <c r="N306">
        <v>274</v>
      </c>
      <c r="O306" t="str">
        <f t="shared" si="69"/>
        <v>buyY</v>
      </c>
      <c r="P306" t="str">
        <f t="shared" si="73"/>
        <v/>
      </c>
      <c r="Q306">
        <f t="shared" si="74"/>
        <v>-10</v>
      </c>
      <c r="R306">
        <f t="shared" si="75"/>
        <v>0</v>
      </c>
      <c r="S306">
        <f t="shared" si="76"/>
        <v>10</v>
      </c>
      <c r="T306">
        <f t="shared" si="77"/>
        <v>0</v>
      </c>
      <c r="U306">
        <f t="shared" si="72"/>
        <v>20</v>
      </c>
      <c r="V306">
        <f t="shared" si="78"/>
        <v>-10</v>
      </c>
      <c r="W306">
        <f t="shared" si="66"/>
        <v>118.2281540999999</v>
      </c>
      <c r="X306">
        <f>SUM($W$34:W306)</f>
        <v>229.42414204999994</v>
      </c>
      <c r="Y306">
        <f t="shared" si="79"/>
        <v>0</v>
      </c>
    </row>
    <row r="307" spans="1:25">
      <c r="A307">
        <v>104.7107036</v>
      </c>
      <c r="B307" s="2">
        <f t="shared" si="64"/>
        <v>2.4641803650308743E-3</v>
      </c>
      <c r="C307">
        <v>92.518984700000004</v>
      </c>
      <c r="D307" s="3">
        <f t="shared" si="65"/>
        <v>-1.2038334495208288E-3</v>
      </c>
      <c r="E307" s="3">
        <f t="shared" si="67"/>
        <v>-1.652370590780587E-3</v>
      </c>
      <c r="F307" s="3">
        <f>STDEV($E$32:E307)</f>
        <v>1.2932999884254186E-2</v>
      </c>
      <c r="G307" s="14">
        <f t="shared" si="70"/>
        <v>-0.12776390671682705</v>
      </c>
      <c r="H307" s="15">
        <f>yint($B$3:B307,$D$3:D307)</f>
        <v>-2.3259948134974647E-4</v>
      </c>
      <c r="I307" s="16">
        <f>MyReg($B$3:B307,$D$3:D307)</f>
        <v>0.27641508400744458</v>
      </c>
      <c r="J307" s="17">
        <f>STDEV($D$3:D307)</f>
        <v>1.3325892425773655E-2</v>
      </c>
      <c r="K307" s="4">
        <f t="shared" si="68"/>
        <v>4.4853714125975811E-4</v>
      </c>
      <c r="L307">
        <f t="shared" si="71"/>
        <v>-0.12776390671682705</v>
      </c>
      <c r="M307">
        <f>RSQ($D$3:D307,$B$3:B307)</f>
        <v>7.6322194620887532E-2</v>
      </c>
      <c r="N307">
        <v>275</v>
      </c>
      <c r="O307" t="str">
        <f t="shared" si="69"/>
        <v/>
      </c>
      <c r="P307" t="str">
        <f t="shared" si="73"/>
        <v>close</v>
      </c>
      <c r="Q307">
        <f t="shared" si="74"/>
        <v>0</v>
      </c>
      <c r="R307">
        <f t="shared" si="75"/>
        <v>0</v>
      </c>
      <c r="S307">
        <f t="shared" si="76"/>
        <v>0</v>
      </c>
      <c r="T307">
        <f t="shared" si="77"/>
        <v>0</v>
      </c>
      <c r="U307">
        <f t="shared" si="72"/>
        <v>0</v>
      </c>
      <c r="V307">
        <f t="shared" si="78"/>
        <v>10</v>
      </c>
      <c r="W307">
        <f t="shared" si="66"/>
        <v>-121.91718899999998</v>
      </c>
      <c r="X307">
        <f>SUM($W$34:W307)</f>
        <v>107.50695304999996</v>
      </c>
      <c r="Y307">
        <f t="shared" si="79"/>
        <v>107.50695304999996</v>
      </c>
    </row>
    <row r="308" spans="1:25">
      <c r="A308">
        <v>106.2658752</v>
      </c>
      <c r="B308" s="2">
        <f t="shared" si="64"/>
        <v>1.4852078598772725E-2</v>
      </c>
      <c r="C308">
        <v>94.007153900000006</v>
      </c>
      <c r="D308" s="3">
        <f t="shared" si="65"/>
        <v>1.6085014387322839E-2</v>
      </c>
      <c r="E308" s="3">
        <f t="shared" si="67"/>
        <v>1.2124513143802137E-2</v>
      </c>
      <c r="F308" s="3">
        <f>STDEV($E$32:E308)</f>
        <v>1.2931591785243281E-2</v>
      </c>
      <c r="G308" s="14">
        <f t="shared" si="70"/>
        <v>0.93758860820505241</v>
      </c>
      <c r="H308" s="15">
        <f>yint($B$3:B308,$D$3:D308)</f>
        <v>-1.9363361862088897E-4</v>
      </c>
      <c r="I308" s="16">
        <f>MyReg($B$3:B308,$D$3:D308)</f>
        <v>0.27970057083355732</v>
      </c>
      <c r="J308" s="17">
        <f>STDEV($D$3:D308)</f>
        <v>1.3336426914250797E-2</v>
      </c>
      <c r="K308" s="4">
        <f t="shared" si="68"/>
        <v>3.9605012435207018E-3</v>
      </c>
      <c r="L308">
        <f t="shared" si="71"/>
        <v>0.93758860820505241</v>
      </c>
      <c r="M308">
        <f>RSQ($D$3:D308,$B$3:B308)</f>
        <v>7.8075026466595587E-2</v>
      </c>
      <c r="N308">
        <v>276</v>
      </c>
      <c r="O308" t="str">
        <f t="shared" si="69"/>
        <v/>
      </c>
      <c r="P308" t="str">
        <f t="shared" si="73"/>
        <v/>
      </c>
      <c r="Q308">
        <f t="shared" si="74"/>
        <v>0</v>
      </c>
      <c r="R308">
        <f t="shared" si="75"/>
        <v>0</v>
      </c>
      <c r="S308">
        <f t="shared" si="76"/>
        <v>0</v>
      </c>
      <c r="T308">
        <f t="shared" si="77"/>
        <v>0</v>
      </c>
      <c r="U308">
        <f t="shared" si="72"/>
        <v>0</v>
      </c>
      <c r="V308">
        <f t="shared" si="78"/>
        <v>0</v>
      </c>
      <c r="W308">
        <f t="shared" si="66"/>
        <v>0</v>
      </c>
      <c r="X308">
        <f>SUM($W$34:W308)</f>
        <v>107.50695304999996</v>
      </c>
      <c r="Y308">
        <f t="shared" si="79"/>
        <v>0</v>
      </c>
    </row>
    <row r="309" spans="1:25">
      <c r="A309">
        <v>109.490076</v>
      </c>
      <c r="B309" s="2">
        <f t="shared" si="64"/>
        <v>3.034088595169266E-2</v>
      </c>
      <c r="C309">
        <v>95.735655129999998</v>
      </c>
      <c r="D309" s="3">
        <f t="shared" si="65"/>
        <v>1.8386911615670049E-2</v>
      </c>
      <c r="E309" s="3">
        <f t="shared" si="67"/>
        <v>9.8967261005153684E-3</v>
      </c>
      <c r="F309" s="3">
        <f>STDEV($E$32:E309)</f>
        <v>1.2922967397008543E-2</v>
      </c>
      <c r="G309" s="14">
        <f t="shared" si="70"/>
        <v>0.76582458165191225</v>
      </c>
      <c r="H309" s="15">
        <f>yint($B$3:B309,$D$3:D309)</f>
        <v>-1.628691439258287E-4</v>
      </c>
      <c r="I309" s="16">
        <f>MyReg($B$3:B309,$D$3:D309)</f>
        <v>0.28519452836207548</v>
      </c>
      <c r="J309" s="17">
        <f>STDEV($D$3:D309)</f>
        <v>1.3356417463814088E-2</v>
      </c>
      <c r="K309" s="4">
        <f t="shared" si="68"/>
        <v>8.4901855151546801E-3</v>
      </c>
      <c r="L309">
        <f t="shared" si="71"/>
        <v>0.76582458165191225</v>
      </c>
      <c r="M309">
        <f>RSQ($D$3:D309,$B$3:B309)</f>
        <v>8.2006423285213834E-2</v>
      </c>
      <c r="N309">
        <v>277</v>
      </c>
      <c r="O309" t="str">
        <f t="shared" si="69"/>
        <v/>
      </c>
      <c r="P309" t="str">
        <f t="shared" si="73"/>
        <v/>
      </c>
      <c r="Q309">
        <f t="shared" si="74"/>
        <v>0</v>
      </c>
      <c r="R309">
        <f t="shared" si="75"/>
        <v>0</v>
      </c>
      <c r="S309">
        <f t="shared" si="76"/>
        <v>0</v>
      </c>
      <c r="T309">
        <f t="shared" si="77"/>
        <v>0</v>
      </c>
      <c r="U309">
        <f t="shared" si="72"/>
        <v>0</v>
      </c>
      <c r="V309">
        <f t="shared" si="78"/>
        <v>0</v>
      </c>
      <c r="W309">
        <f t="shared" si="66"/>
        <v>0</v>
      </c>
      <c r="X309">
        <f>SUM($W$34:W309)</f>
        <v>107.50695304999996</v>
      </c>
      <c r="Y309">
        <f t="shared" si="79"/>
        <v>0</v>
      </c>
    </row>
    <row r="310" spans="1:25">
      <c r="A310">
        <v>109.82075159999999</v>
      </c>
      <c r="B310" s="2">
        <f t="shared" si="64"/>
        <v>3.0201422090527382E-3</v>
      </c>
      <c r="C310">
        <v>97.379250209999995</v>
      </c>
      <c r="D310" s="3">
        <f t="shared" si="65"/>
        <v>1.7168055911542569E-2</v>
      </c>
      <c r="E310" s="3">
        <f t="shared" si="67"/>
        <v>1.6414060258410027E-2</v>
      </c>
      <c r="F310" s="3">
        <f>STDEV($E$32:E310)</f>
        <v>1.2938707390272206E-2</v>
      </c>
      <c r="G310" s="14">
        <f t="shared" si="70"/>
        <v>1.2686012414772374</v>
      </c>
      <c r="H310" s="15">
        <f>yint($B$3:B310,$D$3:D310)</f>
        <v>-1.0970576302758074E-4</v>
      </c>
      <c r="I310" s="16">
        <f>MyReg($B$3:B310,$D$3:D310)</f>
        <v>0.28598037985470248</v>
      </c>
      <c r="J310" s="17">
        <f>STDEV($D$3:D310)</f>
        <v>1.3370702217535453E-2</v>
      </c>
      <c r="K310" s="4">
        <f t="shared" si="68"/>
        <v>7.5399565313254157E-4</v>
      </c>
      <c r="L310">
        <f t="shared" si="71"/>
        <v>1.2686012414772374</v>
      </c>
      <c r="M310">
        <f>RSQ($D$3:D310,$B$3:B310)</f>
        <v>8.2025174995634553E-2</v>
      </c>
      <c r="N310">
        <v>278</v>
      </c>
      <c r="O310" t="str">
        <f t="shared" si="69"/>
        <v/>
      </c>
      <c r="P310" t="str">
        <f t="shared" si="73"/>
        <v/>
      </c>
      <c r="Q310">
        <f t="shared" si="74"/>
        <v>0</v>
      </c>
      <c r="R310">
        <f t="shared" si="75"/>
        <v>0</v>
      </c>
      <c r="S310">
        <f t="shared" si="76"/>
        <v>0</v>
      </c>
      <c r="T310">
        <f t="shared" si="77"/>
        <v>0</v>
      </c>
      <c r="U310">
        <f t="shared" si="72"/>
        <v>0</v>
      </c>
      <c r="V310">
        <f t="shared" si="78"/>
        <v>0</v>
      </c>
      <c r="W310">
        <f t="shared" si="66"/>
        <v>0</v>
      </c>
      <c r="X310">
        <f>SUM($W$34:W310)</f>
        <v>107.50695304999996</v>
      </c>
      <c r="Y310">
        <f t="shared" si="79"/>
        <v>0</v>
      </c>
    </row>
    <row r="311" spans="1:25">
      <c r="A311">
        <v>110.3146982</v>
      </c>
      <c r="B311" s="2">
        <f t="shared" si="64"/>
        <v>4.4977528636764592E-3</v>
      </c>
      <c r="C311">
        <v>96.634270779999994</v>
      </c>
      <c r="D311" s="3">
        <f t="shared" si="65"/>
        <v>-7.6502892391699471E-3</v>
      </c>
      <c r="E311" s="3">
        <f t="shared" si="67"/>
        <v>-8.79560395512698E-3</v>
      </c>
      <c r="F311" s="3">
        <f>STDEV($E$32:E311)</f>
        <v>1.2925488004741649E-2</v>
      </c>
      <c r="G311" s="14">
        <f t="shared" si="70"/>
        <v>-0.6804852514582318</v>
      </c>
      <c r="H311" s="15">
        <f>yint($B$3:B311,$D$3:D311)</f>
        <v>-1.3800477877008114E-4</v>
      </c>
      <c r="I311" s="16">
        <f>MyReg($B$3:B311,$D$3:D311)</f>
        <v>0.28532459066195348</v>
      </c>
      <c r="J311" s="17">
        <f>STDEV($D$3:D311)</f>
        <v>1.3356076771086934E-2</v>
      </c>
      <c r="K311" s="4">
        <f t="shared" si="68"/>
        <v>1.1453147159570336E-3</v>
      </c>
      <c r="L311">
        <f t="shared" si="71"/>
        <v>-0.6804852514582318</v>
      </c>
      <c r="M311">
        <f>RSQ($D$3:D311,$B$3:B311)</f>
        <v>8.158753570863167E-2</v>
      </c>
      <c r="N311">
        <v>279</v>
      </c>
      <c r="O311" t="str">
        <f t="shared" si="69"/>
        <v/>
      </c>
      <c r="P311" t="str">
        <f t="shared" si="73"/>
        <v/>
      </c>
      <c r="Q311">
        <f t="shared" si="74"/>
        <v>0</v>
      </c>
      <c r="R311">
        <f t="shared" si="75"/>
        <v>0</v>
      </c>
      <c r="S311">
        <f t="shared" si="76"/>
        <v>0</v>
      </c>
      <c r="T311">
        <f t="shared" si="77"/>
        <v>0</v>
      </c>
      <c r="U311">
        <f t="shared" si="72"/>
        <v>0</v>
      </c>
      <c r="V311">
        <f t="shared" si="78"/>
        <v>0</v>
      </c>
      <c r="W311">
        <f t="shared" si="66"/>
        <v>0</v>
      </c>
      <c r="X311">
        <f>SUM($W$34:W311)</f>
        <v>107.50695304999996</v>
      </c>
      <c r="Y311">
        <f t="shared" si="79"/>
        <v>0</v>
      </c>
    </row>
    <row r="312" spans="1:25">
      <c r="A312">
        <v>110.1768216</v>
      </c>
      <c r="B312" s="2">
        <f t="shared" si="64"/>
        <v>-1.2498479554377141E-3</v>
      </c>
      <c r="C312">
        <v>95.75710101</v>
      </c>
      <c r="D312" s="3">
        <f t="shared" si="65"/>
        <v>-9.0772120793148163E-3</v>
      </c>
      <c r="E312" s="3">
        <f t="shared" si="67"/>
        <v>-8.5544840873713595E-3</v>
      </c>
      <c r="F312" s="3">
        <f>STDEV($E$32:E312)</f>
        <v>1.291172382125956E-2</v>
      </c>
      <c r="G312" s="14">
        <f t="shared" si="70"/>
        <v>-0.66253617300008627</v>
      </c>
      <c r="H312" s="15">
        <f>yint($B$3:B312,$D$3:D312)</f>
        <v>-1.6579393104482404E-4</v>
      </c>
      <c r="I312" s="16">
        <f>MyReg($B$3:B312,$D$3:D312)</f>
        <v>0.28558198566931253</v>
      </c>
      <c r="J312" s="17">
        <f>STDEV($D$3:D312)</f>
        <v>1.3344362158244669E-2</v>
      </c>
      <c r="K312" s="4">
        <f t="shared" si="68"/>
        <v>-5.227279919434568E-4</v>
      </c>
      <c r="L312">
        <f t="shared" si="71"/>
        <v>-0.66253617300008627</v>
      </c>
      <c r="M312">
        <f>RSQ($D$3:D312,$B$3:B312)</f>
        <v>8.1617449240536821E-2</v>
      </c>
      <c r="N312">
        <v>280</v>
      </c>
      <c r="O312" t="str">
        <f t="shared" si="69"/>
        <v/>
      </c>
      <c r="P312" t="str">
        <f t="shared" si="73"/>
        <v/>
      </c>
      <c r="Q312">
        <f t="shared" si="74"/>
        <v>0</v>
      </c>
      <c r="R312">
        <f t="shared" si="75"/>
        <v>0</v>
      </c>
      <c r="S312">
        <f t="shared" si="76"/>
        <v>0</v>
      </c>
      <c r="T312">
        <f t="shared" si="77"/>
        <v>0</v>
      </c>
      <c r="U312">
        <f t="shared" si="72"/>
        <v>0</v>
      </c>
      <c r="V312">
        <f t="shared" si="78"/>
        <v>0</v>
      </c>
      <c r="W312">
        <f t="shared" si="66"/>
        <v>0</v>
      </c>
      <c r="X312">
        <f>SUM($W$34:W312)</f>
        <v>107.50695304999996</v>
      </c>
      <c r="Y312">
        <f t="shared" si="79"/>
        <v>0</v>
      </c>
    </row>
    <row r="313" spans="1:25">
      <c r="A313">
        <v>112.60413269999999</v>
      </c>
      <c r="B313" s="2">
        <f t="shared" si="64"/>
        <v>2.2031050313036052E-2</v>
      </c>
      <c r="C313">
        <v>96.055187259999997</v>
      </c>
      <c r="D313" s="3">
        <f t="shared" si="65"/>
        <v>3.1129414618438355E-3</v>
      </c>
      <c r="E313" s="3">
        <f t="shared" si="67"/>
        <v>-2.9780277125397128E-3</v>
      </c>
      <c r="F313" s="3">
        <f>STDEV($E$32:E313)</f>
        <v>1.2889676112040303E-2</v>
      </c>
      <c r="G313" s="14">
        <f t="shared" si="70"/>
        <v>-0.23103976288108</v>
      </c>
      <c r="H313" s="15">
        <f>yint($B$3:B313,$D$3:D313)</f>
        <v>-1.7493072870510988E-4</v>
      </c>
      <c r="I313" s="16">
        <f>MyReg($B$3:B313,$D$3:D313)</f>
        <v>0.28441221884827911</v>
      </c>
      <c r="J313" s="17">
        <f>STDEV($D$3:D313)</f>
        <v>1.3324029648672853E-2</v>
      </c>
      <c r="K313" s="4">
        <f t="shared" si="68"/>
        <v>6.0909691743835483E-3</v>
      </c>
      <c r="L313">
        <f t="shared" si="71"/>
        <v>-0.23103976288108</v>
      </c>
      <c r="M313">
        <f>RSQ($D$3:D313,$B$3:B313)</f>
        <v>8.1620937580258429E-2</v>
      </c>
      <c r="N313">
        <v>281</v>
      </c>
      <c r="O313" t="str">
        <f t="shared" si="69"/>
        <v/>
      </c>
      <c r="P313" t="str">
        <f t="shared" si="73"/>
        <v/>
      </c>
      <c r="Q313">
        <f t="shared" si="74"/>
        <v>0</v>
      </c>
      <c r="R313">
        <f t="shared" si="75"/>
        <v>0</v>
      </c>
      <c r="S313">
        <f t="shared" si="76"/>
        <v>0</v>
      </c>
      <c r="T313">
        <f t="shared" si="77"/>
        <v>0</v>
      </c>
      <c r="U313">
        <f t="shared" si="72"/>
        <v>0</v>
      </c>
      <c r="V313">
        <f t="shared" si="78"/>
        <v>0</v>
      </c>
      <c r="W313">
        <f t="shared" si="66"/>
        <v>0</v>
      </c>
      <c r="X313">
        <f>SUM($W$34:W313)</f>
        <v>107.50695304999996</v>
      </c>
      <c r="Y313">
        <f t="shared" si="79"/>
        <v>0</v>
      </c>
    </row>
    <row r="314" spans="1:25">
      <c r="A314">
        <v>113.7577735</v>
      </c>
      <c r="B314" s="2">
        <f t="shared" si="64"/>
        <v>1.0245101776801884E-2</v>
      </c>
      <c r="C314">
        <v>97.088823149999996</v>
      </c>
      <c r="D314" s="3">
        <f t="shared" si="65"/>
        <v>1.0760854457575282E-2</v>
      </c>
      <c r="E314" s="3">
        <f t="shared" si="67"/>
        <v>7.9825532637502073E-3</v>
      </c>
      <c r="F314" s="3">
        <f>STDEV($E$32:E314)</f>
        <v>1.2876361976960515E-2</v>
      </c>
      <c r="G314" s="14">
        <f t="shared" si="70"/>
        <v>0.61993855702668754</v>
      </c>
      <c r="H314" s="15">
        <f>yint($B$3:B314,$D$3:D314)</f>
        <v>-1.4992527470163988E-4</v>
      </c>
      <c r="I314" s="16">
        <f>MyReg($B$3:B314,$D$3:D314)</f>
        <v>0.28581721610195571</v>
      </c>
      <c r="J314" s="17">
        <f>STDEV($D$3:D314)</f>
        <v>1.331664000943043E-2</v>
      </c>
      <c r="K314" s="4">
        <f t="shared" si="68"/>
        <v>2.7783011938250749E-3</v>
      </c>
      <c r="L314">
        <f t="shared" si="71"/>
        <v>0.61993855702668754</v>
      </c>
      <c r="M314">
        <f>RSQ($D$3:D314,$B$3:B314)</f>
        <v>8.2396563792056537E-2</v>
      </c>
      <c r="N314">
        <v>282</v>
      </c>
      <c r="O314" t="str">
        <f t="shared" si="69"/>
        <v/>
      </c>
      <c r="P314" t="str">
        <f t="shared" si="73"/>
        <v/>
      </c>
      <c r="Q314">
        <f t="shared" si="74"/>
        <v>0</v>
      </c>
      <c r="R314">
        <f t="shared" si="75"/>
        <v>0</v>
      </c>
      <c r="S314">
        <f t="shared" si="76"/>
        <v>0</v>
      </c>
      <c r="T314">
        <f t="shared" si="77"/>
        <v>0</v>
      </c>
      <c r="U314">
        <f t="shared" si="72"/>
        <v>0</v>
      </c>
      <c r="V314">
        <f t="shared" si="78"/>
        <v>0</v>
      </c>
      <c r="W314">
        <f t="shared" si="66"/>
        <v>0</v>
      </c>
      <c r="X314">
        <f>SUM($W$34:W314)</f>
        <v>107.50695304999996</v>
      </c>
      <c r="Y314">
        <f t="shared" si="79"/>
        <v>0</v>
      </c>
    </row>
    <row r="315" spans="1:25">
      <c r="A315">
        <v>114.3303885</v>
      </c>
      <c r="B315" s="2">
        <f t="shared" si="64"/>
        <v>5.0336340311723749E-3</v>
      </c>
      <c r="C315">
        <v>97.783952279999994</v>
      </c>
      <c r="D315" s="3">
        <f t="shared" si="65"/>
        <v>7.1597235134474692E-3</v>
      </c>
      <c r="E315" s="3">
        <f t="shared" si="67"/>
        <v>5.8500401526440492E-3</v>
      </c>
      <c r="F315" s="3">
        <f>STDEV($E$32:E315)</f>
        <v>1.2858828347970646E-2</v>
      </c>
      <c r="G315" s="14">
        <f t="shared" si="70"/>
        <v>0.45494348274485602</v>
      </c>
      <c r="H315" s="15">
        <f>yint($B$3:B315,$D$3:D315)</f>
        <v>-1.3141457547642508E-4</v>
      </c>
      <c r="I315" s="16">
        <f>MyReg($B$3:B315,$D$3:D315)</f>
        <v>0.28629374470916813</v>
      </c>
      <c r="J315" s="17">
        <f>STDEV($D$3:D315)</f>
        <v>1.3301450703930814E-2</v>
      </c>
      <c r="K315" s="4">
        <f t="shared" si="68"/>
        <v>1.3096833608034198E-3</v>
      </c>
      <c r="L315">
        <f t="shared" si="71"/>
        <v>0.45494348274485602</v>
      </c>
      <c r="M315">
        <f>RSQ($D$3:D315,$B$3:B315)</f>
        <v>8.2625271722959956E-2</v>
      </c>
      <c r="N315">
        <v>283</v>
      </c>
      <c r="O315" t="str">
        <f t="shared" si="69"/>
        <v/>
      </c>
      <c r="P315" t="str">
        <f t="shared" si="73"/>
        <v/>
      </c>
      <c r="Q315">
        <f t="shared" si="74"/>
        <v>0</v>
      </c>
      <c r="R315">
        <f t="shared" si="75"/>
        <v>0</v>
      </c>
      <c r="S315">
        <f t="shared" si="76"/>
        <v>0</v>
      </c>
      <c r="T315">
        <f t="shared" si="77"/>
        <v>0</v>
      </c>
      <c r="U315">
        <f t="shared" si="72"/>
        <v>0</v>
      </c>
      <c r="V315">
        <f t="shared" si="78"/>
        <v>0</v>
      </c>
      <c r="W315">
        <f t="shared" si="66"/>
        <v>0</v>
      </c>
      <c r="X315">
        <f>SUM($W$34:W315)</f>
        <v>107.50695304999996</v>
      </c>
      <c r="Y315">
        <f t="shared" si="79"/>
        <v>0</v>
      </c>
    </row>
    <row r="316" spans="1:25">
      <c r="A316">
        <v>116.4728842</v>
      </c>
      <c r="B316" s="2">
        <f t="shared" si="64"/>
        <v>1.8739512111427818E-2</v>
      </c>
      <c r="C316">
        <v>96.386567940000006</v>
      </c>
      <c r="D316" s="3">
        <f t="shared" si="65"/>
        <v>-1.4290528327170086E-2</v>
      </c>
      <c r="E316" s="3">
        <f t="shared" si="67"/>
        <v>-1.9346859135780273E-2</v>
      </c>
      <c r="F316" s="3">
        <f>STDEV($E$32:E316)</f>
        <v>1.2885596519136795E-2</v>
      </c>
      <c r="G316" s="14">
        <f t="shared" si="70"/>
        <v>-1.501432945463383</v>
      </c>
      <c r="H316" s="15">
        <f>yint($B$3:B316,$D$3:D316)</f>
        <v>-1.8995068515832042E-4</v>
      </c>
      <c r="I316" s="16">
        <f>MyReg($B$3:B316,$D$3:D316)</f>
        <v>0.27995827546487695</v>
      </c>
      <c r="J316" s="17">
        <f>STDEV($D$3:D316)</f>
        <v>1.330470642771747E-2</v>
      </c>
      <c r="K316" s="4">
        <f t="shared" si="68"/>
        <v>5.056330808610187E-3</v>
      </c>
      <c r="L316">
        <f t="shared" si="71"/>
        <v>-1.501432945463383</v>
      </c>
      <c r="M316">
        <f>RSQ($D$3:D316,$B$3:B316)</f>
        <v>7.918613516773311E-2</v>
      </c>
      <c r="N316">
        <v>284</v>
      </c>
      <c r="O316" t="str">
        <f t="shared" si="69"/>
        <v>buyY</v>
      </c>
      <c r="P316" t="str">
        <f t="shared" si="73"/>
        <v/>
      </c>
      <c r="Q316">
        <f t="shared" si="74"/>
        <v>-10</v>
      </c>
      <c r="R316">
        <f t="shared" si="75"/>
        <v>0</v>
      </c>
      <c r="S316">
        <f t="shared" si="76"/>
        <v>10</v>
      </c>
      <c r="T316">
        <f t="shared" si="77"/>
        <v>0</v>
      </c>
      <c r="U316">
        <f t="shared" si="72"/>
        <v>20</v>
      </c>
      <c r="V316">
        <f t="shared" si="78"/>
        <v>-10</v>
      </c>
      <c r="W316">
        <f t="shared" si="66"/>
        <v>200.8631625999999</v>
      </c>
      <c r="X316">
        <f>SUM($W$34:W316)</f>
        <v>308.37011564999989</v>
      </c>
      <c r="Y316">
        <f t="shared" si="79"/>
        <v>0</v>
      </c>
    </row>
    <row r="317" spans="1:25">
      <c r="A317">
        <v>114.1715248</v>
      </c>
      <c r="B317" s="2">
        <f t="shared" si="64"/>
        <v>-1.975875686265521E-2</v>
      </c>
      <c r="C317">
        <v>97.489608270000005</v>
      </c>
      <c r="D317" s="3">
        <f t="shared" si="65"/>
        <v>1.1443921633215887E-2</v>
      </c>
      <c r="E317" s="3">
        <f t="shared" si="67"/>
        <v>1.6985944362005782E-2</v>
      </c>
      <c r="F317" s="3">
        <f>STDEV($E$32:E317)</f>
        <v>1.2903886800690292E-2</v>
      </c>
      <c r="G317" s="14">
        <f t="shared" si="70"/>
        <v>1.3163432556690688</v>
      </c>
      <c r="H317" s="15">
        <f>yint($B$3:B317,$D$3:D317)</f>
        <v>-1.3230781499290066E-4</v>
      </c>
      <c r="I317" s="16">
        <f>MyReg($B$3:B317,$D$3:D317)</f>
        <v>0.27378822217411652</v>
      </c>
      <c r="J317" s="17">
        <f>STDEV($D$3:D317)</f>
        <v>1.3299223132236757E-2</v>
      </c>
      <c r="K317" s="4">
        <f t="shared" si="68"/>
        <v>-5.5420227287898945E-3</v>
      </c>
      <c r="L317">
        <f t="shared" si="71"/>
        <v>1.3163432556690688</v>
      </c>
      <c r="M317">
        <f>RSQ($D$3:D317,$B$3:B317)</f>
        <v>7.6111562596725343E-2</v>
      </c>
      <c r="N317">
        <v>285</v>
      </c>
      <c r="O317" t="str">
        <f t="shared" si="69"/>
        <v/>
      </c>
      <c r="P317" t="str">
        <f t="shared" si="73"/>
        <v>close</v>
      </c>
      <c r="Q317">
        <f t="shared" si="74"/>
        <v>0</v>
      </c>
      <c r="R317">
        <f t="shared" si="75"/>
        <v>0</v>
      </c>
      <c r="S317">
        <f t="shared" si="76"/>
        <v>0</v>
      </c>
      <c r="T317">
        <f t="shared" si="77"/>
        <v>0</v>
      </c>
      <c r="U317">
        <f t="shared" si="72"/>
        <v>0</v>
      </c>
      <c r="V317">
        <f t="shared" si="78"/>
        <v>10</v>
      </c>
      <c r="W317">
        <f t="shared" si="66"/>
        <v>-166.81916529999995</v>
      </c>
      <c r="X317">
        <f>SUM($W$34:W317)</f>
        <v>141.55095034999994</v>
      </c>
      <c r="Y317">
        <f t="shared" si="79"/>
        <v>141.55095034999994</v>
      </c>
    </row>
    <row r="318" spans="1:25">
      <c r="A318">
        <v>114.92925510000001</v>
      </c>
      <c r="B318" s="2">
        <f t="shared" si="64"/>
        <v>6.6367713081467552E-3</v>
      </c>
      <c r="C318">
        <v>94.654178540000004</v>
      </c>
      <c r="D318" s="3">
        <f t="shared" si="65"/>
        <v>-2.9084430436392819E-2</v>
      </c>
      <c r="E318" s="3">
        <f t="shared" si="67"/>
        <v>-3.0651485004886601E-2</v>
      </c>
      <c r="F318" s="3">
        <f>STDEV($E$32:E318)</f>
        <v>1.3005157232296545E-2</v>
      </c>
      <c r="G318" s="14">
        <f t="shared" si="70"/>
        <v>-2.3568715439108874</v>
      </c>
      <c r="H318" s="15">
        <f>yint($B$3:B318,$D$3:D318)</f>
        <v>-2.2791444380212587E-4</v>
      </c>
      <c r="I318" s="16">
        <f>MyReg($B$3:B318,$D$3:D318)</f>
        <v>0.27045816843086784</v>
      </c>
      <c r="J318" s="17">
        <f>STDEV($D$3:D318)</f>
        <v>1.3378569670058623E-2</v>
      </c>
      <c r="K318" s="4">
        <f t="shared" si="68"/>
        <v>1.5670545684937803E-3</v>
      </c>
      <c r="L318">
        <f t="shared" si="71"/>
        <v>-2.3568715439108874</v>
      </c>
      <c r="M318">
        <f>RSQ($D$3:D318,$B$3:B318)</f>
        <v>7.3208522069368301E-2</v>
      </c>
      <c r="N318">
        <v>286</v>
      </c>
      <c r="O318" t="str">
        <f t="shared" si="69"/>
        <v>buyY</v>
      </c>
      <c r="P318" t="str">
        <f t="shared" si="73"/>
        <v/>
      </c>
      <c r="Q318">
        <f t="shared" si="74"/>
        <v>-15</v>
      </c>
      <c r="R318">
        <f t="shared" si="75"/>
        <v>-5</v>
      </c>
      <c r="S318">
        <f t="shared" si="76"/>
        <v>15</v>
      </c>
      <c r="T318">
        <f t="shared" si="77"/>
        <v>5</v>
      </c>
      <c r="U318">
        <f t="shared" si="72"/>
        <v>30</v>
      </c>
      <c r="V318">
        <f t="shared" si="78"/>
        <v>-15</v>
      </c>
      <c r="W318">
        <f t="shared" si="66"/>
        <v>304.12614840000003</v>
      </c>
      <c r="X318">
        <f>SUM($W$34:W318)</f>
        <v>445.67709874999997</v>
      </c>
      <c r="Y318">
        <f t="shared" si="79"/>
        <v>0</v>
      </c>
    </row>
    <row r="319" spans="1:25">
      <c r="A319">
        <v>112.73123219999999</v>
      </c>
      <c r="B319" s="2">
        <f t="shared" si="64"/>
        <v>-1.9125007797949366E-2</v>
      </c>
      <c r="C319">
        <v>94.141566789999999</v>
      </c>
      <c r="D319" s="3">
        <f t="shared" si="65"/>
        <v>-5.4156272644992611E-3</v>
      </c>
      <c r="E319" s="3">
        <f t="shared" si="67"/>
        <v>-1.504760342021811E-5</v>
      </c>
      <c r="F319" s="3">
        <f>STDEV($E$32:E319)</f>
        <v>1.2982502709104136E-2</v>
      </c>
      <c r="G319" s="14">
        <f t="shared" si="70"/>
        <v>-1.1590679977032314E-3</v>
      </c>
      <c r="H319" s="15">
        <f>yint($B$3:B319,$D$3:D319)</f>
        <v>-2.2796483963078421E-4</v>
      </c>
      <c r="I319" s="16">
        <f>MyReg($B$3:B319,$D$3:D319)</f>
        <v>0.2704634097980802</v>
      </c>
      <c r="J319" s="17">
        <f>STDEV($D$3:D319)</f>
        <v>1.3360739732850509E-2</v>
      </c>
      <c r="K319" s="4">
        <f t="shared" si="68"/>
        <v>-5.400579661079043E-3</v>
      </c>
      <c r="L319">
        <f t="shared" si="71"/>
        <v>-1.1590679977032314E-3</v>
      </c>
      <c r="M319">
        <f>RSQ($D$3:D319,$B$3:B319)</f>
        <v>7.3673974402931858E-2</v>
      </c>
      <c r="N319">
        <v>287</v>
      </c>
      <c r="O319" t="str">
        <f t="shared" si="69"/>
        <v/>
      </c>
      <c r="P319" t="str">
        <f t="shared" si="73"/>
        <v>close</v>
      </c>
      <c r="Q319">
        <f t="shared" si="74"/>
        <v>0</v>
      </c>
      <c r="R319">
        <f t="shared" si="75"/>
        <v>0</v>
      </c>
      <c r="S319">
        <f t="shared" si="76"/>
        <v>0</v>
      </c>
      <c r="T319">
        <f t="shared" si="77"/>
        <v>0</v>
      </c>
      <c r="U319">
        <f t="shared" si="72"/>
        <v>0</v>
      </c>
      <c r="V319">
        <f t="shared" si="78"/>
        <v>15</v>
      </c>
      <c r="W319">
        <f t="shared" si="66"/>
        <v>-278.84498114999991</v>
      </c>
      <c r="X319">
        <f>SUM($W$34:W319)</f>
        <v>166.83211760000006</v>
      </c>
      <c r="Y319">
        <f t="shared" si="79"/>
        <v>166.83211760000006</v>
      </c>
    </row>
    <row r="320" spans="1:25">
      <c r="A320">
        <v>114.5995235</v>
      </c>
      <c r="B320" s="2">
        <f t="shared" si="64"/>
        <v>1.6572969739968919E-2</v>
      </c>
      <c r="C320">
        <v>93.502489409999995</v>
      </c>
      <c r="D320" s="3">
        <f t="shared" si="65"/>
        <v>-6.7884718917583181E-3</v>
      </c>
      <c r="E320" s="3">
        <f t="shared" si="67"/>
        <v>-1.0958290406601935E-2</v>
      </c>
      <c r="F320" s="3">
        <f>STDEV($E$32:E320)</f>
        <v>1.297475507950744E-2</v>
      </c>
      <c r="G320" s="14">
        <f t="shared" si="70"/>
        <v>-0.8445855308598198</v>
      </c>
      <c r="H320" s="15">
        <f>yint($B$3:B320,$D$3:D320)</f>
        <v>-2.6108042047436736E-4</v>
      </c>
      <c r="I320" s="16">
        <f>MyReg($B$3:B320,$D$3:D320)</f>
        <v>0.26735696769131334</v>
      </c>
      <c r="J320" s="17">
        <f>STDEV($D$3:D320)</f>
        <v>1.3344918979192768E-2</v>
      </c>
      <c r="K320" s="4">
        <f t="shared" si="68"/>
        <v>4.1698185148436161E-3</v>
      </c>
      <c r="L320">
        <f t="shared" si="71"/>
        <v>-0.8445855308598198</v>
      </c>
      <c r="M320">
        <f>RSQ($D$3:D320,$B$3:B320)</f>
        <v>7.226184771571649E-2</v>
      </c>
      <c r="N320">
        <v>288</v>
      </c>
      <c r="O320" t="str">
        <f t="shared" si="69"/>
        <v/>
      </c>
      <c r="P320" t="str">
        <f t="shared" si="73"/>
        <v/>
      </c>
      <c r="Q320">
        <f t="shared" si="74"/>
        <v>0</v>
      </c>
      <c r="R320">
        <f t="shared" si="75"/>
        <v>0</v>
      </c>
      <c r="S320">
        <f t="shared" si="76"/>
        <v>0</v>
      </c>
      <c r="T320">
        <f t="shared" si="77"/>
        <v>0</v>
      </c>
      <c r="U320">
        <f t="shared" si="72"/>
        <v>0</v>
      </c>
      <c r="V320">
        <f t="shared" si="78"/>
        <v>0</v>
      </c>
      <c r="W320">
        <f t="shared" si="66"/>
        <v>0</v>
      </c>
      <c r="X320">
        <f>SUM($W$34:W320)</f>
        <v>166.83211760000006</v>
      </c>
      <c r="Y320">
        <f t="shared" si="79"/>
        <v>0</v>
      </c>
    </row>
    <row r="321" spans="1:25">
      <c r="A321">
        <v>116.6490573</v>
      </c>
      <c r="B321" s="2">
        <f t="shared" si="64"/>
        <v>1.788431345440971E-2</v>
      </c>
      <c r="C321">
        <v>94.968698579999995</v>
      </c>
      <c r="D321" s="3">
        <f t="shared" si="65"/>
        <v>1.5680963996271842E-2</v>
      </c>
      <c r="E321" s="3">
        <f t="shared" si="67"/>
        <v>1.1067264630583941E-2</v>
      </c>
      <c r="F321" s="3">
        <f>STDEV($E$32:E321)</f>
        <v>1.2969959544446925E-2</v>
      </c>
      <c r="G321" s="14">
        <f t="shared" si="70"/>
        <v>0.85329985746350145</v>
      </c>
      <c r="H321" s="15">
        <f>yint($B$3:B321,$D$3:D321)</f>
        <v>-2.2802357721455322E-4</v>
      </c>
      <c r="I321" s="16">
        <f>MyReg($B$3:B321,$D$3:D321)</f>
        <v>0.27072456291066832</v>
      </c>
      <c r="J321" s="17">
        <f>STDEV($D$3:D321)</f>
        <v>1.3353267467805047E-2</v>
      </c>
      <c r="K321" s="4">
        <f t="shared" si="68"/>
        <v>4.6136993656879007E-3</v>
      </c>
      <c r="L321">
        <f t="shared" si="71"/>
        <v>0.85329985746350145</v>
      </c>
      <c r="M321">
        <f>RSQ($D$3:D321,$B$3:B321)</f>
        <v>7.4156971475516878E-2</v>
      </c>
      <c r="N321">
        <v>289</v>
      </c>
      <c r="O321" t="str">
        <f t="shared" si="69"/>
        <v/>
      </c>
      <c r="P321" t="str">
        <f t="shared" si="73"/>
        <v/>
      </c>
      <c r="Q321">
        <f t="shared" si="74"/>
        <v>0</v>
      </c>
      <c r="R321">
        <f t="shared" si="75"/>
        <v>0</v>
      </c>
      <c r="S321">
        <f t="shared" si="76"/>
        <v>0</v>
      </c>
      <c r="T321">
        <f t="shared" si="77"/>
        <v>0</v>
      </c>
      <c r="U321">
        <f t="shared" si="72"/>
        <v>0</v>
      </c>
      <c r="V321">
        <f t="shared" si="78"/>
        <v>0</v>
      </c>
      <c r="W321">
        <f t="shared" si="66"/>
        <v>0</v>
      </c>
      <c r="X321">
        <f>SUM($W$34:W321)</f>
        <v>166.83211760000006</v>
      </c>
      <c r="Y321">
        <f t="shared" si="79"/>
        <v>0</v>
      </c>
    </row>
    <row r="322" spans="1:25">
      <c r="A322">
        <v>116.34865120000001</v>
      </c>
      <c r="B322" s="2">
        <f t="shared" si="64"/>
        <v>-2.575298137450009E-3</v>
      </c>
      <c r="C322">
        <v>94.204389800000001</v>
      </c>
      <c r="D322" s="3">
        <f t="shared" si="65"/>
        <v>-8.0480073058614432E-3</v>
      </c>
      <c r="E322" s="3">
        <f t="shared" si="67"/>
        <v>-7.0993059844082452E-3</v>
      </c>
      <c r="F322" s="3">
        <f>STDEV($E$32:E322)</f>
        <v>1.2953499328185857E-2</v>
      </c>
      <c r="G322" s="14">
        <f t="shared" si="70"/>
        <v>-0.5480608602001994</v>
      </c>
      <c r="H322" s="15">
        <f>yint($B$3:B322,$D$3:D322)</f>
        <v>-2.5050162356979148E-4</v>
      </c>
      <c r="I322" s="16">
        <f>MyReg($B$3:B322,$D$3:D322)</f>
        <v>0.27111412373199817</v>
      </c>
      <c r="J322" s="17">
        <f>STDEV($D$3:D322)</f>
        <v>1.3339772973586218E-2</v>
      </c>
      <c r="K322" s="4">
        <f t="shared" si="68"/>
        <v>-9.4870132145319765E-4</v>
      </c>
      <c r="L322">
        <f t="shared" si="71"/>
        <v>-0.5480608602001994</v>
      </c>
      <c r="M322">
        <f>RSQ($D$3:D322,$B$3:B322)</f>
        <v>7.4300269302591149E-2</v>
      </c>
      <c r="N322">
        <v>290</v>
      </c>
      <c r="O322" t="str">
        <f t="shared" si="69"/>
        <v/>
      </c>
      <c r="P322" t="str">
        <f t="shared" si="73"/>
        <v/>
      </c>
      <c r="Q322">
        <f t="shared" si="74"/>
        <v>0</v>
      </c>
      <c r="R322">
        <f t="shared" si="75"/>
        <v>0</v>
      </c>
      <c r="S322">
        <f t="shared" si="76"/>
        <v>0</v>
      </c>
      <c r="T322">
        <f t="shared" si="77"/>
        <v>0</v>
      </c>
      <c r="U322">
        <f t="shared" si="72"/>
        <v>0</v>
      </c>
      <c r="V322">
        <f t="shared" si="78"/>
        <v>0</v>
      </c>
      <c r="W322">
        <f t="shared" si="66"/>
        <v>0</v>
      </c>
      <c r="X322">
        <f>SUM($W$34:W322)</f>
        <v>166.83211760000006</v>
      </c>
      <c r="Y322">
        <f t="shared" si="79"/>
        <v>0</v>
      </c>
    </row>
    <row r="323" spans="1:25">
      <c r="A323">
        <v>117.3819294</v>
      </c>
      <c r="B323" s="2">
        <f t="shared" si="64"/>
        <v>8.8808781996434355E-3</v>
      </c>
      <c r="C323">
        <v>93.025250650000004</v>
      </c>
      <c r="D323" s="3">
        <f t="shared" si="65"/>
        <v>-1.2516817448776654E-2</v>
      </c>
      <c r="E323" s="3">
        <f t="shared" si="67"/>
        <v>-1.4610772116773521E-2</v>
      </c>
      <c r="F323" s="3">
        <f>STDEV($E$32:E323)</f>
        <v>1.2957780261437714E-2</v>
      </c>
      <c r="G323" s="14">
        <f t="shared" si="70"/>
        <v>-1.127567517119819</v>
      </c>
      <c r="H323" s="15">
        <f>yint($B$3:B323,$D$3:D323)</f>
        <v>-2.9496782262971428E-4</v>
      </c>
      <c r="I323" s="16">
        <f>MyReg($B$3:B323,$D$3:D323)</f>
        <v>0.26899620025444049</v>
      </c>
      <c r="J323" s="17">
        <f>STDEV($D$3:D323)</f>
        <v>1.3336938175938904E-2</v>
      </c>
      <c r="K323" s="4">
        <f t="shared" si="68"/>
        <v>2.0939546679968665E-3</v>
      </c>
      <c r="L323">
        <f t="shared" si="71"/>
        <v>-1.127567517119819</v>
      </c>
      <c r="M323">
        <f>RSQ($D$3:D323,$B$3:B323)</f>
        <v>7.3034051463093858E-2</v>
      </c>
      <c r="N323">
        <v>291</v>
      </c>
      <c r="O323" t="str">
        <f t="shared" si="69"/>
        <v/>
      </c>
      <c r="P323" t="str">
        <f t="shared" si="73"/>
        <v/>
      </c>
      <c r="Q323">
        <f t="shared" si="74"/>
        <v>0</v>
      </c>
      <c r="R323">
        <f t="shared" si="75"/>
        <v>0</v>
      </c>
      <c r="S323">
        <f t="shared" si="76"/>
        <v>0</v>
      </c>
      <c r="T323">
        <f t="shared" si="77"/>
        <v>0</v>
      </c>
      <c r="U323">
        <f t="shared" si="72"/>
        <v>0</v>
      </c>
      <c r="V323">
        <f t="shared" si="78"/>
        <v>0</v>
      </c>
      <c r="W323">
        <f t="shared" si="66"/>
        <v>0</v>
      </c>
      <c r="X323">
        <f>SUM($W$34:W323)</f>
        <v>166.83211760000006</v>
      </c>
      <c r="Y323">
        <f t="shared" si="79"/>
        <v>0</v>
      </c>
    </row>
    <row r="324" spans="1:25">
      <c r="A324">
        <v>116.3287311</v>
      </c>
      <c r="B324" s="2">
        <f t="shared" ref="B324:B387" si="80">(A324-A323)/A323</f>
        <v>-8.9724057645282265E-3</v>
      </c>
      <c r="C324">
        <v>91.708503680000007</v>
      </c>
      <c r="D324" s="3">
        <f t="shared" ref="D324:D387" si="81">(C324-C323)/C323</f>
        <v>-1.4154726386646903E-2</v>
      </c>
      <c r="E324" s="3">
        <f t="shared" si="67"/>
        <v>-1.1392595881301228E-2</v>
      </c>
      <c r="F324" s="3">
        <f>STDEV($E$32:E324)</f>
        <v>1.2951243921410425E-2</v>
      </c>
      <c r="G324" s="14">
        <f t="shared" si="70"/>
        <v>-0.8796526380348294</v>
      </c>
      <c r="H324" s="15">
        <f>yint($B$3:B324,$D$3:D324)</f>
        <v>-3.3157543989458671E-4</v>
      </c>
      <c r="I324" s="16">
        <f>MyReg($B$3:B324,$D$3:D324)</f>
        <v>0.2708922366239962</v>
      </c>
      <c r="J324" s="17">
        <f>STDEV($D$3:D324)</f>
        <v>1.3339043194926613E-2</v>
      </c>
      <c r="K324" s="4">
        <f t="shared" si="68"/>
        <v>-2.7621305053456744E-3</v>
      </c>
      <c r="L324">
        <f t="shared" si="71"/>
        <v>-0.8796526380348294</v>
      </c>
      <c r="M324">
        <f>RSQ($D$3:D324,$B$3:B324)</f>
        <v>7.3930300473094637E-2</v>
      </c>
      <c r="N324">
        <v>292</v>
      </c>
      <c r="O324" t="str">
        <f t="shared" si="69"/>
        <v/>
      </c>
      <c r="P324" t="str">
        <f t="shared" si="73"/>
        <v/>
      </c>
      <c r="Q324">
        <f t="shared" si="74"/>
        <v>0</v>
      </c>
      <c r="R324">
        <f t="shared" si="75"/>
        <v>0</v>
      </c>
      <c r="S324">
        <f t="shared" si="76"/>
        <v>0</v>
      </c>
      <c r="T324">
        <f t="shared" si="77"/>
        <v>0</v>
      </c>
      <c r="U324">
        <f t="shared" si="72"/>
        <v>0</v>
      </c>
      <c r="V324">
        <f t="shared" si="78"/>
        <v>0</v>
      </c>
      <c r="W324">
        <f t="shared" si="66"/>
        <v>0</v>
      </c>
      <c r="X324">
        <f>SUM($W$34:W324)</f>
        <v>166.83211760000006</v>
      </c>
      <c r="Y324">
        <f t="shared" si="79"/>
        <v>0</v>
      </c>
    </row>
    <row r="325" spans="1:25">
      <c r="A325">
        <v>118.3854839</v>
      </c>
      <c r="B325" s="2">
        <f t="shared" si="80"/>
        <v>1.7680522950361644E-2</v>
      </c>
      <c r="C325">
        <v>91.593046400000006</v>
      </c>
      <c r="D325" s="3">
        <f t="shared" si="81"/>
        <v>-1.2589593698188349E-3</v>
      </c>
      <c r="E325" s="3">
        <f t="shared" si="67"/>
        <v>-5.6704034068876157E-3</v>
      </c>
      <c r="F325" s="3">
        <f>STDEV($E$32:E325)</f>
        <v>1.29326025437702E-2</v>
      </c>
      <c r="G325" s="14">
        <f t="shared" si="70"/>
        <v>-0.43845802789471183</v>
      </c>
      <c r="H325" s="15">
        <f>yint($B$3:B325,$D$3:D325)</f>
        <v>-3.4824181742773108E-4</v>
      </c>
      <c r="I325" s="16">
        <f>MyReg($B$3:B325,$D$3:D325)</f>
        <v>0.26920503810093216</v>
      </c>
      <c r="J325" s="17">
        <f>STDEV($D$3:D325)</f>
        <v>1.3318449577802226E-2</v>
      </c>
      <c r="K325" s="4">
        <f t="shared" si="68"/>
        <v>4.4114440370687808E-3</v>
      </c>
      <c r="L325">
        <f t="shared" si="71"/>
        <v>-0.43845802789471183</v>
      </c>
      <c r="M325">
        <f>RSQ($D$3:D325,$B$3:B325)</f>
        <v>7.3381555014111893E-2</v>
      </c>
      <c r="N325">
        <v>293</v>
      </c>
      <c r="O325" t="str">
        <f t="shared" si="69"/>
        <v/>
      </c>
      <c r="P325" t="str">
        <f t="shared" si="73"/>
        <v/>
      </c>
      <c r="Q325">
        <f t="shared" si="74"/>
        <v>0</v>
      </c>
      <c r="R325">
        <f t="shared" si="75"/>
        <v>0</v>
      </c>
      <c r="S325">
        <f t="shared" si="76"/>
        <v>0</v>
      </c>
      <c r="T325">
        <f t="shared" si="77"/>
        <v>0</v>
      </c>
      <c r="U325">
        <f t="shared" si="72"/>
        <v>0</v>
      </c>
      <c r="V325">
        <f t="shared" si="78"/>
        <v>0</v>
      </c>
      <c r="W325">
        <f t="shared" si="66"/>
        <v>0</v>
      </c>
      <c r="X325">
        <f>SUM($W$34:W325)</f>
        <v>166.83211760000006</v>
      </c>
      <c r="Y325">
        <f t="shared" si="79"/>
        <v>0</v>
      </c>
    </row>
    <row r="326" spans="1:25">
      <c r="A326">
        <v>116.6108186</v>
      </c>
      <c r="B326" s="2">
        <f t="shared" si="80"/>
        <v>-1.4990565072142222E-2</v>
      </c>
      <c r="C326">
        <v>90.323693109999994</v>
      </c>
      <c r="D326" s="3">
        <f t="shared" si="81"/>
        <v>-1.3858620712936698E-2</v>
      </c>
      <c r="E326" s="3">
        <f t="shared" si="67"/>
        <v>-9.4061277309092466E-3</v>
      </c>
      <c r="F326" s="3">
        <f>STDEV($E$32:E326)</f>
        <v>1.2920893539932721E-2</v>
      </c>
      <c r="G326" s="14">
        <f t="shared" si="70"/>
        <v>-0.72797811558767966</v>
      </c>
      <c r="H326" s="15">
        <f>yint($B$3:B326,$D$3:D326)</f>
        <v>-3.7891665283510393E-4</v>
      </c>
      <c r="I326" s="16">
        <f>MyReg($B$3:B326,$D$3:D326)</f>
        <v>0.27174268011834296</v>
      </c>
      <c r="J326" s="17">
        <f>STDEV($D$3:D326)</f>
        <v>1.331950174018545E-2</v>
      </c>
      <c r="K326" s="4">
        <f t="shared" si="68"/>
        <v>-4.4524929820274521E-3</v>
      </c>
      <c r="L326">
        <f t="shared" si="71"/>
        <v>-0.72797811558767966</v>
      </c>
      <c r="M326">
        <f>RSQ($D$3:D326,$B$3:B326)</f>
        <v>7.4841013499516759E-2</v>
      </c>
      <c r="N326">
        <v>294</v>
      </c>
      <c r="O326" t="str">
        <f t="shared" si="69"/>
        <v/>
      </c>
      <c r="P326" t="str">
        <f t="shared" si="73"/>
        <v/>
      </c>
      <c r="Q326">
        <f t="shared" si="74"/>
        <v>0</v>
      </c>
      <c r="R326">
        <f t="shared" si="75"/>
        <v>0</v>
      </c>
      <c r="S326">
        <f t="shared" si="76"/>
        <v>0</v>
      </c>
      <c r="T326">
        <f t="shared" si="77"/>
        <v>0</v>
      </c>
      <c r="U326">
        <f t="shared" si="72"/>
        <v>0</v>
      </c>
      <c r="V326">
        <f t="shared" si="78"/>
        <v>0</v>
      </c>
      <c r="W326">
        <f t="shared" si="66"/>
        <v>0</v>
      </c>
      <c r="X326">
        <f>SUM($W$34:W326)</f>
        <v>166.83211760000006</v>
      </c>
      <c r="Y326">
        <f t="shared" si="79"/>
        <v>0</v>
      </c>
    </row>
    <row r="327" spans="1:25">
      <c r="A327">
        <v>117.8950256</v>
      </c>
      <c r="B327" s="2">
        <f t="shared" si="80"/>
        <v>1.101276035463827E-2</v>
      </c>
      <c r="C327">
        <v>92.105422829999995</v>
      </c>
      <c r="D327" s="3">
        <f t="shared" si="81"/>
        <v>1.9726050371192592E-2</v>
      </c>
      <c r="E327" s="3">
        <f t="shared" si="67"/>
        <v>1.7027765875431804E-2</v>
      </c>
      <c r="F327" s="3">
        <f>STDEV($E$32:E327)</f>
        <v>1.293948927410497E-2</v>
      </c>
      <c r="G327" s="14">
        <f t="shared" si="70"/>
        <v>1.3159534750346336</v>
      </c>
      <c r="H327" s="15">
        <f>yint($B$3:B327,$D$3:D327)</f>
        <v>-3.2808994147234181E-4</v>
      </c>
      <c r="I327" s="16">
        <f>MyReg($B$3:B327,$D$3:D327)</f>
        <v>0.27480616482846693</v>
      </c>
      <c r="J327" s="17">
        <f>STDEV($D$3:D327)</f>
        <v>1.3344901514569718E-2</v>
      </c>
      <c r="K327" s="4">
        <f t="shared" si="68"/>
        <v>2.6982844957607888E-3</v>
      </c>
      <c r="L327">
        <f t="shared" si="71"/>
        <v>1.3159534750346336</v>
      </c>
      <c r="M327">
        <f>RSQ($D$3:D327,$B$3:B327)</f>
        <v>7.6154004193610542E-2</v>
      </c>
      <c r="N327">
        <v>295</v>
      </c>
      <c r="O327" t="str">
        <f t="shared" si="69"/>
        <v/>
      </c>
      <c r="P327" t="str">
        <f t="shared" si="73"/>
        <v/>
      </c>
      <c r="Q327">
        <f t="shared" si="74"/>
        <v>0</v>
      </c>
      <c r="R327">
        <f t="shared" si="75"/>
        <v>0</v>
      </c>
      <c r="S327">
        <f t="shared" si="76"/>
        <v>0</v>
      </c>
      <c r="T327">
        <f t="shared" si="77"/>
        <v>0</v>
      </c>
      <c r="U327">
        <f t="shared" si="72"/>
        <v>0</v>
      </c>
      <c r="V327">
        <f t="shared" si="78"/>
        <v>0</v>
      </c>
      <c r="W327">
        <f t="shared" si="66"/>
        <v>0</v>
      </c>
      <c r="X327">
        <f>SUM($W$34:W327)</f>
        <v>166.83211760000006</v>
      </c>
      <c r="Y327">
        <f t="shared" si="79"/>
        <v>0</v>
      </c>
    </row>
    <row r="328" spans="1:25">
      <c r="A328">
        <v>117.3112005</v>
      </c>
      <c r="B328" s="2">
        <f t="shared" si="80"/>
        <v>-4.9520757727372555E-3</v>
      </c>
      <c r="C328">
        <v>94.469469079999996</v>
      </c>
      <c r="D328" s="3">
        <f t="shared" si="81"/>
        <v>2.5666743361716583E-2</v>
      </c>
      <c r="E328" s="3">
        <f t="shared" si="67"/>
        <v>2.7257404386458337E-2</v>
      </c>
      <c r="F328" s="3">
        <f>STDEV($E$32:E328)</f>
        <v>1.3017751055298362E-2</v>
      </c>
      <c r="G328" s="14">
        <f t="shared" si="70"/>
        <v>2.0938643142483726</v>
      </c>
      <c r="H328" s="15">
        <f>yint($B$3:B328,$D$3:D328)</f>
        <v>-2.4267125487755073E-4</v>
      </c>
      <c r="I328" s="16">
        <f>MyReg($B$3:B328,$D$3:D328)</f>
        <v>0.27220701615377441</v>
      </c>
      <c r="J328" s="17">
        <f>STDEV($D$3:D328)</f>
        <v>1.3400939713349051E-2</v>
      </c>
      <c r="K328" s="4">
        <f t="shared" si="68"/>
        <v>-1.5906610247417557E-3</v>
      </c>
      <c r="L328">
        <f t="shared" si="71"/>
        <v>2.0938643142483726</v>
      </c>
      <c r="M328">
        <f>RSQ($D$3:D328,$B$3:B328)</f>
        <v>7.3907638222269229E-2</v>
      </c>
      <c r="N328">
        <v>296</v>
      </c>
      <c r="O328" t="str">
        <f t="shared" si="69"/>
        <v>sellY</v>
      </c>
      <c r="P328" t="str">
        <f t="shared" si="73"/>
        <v/>
      </c>
      <c r="Q328">
        <f t="shared" si="74"/>
        <v>15</v>
      </c>
      <c r="R328">
        <f t="shared" si="75"/>
        <v>5</v>
      </c>
      <c r="S328">
        <f t="shared" si="76"/>
        <v>-15</v>
      </c>
      <c r="T328">
        <f t="shared" si="77"/>
        <v>-5</v>
      </c>
      <c r="U328">
        <f t="shared" si="72"/>
        <v>30</v>
      </c>
      <c r="V328">
        <f t="shared" si="78"/>
        <v>15</v>
      </c>
      <c r="W328">
        <f t="shared" si="66"/>
        <v>-342.62597130000006</v>
      </c>
      <c r="X328">
        <f>SUM($W$34:W328)</f>
        <v>-175.7938537</v>
      </c>
      <c r="Y328">
        <f t="shared" si="79"/>
        <v>0</v>
      </c>
    </row>
    <row r="329" spans="1:25">
      <c r="A329">
        <v>117.34113139999999</v>
      </c>
      <c r="B329" s="2">
        <f t="shared" si="80"/>
        <v>2.5514102551526223E-4</v>
      </c>
      <c r="C329">
        <v>92.541607780000007</v>
      </c>
      <c r="D329" s="3">
        <f t="shared" si="81"/>
        <v>-2.0407241818702401E-2</v>
      </c>
      <c r="E329" s="3">
        <f t="shared" si="67"/>
        <v>-2.0172107714805414E-2</v>
      </c>
      <c r="F329" s="3">
        <f>STDEV($E$32:E329)</f>
        <v>1.3046079928160812E-2</v>
      </c>
      <c r="G329" s="14">
        <f t="shared" si="70"/>
        <v>-1.5462198473322708</v>
      </c>
      <c r="H329" s="15">
        <f>yint($B$3:B329,$D$3:D329)</f>
        <v>-3.0461393321979692E-4</v>
      </c>
      <c r="I329" s="16">
        <f>MyReg($B$3:B329,$D$3:D329)</f>
        <v>0.27231931510228513</v>
      </c>
      <c r="J329" s="17">
        <f>STDEV($D$3:D329)</f>
        <v>1.3427482546020407E-2</v>
      </c>
      <c r="K329" s="4">
        <f t="shared" si="68"/>
        <v>-2.3513410389698606E-4</v>
      </c>
      <c r="L329">
        <f t="shared" si="71"/>
        <v>-1.5462198473322708</v>
      </c>
      <c r="M329">
        <f>RSQ($D$3:D329,$B$3:B329)</f>
        <v>7.3450616018036929E-2</v>
      </c>
      <c r="N329">
        <v>297</v>
      </c>
      <c r="O329" t="str">
        <f t="shared" si="69"/>
        <v>buyY</v>
      </c>
      <c r="P329" t="str">
        <f t="shared" si="73"/>
        <v>close&amp;buy</v>
      </c>
      <c r="Q329">
        <f t="shared" si="74"/>
        <v>-10</v>
      </c>
      <c r="R329">
        <f t="shared" si="75"/>
        <v>0</v>
      </c>
      <c r="S329">
        <f t="shared" si="76"/>
        <v>10</v>
      </c>
      <c r="T329">
        <f t="shared" si="77"/>
        <v>0</v>
      </c>
      <c r="U329">
        <f t="shared" si="72"/>
        <v>20</v>
      </c>
      <c r="V329">
        <f t="shared" si="78"/>
        <v>-25</v>
      </c>
      <c r="W329">
        <f t="shared" si="66"/>
        <v>619.98809049999966</v>
      </c>
      <c r="X329">
        <f>SUM($W$34:W329)</f>
        <v>444.19423679999966</v>
      </c>
      <c r="Y329">
        <f t="shared" si="79"/>
        <v>0</v>
      </c>
    </row>
    <row r="330" spans="1:25">
      <c r="A330">
        <v>118.8673853</v>
      </c>
      <c r="B330" s="2">
        <f t="shared" si="80"/>
        <v>1.300698128431375E-2</v>
      </c>
      <c r="C330">
        <v>91.851002969999996</v>
      </c>
      <c r="D330" s="3">
        <f t="shared" si="81"/>
        <v>-7.4626411466914601E-3</v>
      </c>
      <c r="E330" s="3">
        <f t="shared" si="67"/>
        <v>-1.0639312578416145E-2</v>
      </c>
      <c r="F330" s="3">
        <f>STDEV($E$32:E330)</f>
        <v>1.3037395498296179E-2</v>
      </c>
      <c r="G330" s="14">
        <f t="shared" si="70"/>
        <v>-0.81606119717750125</v>
      </c>
      <c r="H330" s="15">
        <f>yint($B$3:B330,$D$3:D330)</f>
        <v>-3.3583663245718347E-4</v>
      </c>
      <c r="I330" s="16">
        <f>MyReg($B$3:B330,$D$3:D330)</f>
        <v>0.27004790638223691</v>
      </c>
      <c r="J330" s="17">
        <f>STDEV($D$3:D330)</f>
        <v>1.3413019032963856E-2</v>
      </c>
      <c r="K330" s="4">
        <f t="shared" si="68"/>
        <v>3.176671431724684E-3</v>
      </c>
      <c r="L330">
        <f t="shared" si="71"/>
        <v>-0.81606119717750125</v>
      </c>
      <c r="M330">
        <f>RSQ($D$3:D330,$B$3:B330)</f>
        <v>7.2355821902396478E-2</v>
      </c>
      <c r="N330">
        <v>298</v>
      </c>
      <c r="O330" t="str">
        <f t="shared" si="69"/>
        <v/>
      </c>
      <c r="P330" t="str">
        <f t="shared" si="73"/>
        <v>buyhold</v>
      </c>
      <c r="Q330">
        <f t="shared" si="74"/>
        <v>-10</v>
      </c>
      <c r="R330">
        <f t="shared" si="75"/>
        <v>0</v>
      </c>
      <c r="S330">
        <f t="shared" si="76"/>
        <v>10</v>
      </c>
      <c r="T330">
        <f t="shared" si="77"/>
        <v>0</v>
      </c>
      <c r="U330">
        <f t="shared" si="72"/>
        <v>20</v>
      </c>
      <c r="V330">
        <f t="shared" si="78"/>
        <v>0</v>
      </c>
      <c r="W330">
        <f t="shared" si="66"/>
        <v>0</v>
      </c>
      <c r="X330">
        <f>SUM($W$34:W330)</f>
        <v>444.19423679999966</v>
      </c>
      <c r="Y330">
        <f t="shared" si="79"/>
        <v>0</v>
      </c>
    </row>
    <row r="331" spans="1:25">
      <c r="A331">
        <v>117.49996899999999</v>
      </c>
      <c r="B331" s="2">
        <f t="shared" si="80"/>
        <v>-1.1503713121550442E-2</v>
      </c>
      <c r="C331">
        <v>92.827603969999998</v>
      </c>
      <c r="D331" s="3">
        <f t="shared" si="81"/>
        <v>1.0632447860356798E-2</v>
      </c>
      <c r="E331" s="3">
        <f t="shared" si="67"/>
        <v>1.399694085166686E-2</v>
      </c>
      <c r="F331" s="3">
        <f>STDEV($E$32:E331)</f>
        <v>1.3042542046065312E-2</v>
      </c>
      <c r="G331" s="14">
        <f t="shared" si="70"/>
        <v>1.0731758273985761</v>
      </c>
      <c r="H331" s="15">
        <f>yint($B$3:B331,$D$3:D331)</f>
        <v>-2.9137237107050053E-4</v>
      </c>
      <c r="I331" s="16">
        <f>MyReg($B$3:B331,$D$3:D331)</f>
        <v>0.26714162529683932</v>
      </c>
      <c r="J331" s="17">
        <f>STDEV($D$3:D331)</f>
        <v>1.3405790906175155E-2</v>
      </c>
      <c r="K331" s="4">
        <f t="shared" si="68"/>
        <v>-3.3644929913100624E-3</v>
      </c>
      <c r="L331">
        <f t="shared" si="71"/>
        <v>1.0731758273985761</v>
      </c>
      <c r="M331">
        <f>RSQ($D$3:D331,$B$3:B331)</f>
        <v>7.0844365526489525E-2</v>
      </c>
      <c r="N331">
        <v>299</v>
      </c>
      <c r="O331" t="str">
        <f t="shared" si="69"/>
        <v/>
      </c>
      <c r="P331" t="str">
        <f t="shared" si="73"/>
        <v>close</v>
      </c>
      <c r="Q331">
        <f t="shared" si="74"/>
        <v>0</v>
      </c>
      <c r="R331">
        <f t="shared" si="75"/>
        <v>0</v>
      </c>
      <c r="S331">
        <f t="shared" si="76"/>
        <v>0</v>
      </c>
      <c r="T331">
        <f t="shared" si="77"/>
        <v>0</v>
      </c>
      <c r="U331">
        <f t="shared" si="72"/>
        <v>0</v>
      </c>
      <c r="V331">
        <f t="shared" si="78"/>
        <v>10</v>
      </c>
      <c r="W331">
        <f t="shared" si="66"/>
        <v>-246.72365029999995</v>
      </c>
      <c r="X331">
        <f>SUM($W$34:W331)</f>
        <v>197.47058649999971</v>
      </c>
      <c r="Y331">
        <f t="shared" si="79"/>
        <v>197.47058649999971</v>
      </c>
    </row>
    <row r="332" spans="1:25">
      <c r="A332">
        <v>117.1103651</v>
      </c>
      <c r="B332" s="2">
        <f t="shared" si="80"/>
        <v>-3.3157787471416044E-3</v>
      </c>
      <c r="C332">
        <v>91.995352209999993</v>
      </c>
      <c r="D332" s="3">
        <f t="shared" si="81"/>
        <v>-8.9655633066751603E-3</v>
      </c>
      <c r="E332" s="3">
        <f t="shared" si="67"/>
        <v>-7.7628006188762266E-3</v>
      </c>
      <c r="F332" s="3">
        <f>STDEV($E$32:E332)</f>
        <v>1.3027562369556054E-2</v>
      </c>
      <c r="G332" s="14">
        <f t="shared" si="70"/>
        <v>-0.59587514522417617</v>
      </c>
      <c r="H332" s="15">
        <f>yint($B$3:B332,$D$3:D332)</f>
        <v>-3.1526684248539343E-4</v>
      </c>
      <c r="I332" s="16">
        <f>MyReg($B$3:B332,$D$3:D332)</f>
        <v>0.26765834302985786</v>
      </c>
      <c r="J332" s="17">
        <f>STDEV($D$3:D332)</f>
        <v>1.3394222480867149E-2</v>
      </c>
      <c r="K332" s="4">
        <f t="shared" si="68"/>
        <v>-1.2027626877989333E-3</v>
      </c>
      <c r="L332">
        <f t="shared" si="71"/>
        <v>-0.59587514522417617</v>
      </c>
      <c r="M332">
        <f>RSQ($D$3:D332,$B$3:B332)</f>
        <v>7.1043412232744324E-2</v>
      </c>
      <c r="N332">
        <v>300</v>
      </c>
      <c r="O332" t="str">
        <f t="shared" si="69"/>
        <v/>
      </c>
      <c r="P332" t="str">
        <f t="shared" si="73"/>
        <v/>
      </c>
      <c r="Q332">
        <f t="shared" si="74"/>
        <v>0</v>
      </c>
      <c r="R332">
        <f t="shared" si="75"/>
        <v>0</v>
      </c>
      <c r="S332">
        <f t="shared" si="76"/>
        <v>0</v>
      </c>
      <c r="T332">
        <f t="shared" si="77"/>
        <v>0</v>
      </c>
      <c r="U332">
        <f t="shared" si="72"/>
        <v>0</v>
      </c>
      <c r="V332">
        <f t="shared" si="78"/>
        <v>0</v>
      </c>
      <c r="W332">
        <f t="shared" ref="W332:W395" si="82">IF(ABS(V332)&gt;0,V332*(C332-A332),0)</f>
        <v>0</v>
      </c>
      <c r="X332">
        <f>SUM($W$34:W332)</f>
        <v>197.47058649999971</v>
      </c>
      <c r="Y332">
        <f t="shared" si="79"/>
        <v>0</v>
      </c>
    </row>
    <row r="333" spans="1:25">
      <c r="A333">
        <v>117.0687515</v>
      </c>
      <c r="B333" s="2">
        <f t="shared" si="80"/>
        <v>-3.5533660888562057E-4</v>
      </c>
      <c r="C333">
        <v>93.581552840000001</v>
      </c>
      <c r="D333" s="3">
        <f t="shared" si="81"/>
        <v>1.7242182261329349E-2</v>
      </c>
      <c r="E333" s="3">
        <f t="shared" si="67"/>
        <v>1.7598971637262213E-2</v>
      </c>
      <c r="F333" s="3">
        <f>STDEV($E$32:E333)</f>
        <v>1.3047528114056106E-2</v>
      </c>
      <c r="G333" s="14">
        <f t="shared" si="70"/>
        <v>1.3488356938892383</v>
      </c>
      <c r="H333" s="15">
        <f>yint($B$3:B333,$D$3:D333)</f>
        <v>-2.6177916316540015E-4</v>
      </c>
      <c r="I333" s="16">
        <f>MyReg($B$3:B333,$D$3:D333)</f>
        <v>0.26738087321041759</v>
      </c>
      <c r="J333" s="17">
        <f>STDEV($D$3:D333)</f>
        <v>1.3408087508719078E-2</v>
      </c>
      <c r="K333" s="4">
        <f t="shared" si="68"/>
        <v>-3.5678937593286604E-4</v>
      </c>
      <c r="L333">
        <f t="shared" si="71"/>
        <v>1.3488356938892383</v>
      </c>
      <c r="M333">
        <f>RSQ($D$3:D333,$B$3:B333)</f>
        <v>7.0536274830158424E-2</v>
      </c>
      <c r="N333">
        <v>301</v>
      </c>
      <c r="O333" t="str">
        <f t="shared" si="69"/>
        <v/>
      </c>
      <c r="P333" t="str">
        <f t="shared" si="73"/>
        <v/>
      </c>
      <c r="Q333">
        <f t="shared" si="74"/>
        <v>0</v>
      </c>
      <c r="R333">
        <f t="shared" si="75"/>
        <v>0</v>
      </c>
      <c r="S333">
        <f t="shared" si="76"/>
        <v>0</v>
      </c>
      <c r="T333">
        <f t="shared" si="77"/>
        <v>0</v>
      </c>
      <c r="U333">
        <f t="shared" si="72"/>
        <v>0</v>
      </c>
      <c r="V333">
        <f t="shared" si="78"/>
        <v>0</v>
      </c>
      <c r="W333">
        <f t="shared" si="82"/>
        <v>0</v>
      </c>
      <c r="X333">
        <f>SUM($W$34:W333)</f>
        <v>197.47058649999971</v>
      </c>
      <c r="Y333">
        <f t="shared" si="79"/>
        <v>0</v>
      </c>
    </row>
    <row r="334" spans="1:25">
      <c r="A334">
        <v>116.6009944</v>
      </c>
      <c r="B334" s="2">
        <f t="shared" si="80"/>
        <v>-3.9955760525899175E-3</v>
      </c>
      <c r="C334">
        <v>92.512010979999999</v>
      </c>
      <c r="D334" s="3">
        <f t="shared" si="81"/>
        <v>-1.142898175486186E-2</v>
      </c>
      <c r="E334" s="3">
        <f t="shared" si="67"/>
        <v>-1.006487853235046E-2</v>
      </c>
      <c r="F334" s="3">
        <f>STDEV($E$32:E334)</f>
        <v>1.3037643152218056E-2</v>
      </c>
      <c r="G334" s="14">
        <f t="shared" si="70"/>
        <v>-0.77198604186663533</v>
      </c>
      <c r="H334" s="15">
        <f>yint($B$3:B334,$D$3:D334)</f>
        <v>-2.9262946635494845E-4</v>
      </c>
      <c r="I334" s="16">
        <f>MyReg($B$3:B334,$D$3:D334)</f>
        <v>0.26816502603221049</v>
      </c>
      <c r="J334" s="17">
        <f>STDEV($D$3:D334)</f>
        <v>1.3402220943500865E-2</v>
      </c>
      <c r="K334" s="4">
        <f t="shared" si="68"/>
        <v>-1.3641032225114006E-3</v>
      </c>
      <c r="L334">
        <f t="shared" si="71"/>
        <v>-0.77198604186663533</v>
      </c>
      <c r="M334">
        <f>RSQ($D$3:D334,$B$3:B334)</f>
        <v>7.0823273888196897E-2</v>
      </c>
      <c r="N334">
        <v>302</v>
      </c>
      <c r="O334" t="str">
        <f t="shared" si="69"/>
        <v/>
      </c>
      <c r="P334" t="str">
        <f t="shared" si="73"/>
        <v/>
      </c>
      <c r="Q334">
        <f t="shared" si="74"/>
        <v>0</v>
      </c>
      <c r="R334">
        <f t="shared" si="75"/>
        <v>0</v>
      </c>
      <c r="S334">
        <f t="shared" si="76"/>
        <v>0</v>
      </c>
      <c r="T334">
        <f t="shared" si="77"/>
        <v>0</v>
      </c>
      <c r="U334">
        <f t="shared" si="72"/>
        <v>0</v>
      </c>
      <c r="V334">
        <f t="shared" si="78"/>
        <v>0</v>
      </c>
      <c r="W334">
        <f t="shared" si="82"/>
        <v>0</v>
      </c>
      <c r="X334">
        <f>SUM($W$34:W334)</f>
        <v>197.47058649999971</v>
      </c>
      <c r="Y334">
        <f t="shared" si="79"/>
        <v>0</v>
      </c>
    </row>
    <row r="335" spans="1:25">
      <c r="A335">
        <v>116.5020249</v>
      </c>
      <c r="B335" s="2">
        <f t="shared" si="80"/>
        <v>-8.4878778701058576E-4</v>
      </c>
      <c r="C335">
        <v>93.901517269999999</v>
      </c>
      <c r="D335" s="3">
        <f t="shared" si="81"/>
        <v>1.5019739332013815E-2</v>
      </c>
      <c r="E335" s="3">
        <f t="shared" si="67"/>
        <v>1.5492800515174288E-2</v>
      </c>
      <c r="F335" s="3">
        <f>STDEV($E$32:E335)</f>
        <v>1.3048269612632736E-2</v>
      </c>
      <c r="G335" s="14">
        <f t="shared" si="70"/>
        <v>1.1873452170374277</v>
      </c>
      <c r="H335" s="15">
        <f>yint($B$3:B335,$D$3:D335)</f>
        <v>-2.4576034504082093E-4</v>
      </c>
      <c r="I335" s="16">
        <f>MyReg($B$3:B335,$D$3:D335)</f>
        <v>0.26779466151392295</v>
      </c>
      <c r="J335" s="17">
        <f>STDEV($D$3:D335)</f>
        <v>1.3407799635299306E-2</v>
      </c>
      <c r="K335" s="4">
        <f t="shared" si="68"/>
        <v>-4.7306118316047246E-4</v>
      </c>
      <c r="L335">
        <f t="shared" si="71"/>
        <v>1.1873452170374277</v>
      </c>
      <c r="M335">
        <f>RSQ($D$3:D335,$B$3:B335)</f>
        <v>7.0358808777961523E-2</v>
      </c>
      <c r="N335">
        <v>303</v>
      </c>
      <c r="O335" t="str">
        <f t="shared" si="69"/>
        <v/>
      </c>
      <c r="P335" t="str">
        <f t="shared" si="73"/>
        <v/>
      </c>
      <c r="Q335">
        <f t="shared" si="74"/>
        <v>0</v>
      </c>
      <c r="R335">
        <f t="shared" si="75"/>
        <v>0</v>
      </c>
      <c r="S335">
        <f t="shared" si="76"/>
        <v>0</v>
      </c>
      <c r="T335">
        <f t="shared" si="77"/>
        <v>0</v>
      </c>
      <c r="U335">
        <f t="shared" si="72"/>
        <v>0</v>
      </c>
      <c r="V335">
        <f t="shared" si="78"/>
        <v>0</v>
      </c>
      <c r="W335">
        <f t="shared" si="82"/>
        <v>0</v>
      </c>
      <c r="X335">
        <f>SUM($W$34:W335)</f>
        <v>197.47058649999971</v>
      </c>
      <c r="Y335">
        <f t="shared" si="79"/>
        <v>0</v>
      </c>
    </row>
    <row r="336" spans="1:25">
      <c r="A336">
        <v>115.1205009</v>
      </c>
      <c r="B336" s="2">
        <f t="shared" si="80"/>
        <v>-1.185836899561047E-2</v>
      </c>
      <c r="C336">
        <v>95.317253840000006</v>
      </c>
      <c r="D336" s="3">
        <f t="shared" si="81"/>
        <v>1.5076823156427438E-2</v>
      </c>
      <c r="E336" s="3">
        <f t="shared" si="67"/>
        <v>1.8394610208767571E-2</v>
      </c>
      <c r="F336" s="3">
        <f>STDEV($E$32:E336)</f>
        <v>1.3071250580748709E-2</v>
      </c>
      <c r="G336" s="14">
        <f t="shared" si="70"/>
        <v>1.407257101769519</v>
      </c>
      <c r="H336" s="15">
        <f>yint($B$3:B336,$D$3:D336)</f>
        <v>-1.8839055830198158E-4</v>
      </c>
      <c r="I336" s="16">
        <f>MyReg($B$3:B336,$D$3:D336)</f>
        <v>0.26389771605155299</v>
      </c>
      <c r="J336" s="17">
        <f>STDEV($D$3:D336)</f>
        <v>1.3413381845296198E-2</v>
      </c>
      <c r="K336" s="4">
        <f t="shared" si="68"/>
        <v>-3.3177870523401331E-3</v>
      </c>
      <c r="L336">
        <f t="shared" si="71"/>
        <v>1.407257101769519</v>
      </c>
      <c r="M336">
        <f>RSQ($D$3:D336,$B$3:B336)</f>
        <v>6.8242456874236412E-2</v>
      </c>
      <c r="N336">
        <v>304</v>
      </c>
      <c r="O336" t="str">
        <f t="shared" si="69"/>
        <v/>
      </c>
      <c r="P336" t="str">
        <f t="shared" si="73"/>
        <v/>
      </c>
      <c r="Q336">
        <f t="shared" si="74"/>
        <v>0</v>
      </c>
      <c r="R336">
        <f t="shared" si="75"/>
        <v>0</v>
      </c>
      <c r="S336">
        <f t="shared" si="76"/>
        <v>0</v>
      </c>
      <c r="T336">
        <f t="shared" si="77"/>
        <v>0</v>
      </c>
      <c r="U336">
        <f t="shared" si="72"/>
        <v>0</v>
      </c>
      <c r="V336">
        <f t="shared" si="78"/>
        <v>0</v>
      </c>
      <c r="W336">
        <f t="shared" si="82"/>
        <v>0</v>
      </c>
      <c r="X336">
        <f>SUM($W$34:W336)</f>
        <v>197.47058649999971</v>
      </c>
      <c r="Y336">
        <f t="shared" si="79"/>
        <v>0</v>
      </c>
    </row>
    <row r="337" spans="1:25">
      <c r="A337">
        <v>114.74906300000001</v>
      </c>
      <c r="B337" s="2">
        <f t="shared" si="80"/>
        <v>-3.2265139318898624E-3</v>
      </c>
      <c r="C337">
        <v>95.574866470000003</v>
      </c>
      <c r="D337" s="3">
        <f t="shared" si="81"/>
        <v>2.7026862359298223E-3</v>
      </c>
      <c r="E337" s="3">
        <f t="shared" si="67"/>
        <v>3.730490351365248E-3</v>
      </c>
      <c r="F337" s="3">
        <f>STDEV($E$32:E337)</f>
        <v>1.3051895281836763E-2</v>
      </c>
      <c r="G337" s="14">
        <f t="shared" si="70"/>
        <v>0.28581981932973832</v>
      </c>
      <c r="H337" s="15">
        <f>yint($B$3:B337,$D$3:D337)</f>
        <v>-1.7710043946726086E-4</v>
      </c>
      <c r="I337" s="16">
        <f>MyReg($B$3:B337,$D$3:D337)</f>
        <v>0.26366031386384975</v>
      </c>
      <c r="J337" s="17">
        <f>STDEV($D$3:D337)</f>
        <v>1.3394133654903132E-2</v>
      </c>
      <c r="K337" s="4">
        <f t="shared" si="68"/>
        <v>-1.027804115435426E-3</v>
      </c>
      <c r="L337">
        <f t="shared" si="71"/>
        <v>0.28581981932973832</v>
      </c>
      <c r="M337">
        <f>RSQ($D$3:D337,$B$3:B337)</f>
        <v>6.8127263481034497E-2</v>
      </c>
      <c r="N337">
        <v>305</v>
      </c>
      <c r="O337" t="str">
        <f t="shared" si="69"/>
        <v/>
      </c>
      <c r="P337" t="str">
        <f t="shared" si="73"/>
        <v/>
      </c>
      <c r="Q337">
        <f t="shared" si="74"/>
        <v>0</v>
      </c>
      <c r="R337">
        <f t="shared" si="75"/>
        <v>0</v>
      </c>
      <c r="S337">
        <f t="shared" si="76"/>
        <v>0</v>
      </c>
      <c r="T337">
        <f t="shared" si="77"/>
        <v>0</v>
      </c>
      <c r="U337">
        <f t="shared" si="72"/>
        <v>0</v>
      </c>
      <c r="V337">
        <f t="shared" si="78"/>
        <v>0</v>
      </c>
      <c r="W337">
        <f t="shared" si="82"/>
        <v>0</v>
      </c>
      <c r="X337">
        <f>SUM($W$34:W337)</f>
        <v>197.47058649999971</v>
      </c>
      <c r="Y337">
        <f t="shared" si="79"/>
        <v>0</v>
      </c>
    </row>
    <row r="338" spans="1:25">
      <c r="A338">
        <v>113.17633530000001</v>
      </c>
      <c r="B338" s="2">
        <f t="shared" si="80"/>
        <v>-1.3705799933198596E-2</v>
      </c>
      <c r="C338">
        <v>95.989786539999997</v>
      </c>
      <c r="D338" s="3">
        <f t="shared" si="81"/>
        <v>4.341309439655174E-3</v>
      </c>
      <c r="E338" s="3">
        <f t="shared" si="67"/>
        <v>8.0802032306472385E-3</v>
      </c>
      <c r="F338" s="3">
        <f>STDEV($E$32:E338)</f>
        <v>1.3039414948781799E-2</v>
      </c>
      <c r="G338" s="14">
        <f t="shared" si="70"/>
        <v>0.61967528929678917</v>
      </c>
      <c r="H338" s="15">
        <f>yint($B$3:B338,$D$3:D338)</f>
        <v>-1.5200616944964919E-4</v>
      </c>
      <c r="I338" s="16">
        <f>MyReg($B$3:B338,$D$3:D338)</f>
        <v>0.26170582082218707</v>
      </c>
      <c r="J338" s="17">
        <f>STDEV($D$3:D338)</f>
        <v>1.3376268694560437E-2</v>
      </c>
      <c r="K338" s="4">
        <f t="shared" si="68"/>
        <v>-3.7388937909920645E-3</v>
      </c>
      <c r="L338">
        <f t="shared" si="71"/>
        <v>0.61967528929678917</v>
      </c>
      <c r="M338">
        <f>RSQ($D$3:D338,$B$3:B338)</f>
        <v>6.7329331707537521E-2</v>
      </c>
      <c r="N338">
        <v>306</v>
      </c>
      <c r="O338" t="str">
        <f t="shared" si="69"/>
        <v/>
      </c>
      <c r="P338" t="str">
        <f t="shared" si="73"/>
        <v/>
      </c>
      <c r="Q338">
        <f t="shared" si="74"/>
        <v>0</v>
      </c>
      <c r="R338">
        <f t="shared" si="75"/>
        <v>0</v>
      </c>
      <c r="S338">
        <f t="shared" si="76"/>
        <v>0</v>
      </c>
      <c r="T338">
        <f t="shared" si="77"/>
        <v>0</v>
      </c>
      <c r="U338">
        <f t="shared" si="72"/>
        <v>0</v>
      </c>
      <c r="V338">
        <f t="shared" si="78"/>
        <v>0</v>
      </c>
      <c r="W338">
        <f t="shared" si="82"/>
        <v>0</v>
      </c>
      <c r="X338">
        <f>SUM($W$34:W338)</f>
        <v>197.47058649999971</v>
      </c>
      <c r="Y338">
        <f t="shared" si="79"/>
        <v>0</v>
      </c>
    </row>
    <row r="339" spans="1:25">
      <c r="A339">
        <v>113.2462002</v>
      </c>
      <c r="B339" s="2">
        <f t="shared" si="80"/>
        <v>6.1731014540103153E-4</v>
      </c>
      <c r="C339">
        <v>98.008513399999998</v>
      </c>
      <c r="D339" s="3">
        <f t="shared" si="81"/>
        <v>2.1030642246076623E-2</v>
      </c>
      <c r="E339" s="3">
        <f t="shared" si="67"/>
        <v>2.0958708416087882E-2</v>
      </c>
      <c r="F339" s="3">
        <f>STDEV($E$32:E339)</f>
        <v>1.307447496032103E-2</v>
      </c>
      <c r="G339" s="14">
        <f t="shared" si="70"/>
        <v>1.6030248617779497</v>
      </c>
      <c r="H339" s="15">
        <f>yint($B$3:B339,$D$3:D339)</f>
        <v>-8.9655204022204494E-5</v>
      </c>
      <c r="I339" s="16">
        <f>MyReg($B$3:B339,$D$3:D339)</f>
        <v>0.26176312703555193</v>
      </c>
      <c r="J339" s="17">
        <f>STDEV($D$3:D339)</f>
        <v>1.3405541828466165E-2</v>
      </c>
      <c r="K339" s="4">
        <f t="shared" si="68"/>
        <v>7.1933829988740758E-5</v>
      </c>
      <c r="L339">
        <f t="shared" si="71"/>
        <v>1.6030248617779497</v>
      </c>
      <c r="M339">
        <f>RSQ($D$3:D339,$B$3:B339)</f>
        <v>6.6865396432933724E-2</v>
      </c>
      <c r="N339">
        <v>307</v>
      </c>
      <c r="O339" t="str">
        <f t="shared" si="69"/>
        <v>sellY</v>
      </c>
      <c r="P339" t="str">
        <f t="shared" si="73"/>
        <v/>
      </c>
      <c r="Q339">
        <f t="shared" si="74"/>
        <v>10</v>
      </c>
      <c r="R339">
        <f t="shared" si="75"/>
        <v>0</v>
      </c>
      <c r="S339">
        <f t="shared" si="76"/>
        <v>-10</v>
      </c>
      <c r="T339">
        <f t="shared" si="77"/>
        <v>0</v>
      </c>
      <c r="U339">
        <f t="shared" si="72"/>
        <v>20</v>
      </c>
      <c r="V339">
        <f t="shared" si="78"/>
        <v>10</v>
      </c>
      <c r="W339">
        <f t="shared" si="82"/>
        <v>-152.37686800000006</v>
      </c>
      <c r="X339">
        <f>SUM($W$34:W339)</f>
        <v>45.093718499999653</v>
      </c>
      <c r="Y339">
        <f t="shared" si="79"/>
        <v>0</v>
      </c>
    </row>
    <row r="340" spans="1:25">
      <c r="A340">
        <v>114.5352185</v>
      </c>
      <c r="B340" s="2">
        <f t="shared" si="80"/>
        <v>1.1382441951460681E-2</v>
      </c>
      <c r="C340">
        <v>98.306733899999998</v>
      </c>
      <c r="D340" s="3">
        <f t="shared" si="81"/>
        <v>3.0428019939745289E-3</v>
      </c>
      <c r="E340" s="3">
        <f t="shared" si="67"/>
        <v>1.5219366185441428E-4</v>
      </c>
      <c r="F340" s="3">
        <f>STDEV($E$32:E340)</f>
        <v>1.305325255560516E-2</v>
      </c>
      <c r="G340" s="14">
        <f t="shared" si="70"/>
        <v>1.1659443591249694E-2</v>
      </c>
      <c r="H340" s="15">
        <f>yint($B$3:B340,$D$3:D340)</f>
        <v>-8.9216478137484108E-5</v>
      </c>
      <c r="I340" s="16">
        <f>MyReg($B$3:B340,$D$3:D340)</f>
        <v>0.26179134696796807</v>
      </c>
      <c r="J340" s="17">
        <f>STDEV($D$3:D340)</f>
        <v>1.3386640688178042E-2</v>
      </c>
      <c r="K340" s="4">
        <f t="shared" si="68"/>
        <v>2.8906083321201146E-3</v>
      </c>
      <c r="L340">
        <f t="shared" si="71"/>
        <v>1.1659443591249694E-2</v>
      </c>
      <c r="M340">
        <f>RSQ($D$3:D340,$B$3:B340)</f>
        <v>6.7004859701261563E-2</v>
      </c>
      <c r="N340">
        <v>308</v>
      </c>
      <c r="O340" t="str">
        <f t="shared" si="69"/>
        <v/>
      </c>
      <c r="P340" t="str">
        <f t="shared" si="73"/>
        <v>close</v>
      </c>
      <c r="Q340">
        <f t="shared" si="74"/>
        <v>0</v>
      </c>
      <c r="R340">
        <f t="shared" si="75"/>
        <v>0</v>
      </c>
      <c r="S340">
        <f t="shared" si="76"/>
        <v>0</v>
      </c>
      <c r="T340">
        <f t="shared" si="77"/>
        <v>0</v>
      </c>
      <c r="U340">
        <f t="shared" si="72"/>
        <v>0</v>
      </c>
      <c r="V340">
        <f t="shared" si="78"/>
        <v>-10</v>
      </c>
      <c r="W340">
        <f t="shared" si="82"/>
        <v>162.28484600000002</v>
      </c>
      <c r="X340">
        <f>SUM($W$34:W340)</f>
        <v>207.37856449999967</v>
      </c>
      <c r="Y340">
        <f t="shared" si="79"/>
        <v>207.37856449999967</v>
      </c>
    </row>
    <row r="341" spans="1:25">
      <c r="A341">
        <v>115.48876679999999</v>
      </c>
      <c r="B341" s="2">
        <f t="shared" si="80"/>
        <v>8.325371990275587E-3</v>
      </c>
      <c r="C341">
        <v>97.938643940000006</v>
      </c>
      <c r="D341" s="3">
        <f t="shared" si="81"/>
        <v>-3.7443005722723115E-3</v>
      </c>
      <c r="E341" s="3">
        <f t="shared" si="67"/>
        <v>-5.8113568789782914E-3</v>
      </c>
      <c r="F341" s="3">
        <f>STDEV($E$32:E341)</f>
        <v>1.3035948340951896E-2</v>
      </c>
      <c r="G341" s="14">
        <f t="shared" si="70"/>
        <v>-0.44579471527377512</v>
      </c>
      <c r="H341" s="15">
        <f>yint($B$3:B341,$D$3:D341)</f>
        <v>-1.0603267535070737E-4</v>
      </c>
      <c r="I341" s="16">
        <f>MyReg($B$3:B341,$D$3:D341)</f>
        <v>0.26102004626279218</v>
      </c>
      <c r="J341" s="17">
        <f>STDEV($D$3:D341)</f>
        <v>1.3368402405639449E-2</v>
      </c>
      <c r="K341" s="4">
        <f t="shared" si="68"/>
        <v>2.0670563067059803E-3</v>
      </c>
      <c r="L341">
        <f t="shared" si="71"/>
        <v>-0.44579471527377512</v>
      </c>
      <c r="M341">
        <f>RSQ($D$3:D341,$B$3:B341)</f>
        <v>6.6663939549245252E-2</v>
      </c>
      <c r="N341">
        <v>309</v>
      </c>
      <c r="O341" t="str">
        <f t="shared" si="69"/>
        <v/>
      </c>
      <c r="P341" t="str">
        <f t="shared" si="73"/>
        <v/>
      </c>
      <c r="Q341">
        <f t="shared" si="74"/>
        <v>0</v>
      </c>
      <c r="R341">
        <f t="shared" si="75"/>
        <v>0</v>
      </c>
      <c r="S341">
        <f t="shared" si="76"/>
        <v>0</v>
      </c>
      <c r="T341">
        <f t="shared" si="77"/>
        <v>0</v>
      </c>
      <c r="U341">
        <f t="shared" si="72"/>
        <v>0</v>
      </c>
      <c r="V341">
        <f t="shared" si="78"/>
        <v>0</v>
      </c>
      <c r="W341">
        <f t="shared" si="82"/>
        <v>0</v>
      </c>
      <c r="X341">
        <f>SUM($W$34:W341)</f>
        <v>207.37856449999967</v>
      </c>
      <c r="Y341">
        <f t="shared" si="79"/>
        <v>0</v>
      </c>
    </row>
    <row r="342" spans="1:25">
      <c r="A342">
        <v>114.887152</v>
      </c>
      <c r="B342" s="2">
        <f t="shared" si="80"/>
        <v>-5.2092927881189658E-3</v>
      </c>
      <c r="C342">
        <v>99.290634549999993</v>
      </c>
      <c r="D342" s="3">
        <f t="shared" si="81"/>
        <v>1.3804465281633418E-2</v>
      </c>
      <c r="E342" s="3">
        <f t="shared" si="67"/>
        <v>1.521691236639152E-2</v>
      </c>
      <c r="F342" s="3">
        <f>STDEV($E$32:E342)</f>
        <v>1.3044471453727014E-2</v>
      </c>
      <c r="G342" s="14">
        <f t="shared" si="70"/>
        <v>1.1665411220662225</v>
      </c>
      <c r="H342" s="15">
        <f>yint($B$3:B342,$D$3:D342)</f>
        <v>-6.0390667006995273E-5</v>
      </c>
      <c r="I342" s="16">
        <f>MyReg($B$3:B342,$D$3:D342)</f>
        <v>0.25954701967122934</v>
      </c>
      <c r="J342" s="17">
        <f>STDEV($D$3:D342)</f>
        <v>1.3369563956366171E-2</v>
      </c>
      <c r="K342" s="4">
        <f t="shared" si="68"/>
        <v>-1.4124470847581016E-3</v>
      </c>
      <c r="L342">
        <f t="shared" si="71"/>
        <v>1.1665411220662225</v>
      </c>
      <c r="M342">
        <f>RSQ($D$3:D342,$B$3:B342)</f>
        <v>6.5744077544214102E-2</v>
      </c>
      <c r="N342">
        <v>310</v>
      </c>
      <c r="O342" t="str">
        <f t="shared" si="69"/>
        <v/>
      </c>
      <c r="P342" t="str">
        <f t="shared" si="73"/>
        <v/>
      </c>
      <c r="Q342">
        <f t="shared" si="74"/>
        <v>0</v>
      </c>
      <c r="R342">
        <f t="shared" si="75"/>
        <v>0</v>
      </c>
      <c r="S342">
        <f t="shared" si="76"/>
        <v>0</v>
      </c>
      <c r="T342">
        <f t="shared" si="77"/>
        <v>0</v>
      </c>
      <c r="U342">
        <f t="shared" si="72"/>
        <v>0</v>
      </c>
      <c r="V342">
        <f t="shared" si="78"/>
        <v>0</v>
      </c>
      <c r="W342">
        <f t="shared" si="82"/>
        <v>0</v>
      </c>
      <c r="X342">
        <f>SUM($W$34:W342)</f>
        <v>207.37856449999967</v>
      </c>
      <c r="Y342">
        <f t="shared" si="79"/>
        <v>0</v>
      </c>
    </row>
    <row r="343" spans="1:25">
      <c r="A343">
        <v>116.540676</v>
      </c>
      <c r="B343" s="2">
        <f t="shared" si="80"/>
        <v>1.439259282883089E-2</v>
      </c>
      <c r="C343">
        <v>100.2544946</v>
      </c>
      <c r="D343" s="3">
        <f t="shared" si="81"/>
        <v>9.7074618806533564E-3</v>
      </c>
      <c r="E343" s="3">
        <f t="shared" si="67"/>
        <v>5.9950860384727061E-3</v>
      </c>
      <c r="F343" s="3">
        <f>STDEV($E$32:E343)</f>
        <v>1.3028224076064882E-2</v>
      </c>
      <c r="G343" s="14">
        <f t="shared" si="70"/>
        <v>0.4601614159743172</v>
      </c>
      <c r="H343" s="15">
        <f>yint($B$3:B343,$D$3:D343)</f>
        <v>-4.3455852701146911E-5</v>
      </c>
      <c r="I343" s="16">
        <f>MyReg($B$3:B343,$D$3:D343)</f>
        <v>0.26095587775944074</v>
      </c>
      <c r="J343" s="17">
        <f>STDEV($D$3:D343)</f>
        <v>1.3360089836337597E-2</v>
      </c>
      <c r="K343" s="4">
        <f t="shared" si="68"/>
        <v>3.7123758421806503E-3</v>
      </c>
      <c r="L343">
        <f t="shared" si="71"/>
        <v>0.4601614159743172</v>
      </c>
      <c r="M343">
        <f>RSQ($D$3:D343,$B$3:B343)</f>
        <v>6.6574379060889574E-2</v>
      </c>
      <c r="N343">
        <v>311</v>
      </c>
      <c r="O343" t="str">
        <f t="shared" si="69"/>
        <v/>
      </c>
      <c r="P343" t="str">
        <f t="shared" si="73"/>
        <v/>
      </c>
      <c r="Q343">
        <f t="shared" si="74"/>
        <v>0</v>
      </c>
      <c r="R343">
        <f t="shared" si="75"/>
        <v>0</v>
      </c>
      <c r="S343">
        <f t="shared" si="76"/>
        <v>0</v>
      </c>
      <c r="T343">
        <f t="shared" si="77"/>
        <v>0</v>
      </c>
      <c r="U343">
        <f t="shared" si="72"/>
        <v>0</v>
      </c>
      <c r="V343">
        <f t="shared" si="78"/>
        <v>0</v>
      </c>
      <c r="W343">
        <f t="shared" si="82"/>
        <v>0</v>
      </c>
      <c r="X343">
        <f>SUM($W$34:W343)</f>
        <v>207.37856449999967</v>
      </c>
      <c r="Y343">
        <f t="shared" si="79"/>
        <v>0</v>
      </c>
    </row>
    <row r="344" spans="1:25">
      <c r="A344">
        <v>116.1604079</v>
      </c>
      <c r="B344" s="2">
        <f t="shared" si="80"/>
        <v>-3.2629645978714695E-3</v>
      </c>
      <c r="C344">
        <v>99.114750310000005</v>
      </c>
      <c r="D344" s="3">
        <f t="shared" si="81"/>
        <v>-1.136851065428438E-2</v>
      </c>
      <c r="E344" s="3">
        <f t="shared" si="67"/>
        <v>-1.0440408249520521E-2</v>
      </c>
      <c r="F344" s="3">
        <f>STDEV($E$32:E344)</f>
        <v>1.3020218870032485E-2</v>
      </c>
      <c r="G344" s="14">
        <f t="shared" si="70"/>
        <v>-0.80186119401958045</v>
      </c>
      <c r="H344" s="15">
        <f>yint($B$3:B344,$D$3:D344)</f>
        <v>-7.4431243612221154E-5</v>
      </c>
      <c r="I344" s="16">
        <f>MyReg($B$3:B344,$D$3:D344)</f>
        <v>0.26162440184258001</v>
      </c>
      <c r="J344" s="17">
        <f>STDEV($D$3:D344)</f>
        <v>1.3354883191021166E-2</v>
      </c>
      <c r="K344" s="4">
        <f t="shared" si="68"/>
        <v>-9.2810240476385892E-4</v>
      </c>
      <c r="L344">
        <f t="shared" si="71"/>
        <v>-0.80186119401958045</v>
      </c>
      <c r="M344">
        <f>RSQ($D$3:D344,$B$3:B344)</f>
        <v>6.6787915116892305E-2</v>
      </c>
      <c r="N344">
        <v>312</v>
      </c>
      <c r="O344" t="str">
        <f t="shared" si="69"/>
        <v/>
      </c>
      <c r="P344" t="str">
        <f t="shared" si="73"/>
        <v/>
      </c>
      <c r="Q344">
        <f t="shared" si="74"/>
        <v>0</v>
      </c>
      <c r="R344">
        <f t="shared" si="75"/>
        <v>0</v>
      </c>
      <c r="S344">
        <f t="shared" si="76"/>
        <v>0</v>
      </c>
      <c r="T344">
        <f t="shared" si="77"/>
        <v>0</v>
      </c>
      <c r="U344">
        <f t="shared" si="72"/>
        <v>0</v>
      </c>
      <c r="V344">
        <f t="shared" si="78"/>
        <v>0</v>
      </c>
      <c r="W344">
        <f t="shared" si="82"/>
        <v>0</v>
      </c>
      <c r="X344">
        <f>SUM($W$34:W344)</f>
        <v>207.37856449999967</v>
      </c>
      <c r="Y344">
        <f t="shared" si="79"/>
        <v>0</v>
      </c>
    </row>
    <row r="345" spans="1:25">
      <c r="A345">
        <v>117.7673357</v>
      </c>
      <c r="B345" s="2">
        <f t="shared" si="80"/>
        <v>1.3833696257190987E-2</v>
      </c>
      <c r="C345">
        <v>98.932503850000003</v>
      </c>
      <c r="D345" s="3">
        <f t="shared" si="81"/>
        <v>-1.8387420583716523E-3</v>
      </c>
      <c r="E345" s="3">
        <f t="shared" si="67"/>
        <v>-5.3519206061770743E-3</v>
      </c>
      <c r="F345" s="3">
        <f>STDEV($E$32:E345)</f>
        <v>1.3002621734131392E-2</v>
      </c>
      <c r="G345" s="14">
        <f t="shared" si="70"/>
        <v>-0.4116031916954474</v>
      </c>
      <c r="H345" s="15">
        <f>yint($B$3:B345,$D$3:D345)</f>
        <v>-8.9450081366516259E-5</v>
      </c>
      <c r="I345" s="16">
        <f>MyReg($B$3:B345,$D$3:D345)</f>
        <v>0.26042415289400556</v>
      </c>
      <c r="J345" s="17">
        <f>STDEV($D$3:D345)</f>
        <v>1.333573951289139E-2</v>
      </c>
      <c r="K345" s="4">
        <f t="shared" si="68"/>
        <v>3.5131785478054217E-3</v>
      </c>
      <c r="L345">
        <f t="shared" si="71"/>
        <v>-0.4116031916954474</v>
      </c>
      <c r="M345">
        <f>RSQ($D$3:D345,$B$3:B345)</f>
        <v>6.6369523413261119E-2</v>
      </c>
      <c r="N345">
        <v>313</v>
      </c>
      <c r="O345" t="str">
        <f t="shared" si="69"/>
        <v/>
      </c>
      <c r="P345" t="str">
        <f t="shared" si="73"/>
        <v/>
      </c>
      <c r="Q345">
        <f t="shared" si="74"/>
        <v>0</v>
      </c>
      <c r="R345">
        <f t="shared" si="75"/>
        <v>0</v>
      </c>
      <c r="S345">
        <f t="shared" si="76"/>
        <v>0</v>
      </c>
      <c r="T345">
        <f t="shared" si="77"/>
        <v>0</v>
      </c>
      <c r="U345">
        <f t="shared" si="72"/>
        <v>0</v>
      </c>
      <c r="V345">
        <f t="shared" si="78"/>
        <v>0</v>
      </c>
      <c r="W345">
        <f t="shared" si="82"/>
        <v>0</v>
      </c>
      <c r="X345">
        <f>SUM($W$34:W345)</f>
        <v>207.37856449999967</v>
      </c>
      <c r="Y345">
        <f t="shared" si="79"/>
        <v>0</v>
      </c>
    </row>
    <row r="346" spans="1:25">
      <c r="A346">
        <v>119.5567291</v>
      </c>
      <c r="B346" s="2">
        <f t="shared" si="80"/>
        <v>1.519430994480751E-2</v>
      </c>
      <c r="C346">
        <v>100.2393246</v>
      </c>
      <c r="D346" s="3">
        <f t="shared" si="81"/>
        <v>1.3209215365471618E-2</v>
      </c>
      <c r="E346" s="3">
        <f t="shared" si="67"/>
        <v>9.2812628461166093E-3</v>
      </c>
      <c r="F346" s="3">
        <f>STDEV($E$32:E346)</f>
        <v>1.2992984667033573E-2</v>
      </c>
      <c r="G346" s="14">
        <f t="shared" si="70"/>
        <v>0.71432877694880037</v>
      </c>
      <c r="H346" s="15">
        <f>yint($B$3:B346,$D$3:D346)</f>
        <v>-6.3677115349132217E-5</v>
      </c>
      <c r="I346" s="16">
        <f>MyReg($B$3:B346,$D$3:D346)</f>
        <v>0.26270555551410452</v>
      </c>
      <c r="J346" s="17">
        <f>STDEV($D$3:D346)</f>
        <v>1.3335152125905235E-2</v>
      </c>
      <c r="K346" s="4">
        <f t="shared" si="68"/>
        <v>3.927952519355008E-3</v>
      </c>
      <c r="L346">
        <f t="shared" si="71"/>
        <v>0.71432877694880037</v>
      </c>
      <c r="M346">
        <f>RSQ($D$3:D346,$B$3:B346)</f>
        <v>6.7587979891794672E-2</v>
      </c>
      <c r="N346">
        <v>314</v>
      </c>
      <c r="O346" t="str">
        <f t="shared" si="69"/>
        <v/>
      </c>
      <c r="P346" t="str">
        <f t="shared" si="73"/>
        <v/>
      </c>
      <c r="Q346">
        <f t="shared" si="74"/>
        <v>0</v>
      </c>
      <c r="R346">
        <f t="shared" si="75"/>
        <v>0</v>
      </c>
      <c r="S346">
        <f t="shared" si="76"/>
        <v>0</v>
      </c>
      <c r="T346">
        <f t="shared" si="77"/>
        <v>0</v>
      </c>
      <c r="U346">
        <f t="shared" si="72"/>
        <v>0</v>
      </c>
      <c r="V346">
        <f t="shared" si="78"/>
        <v>0</v>
      </c>
      <c r="W346">
        <f t="shared" si="82"/>
        <v>0</v>
      </c>
      <c r="X346">
        <f>SUM($W$34:W346)</f>
        <v>207.37856449999967</v>
      </c>
      <c r="Y346">
        <f t="shared" si="79"/>
        <v>0</v>
      </c>
    </row>
    <row r="347" spans="1:25">
      <c r="A347">
        <v>120.39394</v>
      </c>
      <c r="B347" s="2">
        <f t="shared" si="80"/>
        <v>7.0026246644782318E-3</v>
      </c>
      <c r="C347">
        <v>101.3521977</v>
      </c>
      <c r="D347" s="3">
        <f t="shared" si="81"/>
        <v>1.1102160798078657E-2</v>
      </c>
      <c r="E347" s="3">
        <f t="shared" si="67"/>
        <v>9.2928305554475076E-3</v>
      </c>
      <c r="F347" s="3">
        <f>STDEV($E$32:E347)</f>
        <v>1.2983358531650838E-2</v>
      </c>
      <c r="G347" s="14">
        <f t="shared" si="70"/>
        <v>0.71574935967403508</v>
      </c>
      <c r="H347" s="15">
        <f>yint($B$3:B347,$D$3:D347)</f>
        <v>-3.7266359600204911E-5</v>
      </c>
      <c r="I347" s="16">
        <f>MyReg($B$3:B347,$D$3:D347)</f>
        <v>0.26370063950427991</v>
      </c>
      <c r="J347" s="17">
        <f>STDEV($D$3:D347)</f>
        <v>1.3328934276949266E-2</v>
      </c>
      <c r="K347" s="4">
        <f t="shared" si="68"/>
        <v>1.8093302426311485E-3</v>
      </c>
      <c r="L347">
        <f t="shared" si="71"/>
        <v>0.71574935967403508</v>
      </c>
      <c r="M347">
        <f>RSQ($D$3:D347,$B$3:B347)</f>
        <v>6.8012789596523821E-2</v>
      </c>
      <c r="N347">
        <v>315</v>
      </c>
      <c r="O347" t="str">
        <f t="shared" si="69"/>
        <v/>
      </c>
      <c r="P347" t="str">
        <f t="shared" si="73"/>
        <v/>
      </c>
      <c r="Q347">
        <f t="shared" si="74"/>
        <v>0</v>
      </c>
      <c r="R347">
        <f t="shared" si="75"/>
        <v>0</v>
      </c>
      <c r="S347">
        <f t="shared" si="76"/>
        <v>0</v>
      </c>
      <c r="T347">
        <f t="shared" si="77"/>
        <v>0</v>
      </c>
      <c r="U347">
        <f t="shared" si="72"/>
        <v>0</v>
      </c>
      <c r="V347">
        <f t="shared" si="78"/>
        <v>0</v>
      </c>
      <c r="W347">
        <f t="shared" si="82"/>
        <v>0</v>
      </c>
      <c r="X347">
        <f>SUM($W$34:W347)</f>
        <v>207.37856449999967</v>
      </c>
      <c r="Y347">
        <f t="shared" si="79"/>
        <v>0</v>
      </c>
    </row>
    <row r="348" spans="1:25">
      <c r="A348">
        <v>118.8989292</v>
      </c>
      <c r="B348" s="2">
        <f t="shared" si="80"/>
        <v>-1.2417658230970786E-2</v>
      </c>
      <c r="C348">
        <v>101.78787029999999</v>
      </c>
      <c r="D348" s="3">
        <f t="shared" si="81"/>
        <v>4.298600423935252E-3</v>
      </c>
      <c r="E348" s="3">
        <f t="shared" si="67"/>
        <v>7.5669441434617251E-3</v>
      </c>
      <c r="F348" s="3">
        <f>STDEV($E$32:E348)</f>
        <v>1.2970102596541222E-2</v>
      </c>
      <c r="G348" s="14">
        <f t="shared" si="70"/>
        <v>0.58341436292721582</v>
      </c>
      <c r="H348" s="15">
        <f>yint($B$3:B348,$D$3:D348)</f>
        <v>-1.4301594448474668E-5</v>
      </c>
      <c r="I348" s="16">
        <f>MyReg($B$3:B348,$D$3:D348)</f>
        <v>0.26204958008605173</v>
      </c>
      <c r="J348" s="17">
        <f>STDEV($D$3:D348)</f>
        <v>1.3311491824317213E-2</v>
      </c>
      <c r="K348" s="4">
        <f t="shared" si="68"/>
        <v>-3.2683437195264731E-3</v>
      </c>
      <c r="L348">
        <f t="shared" si="71"/>
        <v>0.58341436292721582</v>
      </c>
      <c r="M348">
        <f>RSQ($D$3:D348,$B$3:B348)</f>
        <v>6.7335252088549305E-2</v>
      </c>
      <c r="N348">
        <v>316</v>
      </c>
      <c r="O348" t="str">
        <f t="shared" si="69"/>
        <v/>
      </c>
      <c r="P348" t="str">
        <f t="shared" si="73"/>
        <v/>
      </c>
      <c r="Q348">
        <f t="shared" si="74"/>
        <v>0</v>
      </c>
      <c r="R348">
        <f t="shared" si="75"/>
        <v>0</v>
      </c>
      <c r="S348">
        <f t="shared" si="76"/>
        <v>0</v>
      </c>
      <c r="T348">
        <f t="shared" si="77"/>
        <v>0</v>
      </c>
      <c r="U348">
        <f t="shared" si="72"/>
        <v>0</v>
      </c>
      <c r="V348">
        <f t="shared" si="78"/>
        <v>0</v>
      </c>
      <c r="W348">
        <f t="shared" si="82"/>
        <v>0</v>
      </c>
      <c r="X348">
        <f>SUM($W$34:W348)</f>
        <v>207.37856449999967</v>
      </c>
      <c r="Y348">
        <f t="shared" si="79"/>
        <v>0</v>
      </c>
    </row>
    <row r="349" spans="1:25">
      <c r="A349">
        <v>118.379746</v>
      </c>
      <c r="B349" s="2">
        <f t="shared" si="80"/>
        <v>-4.3665927312657457E-3</v>
      </c>
      <c r="C349">
        <v>102.4190768</v>
      </c>
      <c r="D349" s="3">
        <f t="shared" si="81"/>
        <v>6.2011956644700984E-3</v>
      </c>
      <c r="E349" s="3">
        <f t="shared" si="67"/>
        <v>7.3355570881961825E-3</v>
      </c>
      <c r="F349" s="3">
        <f>STDEV($E$32:E349)</f>
        <v>1.2956443752996595E-2</v>
      </c>
      <c r="G349" s="14">
        <f t="shared" si="70"/>
        <v>0.5661705656306808</v>
      </c>
      <c r="H349" s="15">
        <f>yint($B$3:B349,$D$3:D349)</f>
        <v>7.2553443258179505E-6</v>
      </c>
      <c r="I349" s="16">
        <f>MyReg($B$3:B349,$D$3:D349)</f>
        <v>0.26144338121521599</v>
      </c>
      <c r="J349" s="17">
        <f>STDEV($D$3:D349)</f>
        <v>1.3296224167538759E-2</v>
      </c>
      <c r="K349" s="4">
        <f t="shared" si="68"/>
        <v>-1.1343614237260837E-3</v>
      </c>
      <c r="L349">
        <f t="shared" si="71"/>
        <v>0.5661705656306808</v>
      </c>
      <c r="M349">
        <f>RSQ($D$3:D349,$B$3:B349)</f>
        <v>6.7011276843386147E-2</v>
      </c>
      <c r="N349">
        <v>317</v>
      </c>
      <c r="O349" t="str">
        <f t="shared" si="69"/>
        <v/>
      </c>
      <c r="P349" t="str">
        <f t="shared" si="73"/>
        <v/>
      </c>
      <c r="Q349">
        <f t="shared" si="74"/>
        <v>0</v>
      </c>
      <c r="R349">
        <f t="shared" si="75"/>
        <v>0</v>
      </c>
      <c r="S349">
        <f t="shared" si="76"/>
        <v>0</v>
      </c>
      <c r="T349">
        <f t="shared" si="77"/>
        <v>0</v>
      </c>
      <c r="U349">
        <f t="shared" si="72"/>
        <v>0</v>
      </c>
      <c r="V349">
        <f t="shared" si="78"/>
        <v>0</v>
      </c>
      <c r="W349">
        <f t="shared" si="82"/>
        <v>0</v>
      </c>
      <c r="X349">
        <f>SUM($W$34:W349)</f>
        <v>207.37856449999967</v>
      </c>
      <c r="Y349">
        <f t="shared" si="79"/>
        <v>0</v>
      </c>
    </row>
    <row r="350" spans="1:25">
      <c r="A350">
        <v>118.7839877</v>
      </c>
      <c r="B350" s="2">
        <f t="shared" si="80"/>
        <v>3.4147876951856277E-3</v>
      </c>
      <c r="C350">
        <v>101.7158858</v>
      </c>
      <c r="D350" s="3">
        <f t="shared" si="81"/>
        <v>-6.8658205284662741E-3</v>
      </c>
      <c r="E350" s="3">
        <f t="shared" si="67"/>
        <v>-7.7424940802155061E-3</v>
      </c>
      <c r="F350" s="3">
        <f>STDEV($E$32:E350)</f>
        <v>1.2943068790880313E-2</v>
      </c>
      <c r="G350" s="14">
        <f t="shared" si="70"/>
        <v>-0.59819616238699647</v>
      </c>
      <c r="H350" s="15">
        <f>yint($B$3:B350,$D$3:D350)</f>
        <v>-1.4847133233236308E-5</v>
      </c>
      <c r="I350" s="16">
        <f>MyReg($B$3:B350,$D$3:D350)</f>
        <v>0.26107646054815864</v>
      </c>
      <c r="J350" s="17">
        <f>STDEV($D$3:D350)</f>
        <v>1.3282387662514246E-2</v>
      </c>
      <c r="K350" s="4">
        <f t="shared" si="68"/>
        <v>8.7667355174923182E-4</v>
      </c>
      <c r="L350">
        <f t="shared" si="71"/>
        <v>-0.59819616238699647</v>
      </c>
      <c r="M350">
        <f>RSQ($D$3:D350,$B$3:B350)</f>
        <v>6.677860154301403E-2</v>
      </c>
      <c r="N350">
        <v>318</v>
      </c>
      <c r="O350" t="str">
        <f t="shared" si="69"/>
        <v/>
      </c>
      <c r="P350" t="str">
        <f t="shared" si="73"/>
        <v/>
      </c>
      <c r="Q350">
        <f t="shared" si="74"/>
        <v>0</v>
      </c>
      <c r="R350">
        <f t="shared" si="75"/>
        <v>0</v>
      </c>
      <c r="S350">
        <f t="shared" si="76"/>
        <v>0</v>
      </c>
      <c r="T350">
        <f t="shared" si="77"/>
        <v>0</v>
      </c>
      <c r="U350">
        <f t="shared" si="72"/>
        <v>0</v>
      </c>
      <c r="V350">
        <f t="shared" si="78"/>
        <v>0</v>
      </c>
      <c r="W350">
        <f t="shared" si="82"/>
        <v>0</v>
      </c>
      <c r="X350">
        <f>SUM($W$34:W350)</f>
        <v>207.37856449999967</v>
      </c>
      <c r="Y350">
        <f t="shared" si="79"/>
        <v>0</v>
      </c>
    </row>
    <row r="351" spans="1:25">
      <c r="A351">
        <v>117.5952961</v>
      </c>
      <c r="B351" s="2">
        <f t="shared" si="80"/>
        <v>-1.0007170351968226E-2</v>
      </c>
      <c r="C351">
        <v>101.3808137</v>
      </c>
      <c r="D351" s="3">
        <f t="shared" si="81"/>
        <v>-3.2941963525621757E-3</v>
      </c>
      <c r="E351" s="3">
        <f t="shared" si="67"/>
        <v>-6.6356546233102597E-4</v>
      </c>
      <c r="F351" s="3">
        <f>STDEV($E$32:E351)</f>
        <v>1.2922796887540248E-2</v>
      </c>
      <c r="G351" s="14">
        <f t="shared" si="70"/>
        <v>-5.1348440133019098E-2</v>
      </c>
      <c r="H351" s="15">
        <f>yint($B$3:B351,$D$3:D351)</f>
        <v>-1.6821991711925207E-5</v>
      </c>
      <c r="I351" s="16">
        <f>MyReg($B$3:B351,$D$3:D351)</f>
        <v>0.26119360484406429</v>
      </c>
      <c r="J351" s="17">
        <f>STDEV($D$3:D351)</f>
        <v>1.326456156187523E-2</v>
      </c>
      <c r="K351" s="4">
        <f t="shared" si="68"/>
        <v>-2.6306308902311498E-3</v>
      </c>
      <c r="L351">
        <f t="shared" si="71"/>
        <v>-5.1348440133019098E-2</v>
      </c>
      <c r="M351">
        <f>RSQ($D$3:D351,$B$3:B351)</f>
        <v>6.6950281786497201E-2</v>
      </c>
      <c r="N351">
        <v>319</v>
      </c>
      <c r="O351" t="str">
        <f t="shared" si="69"/>
        <v/>
      </c>
      <c r="P351" t="str">
        <f t="shared" si="73"/>
        <v/>
      </c>
      <c r="Q351">
        <f t="shared" si="74"/>
        <v>0</v>
      </c>
      <c r="R351">
        <f t="shared" si="75"/>
        <v>0</v>
      </c>
      <c r="S351">
        <f t="shared" si="76"/>
        <v>0</v>
      </c>
      <c r="T351">
        <f t="shared" si="77"/>
        <v>0</v>
      </c>
      <c r="U351">
        <f t="shared" si="72"/>
        <v>0</v>
      </c>
      <c r="V351">
        <f t="shared" si="78"/>
        <v>0</v>
      </c>
      <c r="W351">
        <f t="shared" si="82"/>
        <v>0</v>
      </c>
      <c r="X351">
        <f>SUM($W$34:W351)</f>
        <v>207.37856449999967</v>
      </c>
      <c r="Y351">
        <f t="shared" si="79"/>
        <v>0</v>
      </c>
    </row>
    <row r="352" spans="1:25">
      <c r="A352">
        <v>119.23771170000001</v>
      </c>
      <c r="B352" s="2">
        <f t="shared" si="80"/>
        <v>1.3966677702850792E-2</v>
      </c>
      <c r="C352">
        <v>102.2566875</v>
      </c>
      <c r="D352" s="3">
        <f t="shared" si="81"/>
        <v>8.6394433821751198E-3</v>
      </c>
      <c r="E352" s="3">
        <f t="shared" si="67"/>
        <v>4.979077458697934E-3</v>
      </c>
      <c r="F352" s="3">
        <f>STDEV($E$32:E352)</f>
        <v>1.2905776012339091E-2</v>
      </c>
      <c r="G352" s="14">
        <f t="shared" si="70"/>
        <v>0.38580225272292695</v>
      </c>
      <c r="H352" s="15">
        <f>yint($B$3:B352,$D$3:D352)</f>
        <v>-3.1674568647106598E-6</v>
      </c>
      <c r="I352" s="16">
        <f>MyReg($B$3:B352,$D$3:D352)</f>
        <v>0.26230528535745606</v>
      </c>
      <c r="J352" s="17">
        <f>STDEV($D$3:D352)</f>
        <v>1.3253357150135654E-2</v>
      </c>
      <c r="K352" s="4">
        <f t="shared" si="68"/>
        <v>3.6603659234771854E-3</v>
      </c>
      <c r="L352">
        <f t="shared" si="71"/>
        <v>0.38580225272292695</v>
      </c>
      <c r="M352">
        <f>RSQ($D$3:D352,$B$3:B352)</f>
        <v>6.7643249433017708E-2</v>
      </c>
      <c r="N352">
        <v>320</v>
      </c>
      <c r="O352" t="str">
        <f t="shared" si="69"/>
        <v/>
      </c>
      <c r="P352" t="str">
        <f t="shared" si="73"/>
        <v/>
      </c>
      <c r="Q352">
        <f t="shared" si="74"/>
        <v>0</v>
      </c>
      <c r="R352">
        <f t="shared" si="75"/>
        <v>0</v>
      </c>
      <c r="S352">
        <f t="shared" si="76"/>
        <v>0</v>
      </c>
      <c r="T352">
        <f t="shared" si="77"/>
        <v>0</v>
      </c>
      <c r="U352">
        <f t="shared" si="72"/>
        <v>0</v>
      </c>
      <c r="V352">
        <f t="shared" si="78"/>
        <v>0</v>
      </c>
      <c r="W352">
        <f t="shared" si="82"/>
        <v>0</v>
      </c>
      <c r="X352">
        <f>SUM($W$34:W352)</f>
        <v>207.37856449999967</v>
      </c>
      <c r="Y352">
        <f t="shared" si="79"/>
        <v>0</v>
      </c>
    </row>
    <row r="353" spans="1:25">
      <c r="A353">
        <v>118.4113993</v>
      </c>
      <c r="B353" s="2">
        <f t="shared" si="80"/>
        <v>-6.9299585527017966E-3</v>
      </c>
      <c r="C353">
        <v>102.646852</v>
      </c>
      <c r="D353" s="3">
        <f t="shared" si="81"/>
        <v>3.8155401816629096E-3</v>
      </c>
      <c r="E353" s="3">
        <f t="shared" ref="E353:E416" si="83">D353-K353</f>
        <v>5.6151617567353762E-3</v>
      </c>
      <c r="F353" s="3">
        <f>STDEV($E$32:E353)</f>
        <v>1.2889652936319688E-2</v>
      </c>
      <c r="G353" s="14">
        <f t="shared" si="70"/>
        <v>0.43563327767447574</v>
      </c>
      <c r="H353" s="15">
        <f>yint($B$3:B353,$D$3:D353)</f>
        <v>1.3288476727257658E-5</v>
      </c>
      <c r="I353" s="16">
        <f>MyReg($B$3:B353,$D$3:D353)</f>
        <v>0.2616047466969223</v>
      </c>
      <c r="J353" s="17">
        <f>STDEV($D$3:D353)</f>
        <v>1.3235855331666465E-2</v>
      </c>
      <c r="K353" s="4">
        <f t="shared" ref="K353:K416" si="84">H353+B353*I353</f>
        <v>-1.7996215750724662E-3</v>
      </c>
      <c r="L353">
        <f t="shared" si="71"/>
        <v>0.43563327767447574</v>
      </c>
      <c r="M353">
        <f>RSQ($D$3:D353,$B$3:B353)</f>
        <v>6.7330652196149726E-2</v>
      </c>
      <c r="N353">
        <v>321</v>
      </c>
      <c r="O353" t="str">
        <f t="shared" ref="O353:O416" si="85">IF(L353&gt;1.5,"sellY",IF(L353&lt;-1.5,"buyY",""))</f>
        <v/>
      </c>
      <c r="P353" t="str">
        <f t="shared" si="73"/>
        <v/>
      </c>
      <c r="Q353">
        <f t="shared" si="74"/>
        <v>0</v>
      </c>
      <c r="R353">
        <f t="shared" si="75"/>
        <v>0</v>
      </c>
      <c r="S353">
        <f t="shared" si="76"/>
        <v>0</v>
      </c>
      <c r="T353">
        <f t="shared" si="77"/>
        <v>0</v>
      </c>
      <c r="U353">
        <f t="shared" si="72"/>
        <v>0</v>
      </c>
      <c r="V353">
        <f t="shared" si="78"/>
        <v>0</v>
      </c>
      <c r="W353">
        <f t="shared" si="82"/>
        <v>0</v>
      </c>
      <c r="X353">
        <f>SUM($W$34:W353)</f>
        <v>207.37856449999967</v>
      </c>
      <c r="Y353">
        <f t="shared" si="79"/>
        <v>0</v>
      </c>
    </row>
    <row r="354" spans="1:25">
      <c r="A354">
        <v>117.9459189</v>
      </c>
      <c r="B354" s="2">
        <f t="shared" si="80"/>
        <v>-3.9310438247646328E-3</v>
      </c>
      <c r="C354">
        <v>103.7133323</v>
      </c>
      <c r="D354" s="3">
        <f t="shared" si="81"/>
        <v>1.0389800361339957E-2</v>
      </c>
      <c r="E354" s="3">
        <f t="shared" si="83"/>
        <v>1.1368688233882355E-2</v>
      </c>
      <c r="F354" s="3">
        <f>STDEV($E$32:E354)</f>
        <v>1.2885503065727414E-2</v>
      </c>
      <c r="G354" s="14">
        <f t="shared" ref="G354:G417" si="86">E354/F354</f>
        <v>0.88228516774952692</v>
      </c>
      <c r="H354" s="15">
        <f>yint($B$3:B354,$D$3:D354)</f>
        <v>4.6159093994144624E-5</v>
      </c>
      <c r="I354" s="16">
        <f>MyReg($B$3:B354,$D$3:D354)</f>
        <v>0.26075694198039523</v>
      </c>
      <c r="J354" s="17">
        <f>STDEV($D$3:D354)</f>
        <v>1.3228225527762994E-2</v>
      </c>
      <c r="K354" s="4">
        <f t="shared" si="84"/>
        <v>-9.7888787254239783E-4</v>
      </c>
      <c r="L354">
        <f t="shared" ref="L354:L417" si="87">(D354-K354)/F354</f>
        <v>0.88228516774952692</v>
      </c>
      <c r="M354">
        <f>RSQ($D$3:D354,$B$3:B354)</f>
        <v>6.6803677132827394E-2</v>
      </c>
      <c r="N354">
        <v>322</v>
      </c>
      <c r="O354" t="str">
        <f t="shared" si="85"/>
        <v/>
      </c>
      <c r="P354" t="str">
        <f t="shared" si="73"/>
        <v/>
      </c>
      <c r="Q354">
        <f t="shared" si="74"/>
        <v>0</v>
      </c>
      <c r="R354">
        <f t="shared" si="75"/>
        <v>0</v>
      </c>
      <c r="S354">
        <f t="shared" si="76"/>
        <v>0</v>
      </c>
      <c r="T354">
        <f t="shared" si="77"/>
        <v>0</v>
      </c>
      <c r="U354">
        <f t="shared" ref="U354:U417" si="88">ABS(Q354)+ABS(S354)</f>
        <v>0</v>
      </c>
      <c r="V354">
        <f t="shared" si="78"/>
        <v>0</v>
      </c>
      <c r="W354">
        <f t="shared" si="82"/>
        <v>0</v>
      </c>
      <c r="X354">
        <f>SUM($W$34:W354)</f>
        <v>207.37856449999967</v>
      </c>
      <c r="Y354">
        <f t="shared" si="79"/>
        <v>0</v>
      </c>
    </row>
    <row r="355" spans="1:25">
      <c r="A355">
        <v>117.981279</v>
      </c>
      <c r="B355" s="2">
        <f t="shared" si="80"/>
        <v>2.9979926672991014E-4</v>
      </c>
      <c r="C355">
        <v>106.7995665</v>
      </c>
      <c r="D355" s="3">
        <f t="shared" si="81"/>
        <v>2.9757352613767985E-2</v>
      </c>
      <c r="E355" s="3">
        <f t="shared" si="83"/>
        <v>2.9549040801570722E-2</v>
      </c>
      <c r="F355" s="3">
        <f>STDEV($E$32:E355)</f>
        <v>1.2970482409686391E-2</v>
      </c>
      <c r="G355" s="14">
        <f t="shared" si="86"/>
        <v>2.2781759280983582</v>
      </c>
      <c r="H355" s="15">
        <f>yint($B$3:B355,$D$3:D355)</f>
        <v>1.3017450620642925E-4</v>
      </c>
      <c r="I355" s="16">
        <f>MyReg($B$3:B355,$D$3:D355)</f>
        <v>0.26063207840074509</v>
      </c>
      <c r="J355" s="17">
        <f>STDEV($D$3:D355)</f>
        <v>1.3302829048261319E-2</v>
      </c>
      <c r="K355" s="4">
        <f t="shared" si="84"/>
        <v>2.083118121972651E-4</v>
      </c>
      <c r="L355">
        <f t="shared" si="87"/>
        <v>2.2781759280983582</v>
      </c>
      <c r="M355">
        <f>RSQ($D$3:D355,$B$3:B355)</f>
        <v>6.5805838175383199E-2</v>
      </c>
      <c r="N355">
        <v>323</v>
      </c>
      <c r="O355" t="str">
        <f t="shared" si="85"/>
        <v>sellY</v>
      </c>
      <c r="P355" t="str">
        <f t="shared" ref="P355:P418" si="89">IF(AND(OR(O354="sellY",P354="sellhold"),L355&gt;0.5),"sellhold",IF(AND(OR(O354="sellY",P354="sellhold"),L355&lt;0.5,O355&lt;&gt;"buyY"),"close",IF(AND(OR(O354="sellY",P354="sellhold"),L355&lt;0.5,O355="buyY"),"close&amp;buy",IF(AND(OR(O354="buyY",P354="buyhold"),L355&lt;-0.5),"buyhold",IF(AND(OR(O354="buyY",P354="buyhold"),L355&gt;-0.5,O355&lt;&gt;"sellY"),"close",IF(AND(OR(O354="buyY",P354="buyhold"),L355&gt;-0.5,O355="sellY"),"close&amp;sell",""))))))</f>
        <v/>
      </c>
      <c r="Q355">
        <f t="shared" ref="Q355:Q418" si="90">IF(O355="sellY",MAX(10+R355,Q354),IF(O355="buyY",MIN(-10+R355,Q354),IF(P355="sellhold",Q354+R355,IF(P355="buyhold",Q354+R355,0))))</f>
        <v>15</v>
      </c>
      <c r="R355">
        <f t="shared" ref="R355:R418" si="91">IF(AND(L355&gt;2.5,Q354&lt;15),10,IF(AND(L355&gt;2,Q354&lt;15),5,IF(AND(L355&lt;-2.5,Q354&gt;-15),-10,IF(AND(L355&lt;-2,Q354&gt;-15),-5,0))))</f>
        <v>5</v>
      </c>
      <c r="S355">
        <f t="shared" ref="S355:S418" si="92">IF(O355="sellY",MIN(-10+T355,S354),IF(O355="buyY",MAX(10+T355,S354),IF(P355="sellhold",S354+T355,IF(P355="buyhold",S354+T355,0))))</f>
        <v>-15</v>
      </c>
      <c r="T355">
        <f t="shared" ref="T355:T418" si="93">IF(AND(L355&gt;2.5,Q354&lt;15),-10,IF(AND(L355&gt;2,Q354&lt;15),-5,IF(AND(L355&lt;-2.5,Q354&gt;-15),10,IF(AND(L355&lt;-2,Q354&gt;-15),5,0))))</f>
        <v>-5</v>
      </c>
      <c r="U355">
        <f t="shared" si="88"/>
        <v>30</v>
      </c>
      <c r="V355">
        <f t="shared" ref="V355:V418" si="94">Q355-Q354</f>
        <v>15</v>
      </c>
      <c r="W355">
        <f t="shared" si="82"/>
        <v>-167.72568750000005</v>
      </c>
      <c r="X355">
        <f>SUM($W$34:W355)</f>
        <v>39.65287699999962</v>
      </c>
      <c r="Y355">
        <f t="shared" si="79"/>
        <v>0</v>
      </c>
    </row>
    <row r="356" spans="1:25">
      <c r="A356">
        <v>118.3957317</v>
      </c>
      <c r="B356" s="2">
        <f t="shared" si="80"/>
        <v>3.5128683424426872E-3</v>
      </c>
      <c r="C356">
        <v>107.29757909999999</v>
      </c>
      <c r="D356" s="3">
        <f t="shared" si="81"/>
        <v>4.6630582531437112E-3</v>
      </c>
      <c r="E356" s="3">
        <f t="shared" si="83"/>
        <v>3.6065774143616506E-3</v>
      </c>
      <c r="F356" s="3">
        <f>STDEV($E$32:E356)</f>
        <v>1.2951994320254054E-2</v>
      </c>
      <c r="G356" s="14">
        <f t="shared" si="86"/>
        <v>0.27845730357692955</v>
      </c>
      <c r="H356" s="15">
        <f>yint($B$3:B356,$D$3:D356)</f>
        <v>1.4029345949814761E-4</v>
      </c>
      <c r="I356" s="16">
        <f>MyReg($B$3:B356,$D$3:D356)</f>
        <v>0.2608089145313196</v>
      </c>
      <c r="J356" s="17">
        <f>STDEV($D$3:D356)</f>
        <v>1.328602069128295E-2</v>
      </c>
      <c r="K356" s="4">
        <f t="shared" si="84"/>
        <v>1.0564808387820608E-3</v>
      </c>
      <c r="L356">
        <f t="shared" si="87"/>
        <v>0.27845730357692955</v>
      </c>
      <c r="M356">
        <f>RSQ($D$3:D356,$B$3:B356)</f>
        <v>6.5884386411319523E-2</v>
      </c>
      <c r="N356">
        <v>324</v>
      </c>
      <c r="O356" t="str">
        <f t="shared" si="85"/>
        <v/>
      </c>
      <c r="P356" t="str">
        <f t="shared" si="89"/>
        <v>close</v>
      </c>
      <c r="Q356">
        <f t="shared" si="90"/>
        <v>0</v>
      </c>
      <c r="R356">
        <f t="shared" si="91"/>
        <v>0</v>
      </c>
      <c r="S356">
        <f t="shared" si="92"/>
        <v>0</v>
      </c>
      <c r="T356">
        <f t="shared" si="93"/>
        <v>0</v>
      </c>
      <c r="U356">
        <f t="shared" si="88"/>
        <v>0</v>
      </c>
      <c r="V356">
        <f t="shared" si="94"/>
        <v>-15</v>
      </c>
      <c r="W356">
        <f t="shared" si="82"/>
        <v>166.4722890000001</v>
      </c>
      <c r="X356">
        <f>SUM($W$34:W356)</f>
        <v>206.12516599999972</v>
      </c>
      <c r="Y356">
        <f t="shared" ref="Y356:Y419" si="95">IF(P356="close",X356,0)</f>
        <v>206.12516599999972</v>
      </c>
    </row>
    <row r="357" spans="1:25">
      <c r="A357">
        <v>117.2183201</v>
      </c>
      <c r="B357" s="2">
        <f t="shared" si="80"/>
        <v>-9.9447132349619934E-3</v>
      </c>
      <c r="C357">
        <v>108.6695117</v>
      </c>
      <c r="D357" s="3">
        <f t="shared" si="81"/>
        <v>1.2786240020582236E-2</v>
      </c>
      <c r="E357" s="3">
        <f t="shared" si="83"/>
        <v>1.5169018544336429E-2</v>
      </c>
      <c r="F357" s="3">
        <f>STDEV($E$32:E357)</f>
        <v>1.2959267437674222E-2</v>
      </c>
      <c r="G357" s="14">
        <f t="shared" si="86"/>
        <v>1.1705151249705816</v>
      </c>
      <c r="H357" s="15">
        <f>yint($B$3:B357,$D$3:D357)</f>
        <v>1.8462907429430569E-4</v>
      </c>
      <c r="I357" s="16">
        <f>MyReg($B$3:B357,$D$3:D357)</f>
        <v>0.25816808764504429</v>
      </c>
      <c r="J357" s="17">
        <f>STDEV($D$3:D357)</f>
        <v>1.3283817039417169E-2</v>
      </c>
      <c r="K357" s="4">
        <f t="shared" si="84"/>
        <v>-2.382778523754194E-3</v>
      </c>
      <c r="L357">
        <f t="shared" si="87"/>
        <v>1.1705151249705816</v>
      </c>
      <c r="M357">
        <f>RSQ($D$3:D357,$B$3:B357)</f>
        <v>6.4513372011513873E-2</v>
      </c>
      <c r="N357">
        <v>325</v>
      </c>
      <c r="O357" t="str">
        <f t="shared" si="85"/>
        <v/>
      </c>
      <c r="P357" t="str">
        <f t="shared" si="89"/>
        <v/>
      </c>
      <c r="Q357">
        <f t="shared" si="90"/>
        <v>0</v>
      </c>
      <c r="R357">
        <f t="shared" si="91"/>
        <v>0</v>
      </c>
      <c r="S357">
        <f t="shared" si="92"/>
        <v>0</v>
      </c>
      <c r="T357">
        <f t="shared" si="93"/>
        <v>0</v>
      </c>
      <c r="U357">
        <f t="shared" si="88"/>
        <v>0</v>
      </c>
      <c r="V357">
        <f t="shared" si="94"/>
        <v>0</v>
      </c>
      <c r="W357">
        <f t="shared" si="82"/>
        <v>0</v>
      </c>
      <c r="X357">
        <f>SUM($W$34:W357)</f>
        <v>206.12516599999972</v>
      </c>
      <c r="Y357">
        <f t="shared" si="95"/>
        <v>0</v>
      </c>
    </row>
    <row r="358" spans="1:25">
      <c r="A358">
        <v>118.69050660000001</v>
      </c>
      <c r="B358" s="2">
        <f t="shared" si="80"/>
        <v>1.2559355045730658E-2</v>
      </c>
      <c r="C358">
        <v>112.0247231</v>
      </c>
      <c r="D358" s="3">
        <f t="shared" si="81"/>
        <v>3.0875370170638225E-2</v>
      </c>
      <c r="E358" s="3">
        <f t="shared" si="83"/>
        <v>2.7306077946088112E-2</v>
      </c>
      <c r="F358" s="3">
        <f>STDEV($E$32:E358)</f>
        <v>1.3026807992175397E-2</v>
      </c>
      <c r="G358" s="14">
        <f t="shared" si="86"/>
        <v>2.0961449621802681</v>
      </c>
      <c r="H358" s="15">
        <f>yint($B$3:B358,$D$3:D358)</f>
        <v>2.5865361872564024E-4</v>
      </c>
      <c r="I358" s="16">
        <f>MyReg($B$3:B358,$D$3:D358)</f>
        <v>0.26359941205339749</v>
      </c>
      <c r="J358" s="17">
        <f>STDEV($D$3:D358)</f>
        <v>1.3363566420479775E-2</v>
      </c>
      <c r="K358" s="4">
        <f t="shared" si="84"/>
        <v>3.5692922245501128E-3</v>
      </c>
      <c r="L358">
        <f t="shared" si="87"/>
        <v>2.0961449621802681</v>
      </c>
      <c r="M358">
        <f>RSQ($D$3:D358,$B$3:B358)</f>
        <v>6.6426928084528186E-2</v>
      </c>
      <c r="N358">
        <v>326</v>
      </c>
      <c r="O358" t="str">
        <f t="shared" si="85"/>
        <v>sellY</v>
      </c>
      <c r="P358" t="str">
        <f t="shared" si="89"/>
        <v/>
      </c>
      <c r="Q358">
        <f t="shared" si="90"/>
        <v>15</v>
      </c>
      <c r="R358">
        <f t="shared" si="91"/>
        <v>5</v>
      </c>
      <c r="S358">
        <f t="shared" si="92"/>
        <v>-15</v>
      </c>
      <c r="T358">
        <f t="shared" si="93"/>
        <v>-5</v>
      </c>
      <c r="U358">
        <f t="shared" si="88"/>
        <v>30</v>
      </c>
      <c r="V358">
        <f t="shared" si="94"/>
        <v>15</v>
      </c>
      <c r="W358">
        <f t="shared" si="82"/>
        <v>-99.986752500000051</v>
      </c>
      <c r="X358">
        <f>SUM($W$34:W358)</f>
        <v>106.13841349999967</v>
      </c>
      <c r="Y358">
        <f t="shared" si="95"/>
        <v>0</v>
      </c>
    </row>
    <row r="359" spans="1:25">
      <c r="A359">
        <v>118.4149642</v>
      </c>
      <c r="B359" s="2">
        <f t="shared" si="80"/>
        <v>-2.3215201273730697E-3</v>
      </c>
      <c r="C359">
        <v>114.2577775</v>
      </c>
      <c r="D359" s="3">
        <f t="shared" si="81"/>
        <v>1.9933585535459361E-2</v>
      </c>
      <c r="E359" s="3">
        <f t="shared" si="83"/>
        <v>2.0227281213301911E-2</v>
      </c>
      <c r="F359" s="3">
        <f>STDEV($E$32:E359)</f>
        <v>1.3054065111267089E-2</v>
      </c>
      <c r="G359" s="14">
        <f t="shared" si="86"/>
        <v>1.5495005610048282</v>
      </c>
      <c r="H359" s="15">
        <f>yint($B$3:B359,$D$3:D359)</f>
        <v>3.1601797743810369E-4</v>
      </c>
      <c r="I359" s="16">
        <f>MyReg($B$3:B359,$D$3:D359)</f>
        <v>0.2626355240652512</v>
      </c>
      <c r="J359" s="17">
        <f>STDEV($D$3:D359)</f>
        <v>1.3384737054073151E-2</v>
      </c>
      <c r="K359" s="4">
        <f t="shared" si="84"/>
        <v>-2.9369567784255114E-4</v>
      </c>
      <c r="L359">
        <f t="shared" si="87"/>
        <v>1.5495005610048282</v>
      </c>
      <c r="M359">
        <f>RSQ($D$3:D359,$B$3:B359)</f>
        <v>6.5557932882316358E-2</v>
      </c>
      <c r="N359">
        <v>327</v>
      </c>
      <c r="O359" t="str">
        <f t="shared" si="85"/>
        <v>sellY</v>
      </c>
      <c r="P359" t="str">
        <f t="shared" si="89"/>
        <v>sellhold</v>
      </c>
      <c r="Q359">
        <f t="shared" si="90"/>
        <v>15</v>
      </c>
      <c r="R359">
        <f t="shared" si="91"/>
        <v>0</v>
      </c>
      <c r="S359">
        <f t="shared" si="92"/>
        <v>-15</v>
      </c>
      <c r="T359">
        <f t="shared" si="93"/>
        <v>0</v>
      </c>
      <c r="U359">
        <f t="shared" si="88"/>
        <v>30</v>
      </c>
      <c r="V359">
        <f t="shared" si="94"/>
        <v>0</v>
      </c>
      <c r="W359">
        <f t="shared" si="82"/>
        <v>0</v>
      </c>
      <c r="X359">
        <f>SUM($W$34:W359)</f>
        <v>106.13841349999967</v>
      </c>
      <c r="Y359">
        <f t="shared" si="95"/>
        <v>0</v>
      </c>
    </row>
    <row r="360" spans="1:25">
      <c r="A360">
        <v>118.0365113</v>
      </c>
      <c r="B360" s="2">
        <f t="shared" si="80"/>
        <v>-3.1959888056107624E-3</v>
      </c>
      <c r="C360">
        <v>112.63836139999999</v>
      </c>
      <c r="D360" s="3">
        <f t="shared" si="81"/>
        <v>-1.4173355507462144E-2</v>
      </c>
      <c r="E360" s="3">
        <f t="shared" si="83"/>
        <v>-1.3608708930170776E-2</v>
      </c>
      <c r="F360" s="3">
        <f>STDEV($E$32:E360)</f>
        <v>1.3056377278510179E-2</v>
      </c>
      <c r="G360" s="14">
        <f t="shared" si="86"/>
        <v>-1.0423035915613204</v>
      </c>
      <c r="H360" s="15">
        <f>yint($B$3:B360,$D$3:D360)</f>
        <v>2.7742755707827572E-4</v>
      </c>
      <c r="I360" s="16">
        <f>MyReg($B$3:B360,$D$3:D360)</f>
        <v>0.26347843674900517</v>
      </c>
      <c r="J360" s="17">
        <f>STDEV($D$3:D360)</f>
        <v>1.3388342912570716E-2</v>
      </c>
      <c r="K360" s="4">
        <f t="shared" si="84"/>
        <v>-5.6464657729136817E-4</v>
      </c>
      <c r="L360">
        <f t="shared" si="87"/>
        <v>-1.0423035915613204</v>
      </c>
      <c r="M360">
        <f>RSQ($D$3:D360,$B$3:B360)</f>
        <v>6.5774414007675974E-2</v>
      </c>
      <c r="N360">
        <v>328</v>
      </c>
      <c r="O360" t="str">
        <f t="shared" si="85"/>
        <v/>
      </c>
      <c r="P360" t="str">
        <f t="shared" si="89"/>
        <v>close</v>
      </c>
      <c r="Q360">
        <f t="shared" si="90"/>
        <v>0</v>
      </c>
      <c r="R360">
        <f t="shared" si="91"/>
        <v>0</v>
      </c>
      <c r="S360">
        <f t="shared" si="92"/>
        <v>0</v>
      </c>
      <c r="T360">
        <f t="shared" si="93"/>
        <v>0</v>
      </c>
      <c r="U360">
        <f t="shared" si="88"/>
        <v>0</v>
      </c>
      <c r="V360">
        <f t="shared" si="94"/>
        <v>-15</v>
      </c>
      <c r="W360">
        <f t="shared" si="82"/>
        <v>80.972248500000106</v>
      </c>
      <c r="X360">
        <f>SUM($W$34:W360)</f>
        <v>187.11066199999976</v>
      </c>
      <c r="Y360">
        <f t="shared" si="95"/>
        <v>187.11066199999976</v>
      </c>
    </row>
    <row r="361" spans="1:25">
      <c r="A361">
        <v>117.5276111</v>
      </c>
      <c r="B361" s="2">
        <f t="shared" si="80"/>
        <v>-4.3113795417638653E-3</v>
      </c>
      <c r="C361">
        <v>110.87901599999999</v>
      </c>
      <c r="D361" s="3">
        <f t="shared" si="81"/>
        <v>-1.5619415784576577E-2</v>
      </c>
      <c r="E361" s="3">
        <f t="shared" si="83"/>
        <v>-1.4714056326704106E-2</v>
      </c>
      <c r="F361" s="3">
        <f>STDEV($E$32:E361)</f>
        <v>1.3062214277467446E-2</v>
      </c>
      <c r="G361" s="14">
        <f t="shared" si="86"/>
        <v>-1.1264595737099581</v>
      </c>
      <c r="H361" s="15">
        <f>yint($B$3:B361,$D$3:D361)</f>
        <v>2.3568053555346276E-4</v>
      </c>
      <c r="I361" s="16">
        <f>MyReg($B$3:B361,$D$3:D361)</f>
        <v>0.26465774640641182</v>
      </c>
      <c r="J361" s="17">
        <f>STDEV($D$3:D361)</f>
        <v>1.339641021169794E-2</v>
      </c>
      <c r="K361" s="4">
        <f t="shared" si="84"/>
        <v>-9.053594578724703E-4</v>
      </c>
      <c r="L361">
        <f t="shared" si="87"/>
        <v>-1.1264595737099581</v>
      </c>
      <c r="M361">
        <f>RSQ($D$3:D361,$B$3:B361)</f>
        <v>6.6125148979783985E-2</v>
      </c>
      <c r="N361">
        <v>329</v>
      </c>
      <c r="O361" t="str">
        <f t="shared" si="85"/>
        <v/>
      </c>
      <c r="P361" t="str">
        <f t="shared" si="89"/>
        <v/>
      </c>
      <c r="Q361">
        <f t="shared" si="90"/>
        <v>0</v>
      </c>
      <c r="R361">
        <f t="shared" si="91"/>
        <v>0</v>
      </c>
      <c r="S361">
        <f t="shared" si="92"/>
        <v>0</v>
      </c>
      <c r="T361">
        <f t="shared" si="93"/>
        <v>0</v>
      </c>
      <c r="U361">
        <f t="shared" si="88"/>
        <v>0</v>
      </c>
      <c r="V361">
        <f t="shared" si="94"/>
        <v>0</v>
      </c>
      <c r="W361">
        <f t="shared" si="82"/>
        <v>0</v>
      </c>
      <c r="X361">
        <f>SUM($W$34:W361)</f>
        <v>187.11066199999976</v>
      </c>
      <c r="Y361">
        <f t="shared" si="95"/>
        <v>0</v>
      </c>
    </row>
    <row r="362" spans="1:25">
      <c r="A362">
        <v>118.8266471</v>
      </c>
      <c r="B362" s="2">
        <f t="shared" si="80"/>
        <v>1.1053028201983091E-2</v>
      </c>
      <c r="C362">
        <v>109.3287048</v>
      </c>
      <c r="D362" s="3">
        <f t="shared" si="81"/>
        <v>-1.3982007199630957E-2</v>
      </c>
      <c r="E362" s="3">
        <f t="shared" si="83"/>
        <v>-1.7064297147544084E-2</v>
      </c>
      <c r="F362" s="3">
        <f>STDEV($E$32:E362)</f>
        <v>1.307655277892044E-2</v>
      </c>
      <c r="G362" s="14">
        <f t="shared" si="86"/>
        <v>-1.3049537929485464</v>
      </c>
      <c r="H362" s="15">
        <f>yint($B$3:B362,$D$3:D362)</f>
        <v>1.8972941283934526E-4</v>
      </c>
      <c r="I362" s="16">
        <f>MyReg($B$3:B362,$D$3:D362)</f>
        <v>0.26169846690111681</v>
      </c>
      <c r="J362" s="17">
        <f>STDEV($D$3:D362)</f>
        <v>1.3399128472502329E-2</v>
      </c>
      <c r="K362" s="4">
        <f t="shared" si="84"/>
        <v>3.082289947913128E-3</v>
      </c>
      <c r="L362">
        <f t="shared" si="87"/>
        <v>-1.3049537929485464</v>
      </c>
      <c r="M362">
        <f>RSQ($D$3:D362,$B$3:B362)</f>
        <v>6.4565636453480318E-2</v>
      </c>
      <c r="N362">
        <v>330</v>
      </c>
      <c r="O362" t="str">
        <f t="shared" si="85"/>
        <v/>
      </c>
      <c r="P362" t="str">
        <f t="shared" si="89"/>
        <v/>
      </c>
      <c r="Q362">
        <f t="shared" si="90"/>
        <v>0</v>
      </c>
      <c r="R362">
        <f t="shared" si="91"/>
        <v>0</v>
      </c>
      <c r="S362">
        <f t="shared" si="92"/>
        <v>0</v>
      </c>
      <c r="T362">
        <f t="shared" si="93"/>
        <v>0</v>
      </c>
      <c r="U362">
        <f t="shared" si="88"/>
        <v>0</v>
      </c>
      <c r="V362">
        <f t="shared" si="94"/>
        <v>0</v>
      </c>
      <c r="W362">
        <f t="shared" si="82"/>
        <v>0</v>
      </c>
      <c r="X362">
        <f>SUM($W$34:W362)</f>
        <v>187.11066199999976</v>
      </c>
      <c r="Y362">
        <f t="shared" si="95"/>
        <v>0</v>
      </c>
    </row>
    <row r="363" spans="1:25">
      <c r="A363">
        <v>114.8779248</v>
      </c>
      <c r="B363" s="2">
        <f t="shared" si="80"/>
        <v>-3.3230949423969737E-2</v>
      </c>
      <c r="C363">
        <v>107.7989627</v>
      </c>
      <c r="D363" s="3">
        <f t="shared" si="81"/>
        <v>-1.3992135942691539E-2</v>
      </c>
      <c r="E363" s="3">
        <f t="shared" si="83"/>
        <v>-5.3695392350086874E-3</v>
      </c>
      <c r="F363" s="3">
        <f>STDEV($E$32:E363)</f>
        <v>1.3060190907851647E-2</v>
      </c>
      <c r="G363" s="14">
        <f t="shared" si="86"/>
        <v>-0.41113788250833133</v>
      </c>
      <c r="H363" s="15">
        <f>yint($B$3:B363,$D$3:D363)</f>
        <v>1.7313057110485708E-4</v>
      </c>
      <c r="I363" s="16">
        <f>MyReg($B$3:B363,$D$3:D363)</f>
        <v>0.26468480230791369</v>
      </c>
      <c r="J363" s="17">
        <f>STDEV($D$3:D363)</f>
        <v>1.3401743021003779E-2</v>
      </c>
      <c r="K363" s="4">
        <f t="shared" si="84"/>
        <v>-8.6225967076828513E-3</v>
      </c>
      <c r="L363">
        <f t="shared" si="87"/>
        <v>-0.41113788250833133</v>
      </c>
      <c r="M363">
        <f>RSQ($D$3:D363,$B$3:B363)</f>
        <v>6.7072472502230945E-2</v>
      </c>
      <c r="N363">
        <v>331</v>
      </c>
      <c r="O363" t="str">
        <f t="shared" si="85"/>
        <v/>
      </c>
      <c r="P363" t="str">
        <f t="shared" si="89"/>
        <v/>
      </c>
      <c r="Q363">
        <f t="shared" si="90"/>
        <v>0</v>
      </c>
      <c r="R363">
        <f t="shared" si="91"/>
        <v>0</v>
      </c>
      <c r="S363">
        <f t="shared" si="92"/>
        <v>0</v>
      </c>
      <c r="T363">
        <f t="shared" si="93"/>
        <v>0</v>
      </c>
      <c r="U363">
        <f t="shared" si="88"/>
        <v>0</v>
      </c>
      <c r="V363">
        <f t="shared" si="94"/>
        <v>0</v>
      </c>
      <c r="W363">
        <f t="shared" si="82"/>
        <v>0</v>
      </c>
      <c r="X363">
        <f>SUM($W$34:W363)</f>
        <v>187.11066199999976</v>
      </c>
      <c r="Y363">
        <f t="shared" si="95"/>
        <v>0</v>
      </c>
    </row>
    <row r="364" spans="1:25">
      <c r="A364">
        <v>115.8499016</v>
      </c>
      <c r="B364" s="2">
        <f t="shared" si="80"/>
        <v>8.4609536748873546E-3</v>
      </c>
      <c r="C364">
        <v>109.3953909</v>
      </c>
      <c r="D364" s="3">
        <f t="shared" si="81"/>
        <v>1.4809309477706051E-2</v>
      </c>
      <c r="E364" s="3">
        <f t="shared" si="83"/>
        <v>1.2349744324768878E-2</v>
      </c>
      <c r="F364" s="3">
        <f>STDEV($E$32:E364)</f>
        <v>1.3057918340497269E-2</v>
      </c>
      <c r="G364" s="14">
        <f t="shared" si="86"/>
        <v>0.94576669900499444</v>
      </c>
      <c r="H364" s="15">
        <f>yint($B$3:B364,$D$3:D364)</f>
        <v>2.0659095307736032E-4</v>
      </c>
      <c r="I364" s="16">
        <f>MyReg($B$3:B364,$D$3:D364)</f>
        <v>0.26627899010330031</v>
      </c>
      <c r="J364" s="17">
        <f>STDEV($D$3:D364)</f>
        <v>1.3404884676533091E-2</v>
      </c>
      <c r="K364" s="4">
        <f t="shared" si="84"/>
        <v>2.4595651529371728E-3</v>
      </c>
      <c r="L364">
        <f t="shared" si="87"/>
        <v>0.94576669900499444</v>
      </c>
      <c r="M364">
        <f>RSQ($D$3:D364,$B$3:B364)</f>
        <v>6.773269046877485E-2</v>
      </c>
      <c r="N364">
        <v>332</v>
      </c>
      <c r="O364" t="str">
        <f t="shared" si="85"/>
        <v/>
      </c>
      <c r="P364" t="str">
        <f t="shared" si="89"/>
        <v/>
      </c>
      <c r="Q364">
        <f t="shared" si="90"/>
        <v>0</v>
      </c>
      <c r="R364">
        <f t="shared" si="91"/>
        <v>0</v>
      </c>
      <c r="S364">
        <f t="shared" si="92"/>
        <v>0</v>
      </c>
      <c r="T364">
        <f t="shared" si="93"/>
        <v>0</v>
      </c>
      <c r="U364">
        <f t="shared" si="88"/>
        <v>0</v>
      </c>
      <c r="V364">
        <f t="shared" si="94"/>
        <v>0</v>
      </c>
      <c r="W364">
        <f t="shared" si="82"/>
        <v>0</v>
      </c>
      <c r="X364">
        <f>SUM($W$34:W364)</f>
        <v>187.11066199999976</v>
      </c>
      <c r="Y364">
        <f t="shared" si="95"/>
        <v>0</v>
      </c>
    </row>
    <row r="365" spans="1:25">
      <c r="A365">
        <v>115.6575917</v>
      </c>
      <c r="B365" s="2">
        <f t="shared" si="80"/>
        <v>-1.6599919149175861E-3</v>
      </c>
      <c r="C365">
        <v>108.4955289</v>
      </c>
      <c r="D365" s="3">
        <f t="shared" si="81"/>
        <v>-8.2257761739027609E-3</v>
      </c>
      <c r="E365" s="3">
        <f t="shared" si="83"/>
        <v>-7.9677402566182103E-3</v>
      </c>
      <c r="F365" s="3">
        <f>STDEV($E$32:E365)</f>
        <v>1.3045741503739846E-2</v>
      </c>
      <c r="G365" s="14">
        <f t="shared" si="86"/>
        <v>-0.61075411116601408</v>
      </c>
      <c r="H365" s="15">
        <f>yint($B$3:B365,$D$3:D365)</f>
        <v>1.8444442072221119E-4</v>
      </c>
      <c r="I365" s="16">
        <f>MyReg($B$3:B365,$D$3:D365)</f>
        <v>0.26655571875404532</v>
      </c>
      <c r="J365" s="17">
        <f>STDEV($D$3:D365)</f>
        <v>1.3393900349419553E-2</v>
      </c>
      <c r="K365" s="4">
        <f t="shared" si="84"/>
        <v>-2.5803591728455007E-4</v>
      </c>
      <c r="L365">
        <f t="shared" si="87"/>
        <v>-0.61075411116601408</v>
      </c>
      <c r="M365">
        <f>RSQ($D$3:D365,$B$3:B365)</f>
        <v>6.7802166895831614E-2</v>
      </c>
      <c r="N365">
        <v>333</v>
      </c>
      <c r="O365" t="str">
        <f t="shared" si="85"/>
        <v/>
      </c>
      <c r="P365" t="str">
        <f t="shared" si="89"/>
        <v/>
      </c>
      <c r="Q365">
        <f t="shared" si="90"/>
        <v>0</v>
      </c>
      <c r="R365">
        <f t="shared" si="91"/>
        <v>0</v>
      </c>
      <c r="S365">
        <f t="shared" si="92"/>
        <v>0</v>
      </c>
      <c r="T365">
        <f t="shared" si="93"/>
        <v>0</v>
      </c>
      <c r="U365">
        <f t="shared" si="88"/>
        <v>0</v>
      </c>
      <c r="V365">
        <f t="shared" si="94"/>
        <v>0</v>
      </c>
      <c r="W365">
        <f t="shared" si="82"/>
        <v>0</v>
      </c>
      <c r="X365">
        <f>SUM($W$34:W365)</f>
        <v>187.11066199999976</v>
      </c>
      <c r="Y365">
        <f t="shared" si="95"/>
        <v>0</v>
      </c>
    </row>
    <row r="366" spans="1:25">
      <c r="A366">
        <v>117.2300711</v>
      </c>
      <c r="B366" s="2">
        <f t="shared" si="80"/>
        <v>1.3595989479694535E-2</v>
      </c>
      <c r="C366">
        <v>108.0216497</v>
      </c>
      <c r="D366" s="3">
        <f t="shared" si="81"/>
        <v>-4.3677302171297033E-3</v>
      </c>
      <c r="E366" s="3">
        <f t="shared" si="83"/>
        <v>-8.131312456840822E-3</v>
      </c>
      <c r="F366" s="3">
        <f>STDEV($E$32:E366)</f>
        <v>1.3033885825768771E-2</v>
      </c>
      <c r="G366" s="14">
        <f t="shared" si="86"/>
        <v>-0.62385942040129971</v>
      </c>
      <c r="H366" s="15">
        <f>yint($B$3:B366,$D$3:D366)</f>
        <v>1.6288053125355627E-4</v>
      </c>
      <c r="I366" s="16">
        <f>MyReg($B$3:B366,$D$3:D366)</f>
        <v>0.26483557624365417</v>
      </c>
      <c r="J366" s="17">
        <f>STDEV($D$3:D366)</f>
        <v>1.3377689582087335E-2</v>
      </c>
      <c r="K366" s="4">
        <f t="shared" si="84"/>
        <v>3.7635822397111183E-3</v>
      </c>
      <c r="L366">
        <f t="shared" si="87"/>
        <v>-0.62385942040129971</v>
      </c>
      <c r="M366">
        <f>RSQ($D$3:D366,$B$3:B366)</f>
        <v>6.7092430245019721E-2</v>
      </c>
      <c r="N366">
        <v>334</v>
      </c>
      <c r="O366" t="str">
        <f t="shared" si="85"/>
        <v/>
      </c>
      <c r="P366" t="str">
        <f t="shared" si="89"/>
        <v/>
      </c>
      <c r="Q366">
        <f t="shared" si="90"/>
        <v>0</v>
      </c>
      <c r="R366">
        <f t="shared" si="91"/>
        <v>0</v>
      </c>
      <c r="S366">
        <f t="shared" si="92"/>
        <v>0</v>
      </c>
      <c r="T366">
        <f t="shared" si="93"/>
        <v>0</v>
      </c>
      <c r="U366">
        <f t="shared" si="88"/>
        <v>0</v>
      </c>
      <c r="V366">
        <f t="shared" si="94"/>
        <v>0</v>
      </c>
      <c r="W366">
        <f t="shared" si="82"/>
        <v>0</v>
      </c>
      <c r="X366">
        <f>SUM($W$34:W366)</f>
        <v>187.11066199999976</v>
      </c>
      <c r="Y366">
        <f t="shared" si="95"/>
        <v>0</v>
      </c>
    </row>
    <row r="367" spans="1:25">
      <c r="A367">
        <v>118.54728710000001</v>
      </c>
      <c r="B367" s="2">
        <f t="shared" si="80"/>
        <v>1.1236161401594526E-2</v>
      </c>
      <c r="C367">
        <v>106.77856389999999</v>
      </c>
      <c r="D367" s="3">
        <f t="shared" si="81"/>
        <v>-1.1507746858637384E-2</v>
      </c>
      <c r="E367" s="3">
        <f t="shared" si="83"/>
        <v>-1.4579378951965417E-2</v>
      </c>
      <c r="F367" s="3">
        <f>STDEV($E$32:E367)</f>
        <v>1.3038822765139745E-2</v>
      </c>
      <c r="G367" s="14">
        <f t="shared" si="86"/>
        <v>-1.1181514784405584</v>
      </c>
      <c r="H367" s="15">
        <f>yint($B$3:B367,$D$3:D367)</f>
        <v>1.2414006267762084E-4</v>
      </c>
      <c r="I367" s="16">
        <f>MyReg($B$3:B367,$D$3:D367)</f>
        <v>0.2623219732525498</v>
      </c>
      <c r="J367" s="17">
        <f>STDEV($D$3:D367)</f>
        <v>1.3373592672301482E-2</v>
      </c>
      <c r="K367" s="4">
        <f t="shared" si="84"/>
        <v>3.0716320933280327E-3</v>
      </c>
      <c r="L367">
        <f t="shared" si="87"/>
        <v>-1.1181514784405584</v>
      </c>
      <c r="M367">
        <f>RSQ($D$3:D367,$B$3:B367)</f>
        <v>6.5805285880523492E-2</v>
      </c>
      <c r="N367">
        <v>335</v>
      </c>
      <c r="O367" t="str">
        <f t="shared" si="85"/>
        <v/>
      </c>
      <c r="P367" t="str">
        <f t="shared" si="89"/>
        <v/>
      </c>
      <c r="Q367">
        <f t="shared" si="90"/>
        <v>0</v>
      </c>
      <c r="R367">
        <f t="shared" si="91"/>
        <v>0</v>
      </c>
      <c r="S367">
        <f t="shared" si="92"/>
        <v>0</v>
      </c>
      <c r="T367">
        <f t="shared" si="93"/>
        <v>0</v>
      </c>
      <c r="U367">
        <f t="shared" si="88"/>
        <v>0</v>
      </c>
      <c r="V367">
        <f t="shared" si="94"/>
        <v>0</v>
      </c>
      <c r="W367">
        <f t="shared" si="82"/>
        <v>0</v>
      </c>
      <c r="X367">
        <f>SUM($W$34:W367)</f>
        <v>187.11066199999976</v>
      </c>
      <c r="Y367">
        <f t="shared" si="95"/>
        <v>0</v>
      </c>
    </row>
    <row r="368" spans="1:25">
      <c r="A368">
        <v>117.37636209999999</v>
      </c>
      <c r="B368" s="2">
        <f t="shared" si="80"/>
        <v>-9.8772821263491493E-3</v>
      </c>
      <c r="C368">
        <v>109.1331271</v>
      </c>
      <c r="D368" s="3">
        <f t="shared" si="81"/>
        <v>2.2050897801969796E-2</v>
      </c>
      <c r="E368" s="3">
        <f t="shared" si="83"/>
        <v>2.4408273111000852E-2</v>
      </c>
      <c r="F368" s="3">
        <f>STDEV($E$32:E368)</f>
        <v>1.3087157785786277E-2</v>
      </c>
      <c r="G368" s="14">
        <f t="shared" si="86"/>
        <v>1.8650553092215509</v>
      </c>
      <c r="H368" s="15">
        <f>yint($B$3:B368,$D$3:D368)</f>
        <v>1.9326745760263212E-4</v>
      </c>
      <c r="I368" s="16">
        <f>MyReg($B$3:B368,$D$3:D368)</f>
        <v>0.25823326032466587</v>
      </c>
      <c r="J368" s="17">
        <f>STDEV($D$3:D368)</f>
        <v>1.3403704935961396E-2</v>
      </c>
      <c r="K368" s="4">
        <f t="shared" si="84"/>
        <v>-2.3573753090310569E-3</v>
      </c>
      <c r="L368">
        <f t="shared" si="87"/>
        <v>1.8650553092215509</v>
      </c>
      <c r="M368">
        <f>RSQ($D$3:D368,$B$3:B368)</f>
        <v>6.3420075290043093E-2</v>
      </c>
      <c r="N368">
        <v>336</v>
      </c>
      <c r="O368" t="str">
        <f t="shared" si="85"/>
        <v>sellY</v>
      </c>
      <c r="P368" t="str">
        <f t="shared" si="89"/>
        <v/>
      </c>
      <c r="Q368">
        <f t="shared" si="90"/>
        <v>10</v>
      </c>
      <c r="R368">
        <f t="shared" si="91"/>
        <v>0</v>
      </c>
      <c r="S368">
        <f t="shared" si="92"/>
        <v>-10</v>
      </c>
      <c r="T368">
        <f t="shared" si="93"/>
        <v>0</v>
      </c>
      <c r="U368">
        <f t="shared" si="88"/>
        <v>20</v>
      </c>
      <c r="V368">
        <f t="shared" si="94"/>
        <v>10</v>
      </c>
      <c r="W368">
        <f t="shared" si="82"/>
        <v>-82.432349999999985</v>
      </c>
      <c r="X368">
        <f>SUM($W$34:W368)</f>
        <v>104.67831199999978</v>
      </c>
      <c r="Y368">
        <f t="shared" si="95"/>
        <v>0</v>
      </c>
    </row>
    <row r="369" spans="1:25">
      <c r="A369">
        <v>117.18467459999999</v>
      </c>
      <c r="B369" s="2">
        <f t="shared" si="80"/>
        <v>-1.6331013891595168E-3</v>
      </c>
      <c r="C369">
        <v>110.69237990000001</v>
      </c>
      <c r="D369" s="3">
        <f t="shared" si="81"/>
        <v>1.4287621379814838E-2</v>
      </c>
      <c r="E369" s="3">
        <f t="shared" si="83"/>
        <v>1.4475445485896294E-2</v>
      </c>
      <c r="F369" s="3">
        <f>STDEV($E$32:E369)</f>
        <v>1.3091209561403324E-2</v>
      </c>
      <c r="G369" s="14">
        <f t="shared" si="86"/>
        <v>1.1057378172735159</v>
      </c>
      <c r="H369" s="15">
        <f>yint($B$3:B369,$D$3:D369)</f>
        <v>2.3307966559115109E-4</v>
      </c>
      <c r="I369" s="16">
        <f>MyReg($B$3:B369,$D$3:D369)</f>
        <v>0.25773278650459513</v>
      </c>
      <c r="J369" s="17">
        <f>STDEV($D$3:D369)</f>
        <v>1.3405200119863825E-2</v>
      </c>
      <c r="K369" s="4">
        <f t="shared" si="84"/>
        <v>-1.8782410608145637E-4</v>
      </c>
      <c r="L369">
        <f t="shared" si="87"/>
        <v>1.1057378172735159</v>
      </c>
      <c r="M369">
        <f>RSQ($D$3:D369,$B$3:B369)</f>
        <v>6.2992510207153352E-2</v>
      </c>
      <c r="N369">
        <v>337</v>
      </c>
      <c r="O369" t="str">
        <f t="shared" si="85"/>
        <v/>
      </c>
      <c r="P369" t="str">
        <f t="shared" si="89"/>
        <v>sellhold</v>
      </c>
      <c r="Q369">
        <f t="shared" si="90"/>
        <v>10</v>
      </c>
      <c r="R369">
        <f t="shared" si="91"/>
        <v>0</v>
      </c>
      <c r="S369">
        <f t="shared" si="92"/>
        <v>-10</v>
      </c>
      <c r="T369">
        <f t="shared" si="93"/>
        <v>0</v>
      </c>
      <c r="U369">
        <f t="shared" si="88"/>
        <v>20</v>
      </c>
      <c r="V369">
        <f t="shared" si="94"/>
        <v>0</v>
      </c>
      <c r="W369">
        <f t="shared" si="82"/>
        <v>0</v>
      </c>
      <c r="X369">
        <f>SUM($W$34:W369)</f>
        <v>104.67831199999978</v>
      </c>
      <c r="Y369">
        <f t="shared" si="95"/>
        <v>0</v>
      </c>
    </row>
    <row r="370" spans="1:25">
      <c r="A370">
        <v>118.1666886</v>
      </c>
      <c r="B370" s="2">
        <f t="shared" si="80"/>
        <v>8.3800548437927454E-3</v>
      </c>
      <c r="C370">
        <v>110.8655291</v>
      </c>
      <c r="D370" s="3">
        <f t="shared" si="81"/>
        <v>1.5642377565323034E-3</v>
      </c>
      <c r="E370" s="3">
        <f t="shared" si="83"/>
        <v>-8.2558887935942418E-4</v>
      </c>
      <c r="F370" s="3">
        <f>STDEV($E$32:E370)</f>
        <v>1.3071927990008177E-2</v>
      </c>
      <c r="G370" s="14">
        <f t="shared" si="86"/>
        <v>-6.315739193105116E-2</v>
      </c>
      <c r="H370" s="15">
        <f>yint($B$3:B370,$D$3:D370)</f>
        <v>2.3088393958923512E-4</v>
      </c>
      <c r="I370" s="16">
        <f>MyReg($B$3:B370,$D$3:D370)</f>
        <v>0.25762870727530612</v>
      </c>
      <c r="J370" s="17">
        <f>STDEV($D$3:D370)</f>
        <v>1.3387070073228681E-2</v>
      </c>
      <c r="K370" s="4">
        <f t="shared" si="84"/>
        <v>2.3898266358917276E-3</v>
      </c>
      <c r="L370">
        <f t="shared" si="87"/>
        <v>-6.315739193105116E-2</v>
      </c>
      <c r="M370">
        <f>RSQ($D$3:D370,$B$3:B370)</f>
        <v>6.3002494295334499E-2</v>
      </c>
      <c r="N370">
        <v>338</v>
      </c>
      <c r="O370" t="str">
        <f t="shared" si="85"/>
        <v/>
      </c>
      <c r="P370" t="str">
        <f t="shared" si="89"/>
        <v>close</v>
      </c>
      <c r="Q370">
        <f t="shared" si="90"/>
        <v>0</v>
      </c>
      <c r="R370">
        <f t="shared" si="91"/>
        <v>0</v>
      </c>
      <c r="S370">
        <f t="shared" si="92"/>
        <v>0</v>
      </c>
      <c r="T370">
        <f t="shared" si="93"/>
        <v>0</v>
      </c>
      <c r="U370">
        <f t="shared" si="88"/>
        <v>0</v>
      </c>
      <c r="V370">
        <f t="shared" si="94"/>
        <v>-10</v>
      </c>
      <c r="W370">
        <f t="shared" si="82"/>
        <v>73.011594999999971</v>
      </c>
      <c r="X370">
        <f>SUM($W$34:W370)</f>
        <v>177.68990699999975</v>
      </c>
      <c r="Y370">
        <f t="shared" si="95"/>
        <v>177.68990699999975</v>
      </c>
    </row>
    <row r="371" spans="1:25">
      <c r="A371">
        <v>119.1160663</v>
      </c>
      <c r="B371" s="2">
        <f t="shared" si="80"/>
        <v>8.0342244607842835E-3</v>
      </c>
      <c r="C371">
        <v>112.29181199999999</v>
      </c>
      <c r="D371" s="3">
        <f t="shared" si="81"/>
        <v>1.2864980770654975E-2</v>
      </c>
      <c r="E371" s="3">
        <f t="shared" si="83"/>
        <v>1.0526173447235752E-2</v>
      </c>
      <c r="F371" s="3">
        <f>STDEV($E$32:E371)</f>
        <v>1.3064861550955147E-2</v>
      </c>
      <c r="G371" s="14">
        <f t="shared" si="86"/>
        <v>0.80568580127557521</v>
      </c>
      <c r="H371" s="15">
        <f>yint($B$3:B371,$D$3:D371)</f>
        <v>2.5880698001132414E-4</v>
      </c>
      <c r="I371" s="16">
        <f>MyReg($B$3:B371,$D$3:D371)</f>
        <v>0.25889248595935477</v>
      </c>
      <c r="J371" s="17">
        <f>STDEV($D$3:D371)</f>
        <v>1.3384684426644575E-2</v>
      </c>
      <c r="K371" s="4">
        <f t="shared" si="84"/>
        <v>2.3388073234192237E-3</v>
      </c>
      <c r="L371">
        <f t="shared" si="87"/>
        <v>0.80568580127557521</v>
      </c>
      <c r="M371">
        <f>RSQ($D$3:D371,$B$3:B371)</f>
        <v>6.3528817626833073E-2</v>
      </c>
      <c r="N371">
        <v>339</v>
      </c>
      <c r="O371" t="str">
        <f t="shared" si="85"/>
        <v/>
      </c>
      <c r="P371" t="str">
        <f t="shared" si="89"/>
        <v/>
      </c>
      <c r="Q371">
        <f t="shared" si="90"/>
        <v>0</v>
      </c>
      <c r="R371">
        <f t="shared" si="91"/>
        <v>0</v>
      </c>
      <c r="S371">
        <f t="shared" si="92"/>
        <v>0</v>
      </c>
      <c r="T371">
        <f t="shared" si="93"/>
        <v>0</v>
      </c>
      <c r="U371">
        <f t="shared" si="88"/>
        <v>0</v>
      </c>
      <c r="V371">
        <f t="shared" si="94"/>
        <v>0</v>
      </c>
      <c r="W371">
        <f t="shared" si="82"/>
        <v>0</v>
      </c>
      <c r="X371">
        <f>SUM($W$34:W371)</f>
        <v>177.68990699999975</v>
      </c>
      <c r="Y371">
        <f t="shared" si="95"/>
        <v>0</v>
      </c>
    </row>
    <row r="372" spans="1:25">
      <c r="A372">
        <v>119.4831401</v>
      </c>
      <c r="B372" s="2">
        <f t="shared" si="80"/>
        <v>3.0816481050969695E-3</v>
      </c>
      <c r="C372">
        <v>109.90207030000001</v>
      </c>
      <c r="D372" s="3">
        <f t="shared" si="81"/>
        <v>-2.1281531194812207E-2</v>
      </c>
      <c r="E372" s="3">
        <f t="shared" si="83"/>
        <v>-2.2275517796624247E-2</v>
      </c>
      <c r="F372" s="3">
        <f>STDEV($E$32:E372)</f>
        <v>1.3101968958230282E-2</v>
      </c>
      <c r="G372" s="14">
        <f t="shared" si="86"/>
        <v>-1.7001656672855574</v>
      </c>
      <c r="H372" s="15">
        <f>yint($B$3:B372,$D$3:D372)</f>
        <v>1.9894236389651852E-4</v>
      </c>
      <c r="I372" s="16">
        <f>MyReg($B$3:B372,$D$3:D372)</f>
        <v>0.25799319416144212</v>
      </c>
      <c r="J372" s="17">
        <f>STDEV($D$3:D372)</f>
        <v>1.3413992621939678E-2</v>
      </c>
      <c r="K372" s="4">
        <f t="shared" si="84"/>
        <v>9.9398660181204126E-4</v>
      </c>
      <c r="L372">
        <f t="shared" si="87"/>
        <v>-1.7001656672855574</v>
      </c>
      <c r="M372">
        <f>RSQ($D$3:D372,$B$3:B372)</f>
        <v>6.2648991994489908E-2</v>
      </c>
      <c r="N372">
        <v>340</v>
      </c>
      <c r="O372" t="str">
        <f t="shared" si="85"/>
        <v>buyY</v>
      </c>
      <c r="P372" t="str">
        <f t="shared" si="89"/>
        <v/>
      </c>
      <c r="Q372">
        <f t="shared" si="90"/>
        <v>-10</v>
      </c>
      <c r="R372">
        <f t="shared" si="91"/>
        <v>0</v>
      </c>
      <c r="S372">
        <f t="shared" si="92"/>
        <v>10</v>
      </c>
      <c r="T372">
        <f t="shared" si="93"/>
        <v>0</v>
      </c>
      <c r="U372">
        <f t="shared" si="88"/>
        <v>20</v>
      </c>
      <c r="V372">
        <f t="shared" si="94"/>
        <v>-10</v>
      </c>
      <c r="W372">
        <f t="shared" si="82"/>
        <v>95.810697999999945</v>
      </c>
      <c r="X372">
        <f>SUM($W$34:W372)</f>
        <v>273.50060499999972</v>
      </c>
      <c r="Y372">
        <f t="shared" si="95"/>
        <v>0</v>
      </c>
    </row>
    <row r="373" spans="1:25">
      <c r="A373">
        <v>117.3742477</v>
      </c>
      <c r="B373" s="2">
        <f t="shared" si="80"/>
        <v>-1.7650125350195764E-2</v>
      </c>
      <c r="C373">
        <v>108.6518033</v>
      </c>
      <c r="D373" s="3">
        <f t="shared" si="81"/>
        <v>-1.1376191518386782E-2</v>
      </c>
      <c r="E373" s="3">
        <f t="shared" si="83"/>
        <v>-6.9657104471838038E-3</v>
      </c>
      <c r="F373" s="3">
        <f>STDEV($E$32:E373)</f>
        <v>1.3088275513563622E-2</v>
      </c>
      <c r="G373" s="14">
        <f t="shared" si="86"/>
        <v>-0.53220994927598442</v>
      </c>
      <c r="H373" s="15">
        <f>yint($B$3:B373,$D$3:D373)</f>
        <v>1.7896744183873962E-4</v>
      </c>
      <c r="I373" s="16">
        <f>MyReg($B$3:B373,$D$3:D373)</f>
        <v>0.26002356481795835</v>
      </c>
      <c r="J373" s="17">
        <f>STDEV($D$3:D373)</f>
        <v>1.3409667932003827E-2</v>
      </c>
      <c r="K373" s="4">
        <f t="shared" si="84"/>
        <v>-4.4104810712029784E-3</v>
      </c>
      <c r="L373">
        <f t="shared" si="87"/>
        <v>-0.53220994927598442</v>
      </c>
      <c r="M373">
        <f>RSQ($D$3:D373,$B$3:B373)</f>
        <v>6.3844187357664839E-2</v>
      </c>
      <c r="N373">
        <v>341</v>
      </c>
      <c r="O373" t="str">
        <f t="shared" si="85"/>
        <v/>
      </c>
      <c r="P373" t="str">
        <f t="shared" si="89"/>
        <v>buyhold</v>
      </c>
      <c r="Q373">
        <f t="shared" si="90"/>
        <v>-10</v>
      </c>
      <c r="R373">
        <f t="shared" si="91"/>
        <v>0</v>
      </c>
      <c r="S373">
        <f t="shared" si="92"/>
        <v>10</v>
      </c>
      <c r="T373">
        <f t="shared" si="93"/>
        <v>0</v>
      </c>
      <c r="U373">
        <f t="shared" si="88"/>
        <v>20</v>
      </c>
      <c r="V373">
        <f t="shared" si="94"/>
        <v>0</v>
      </c>
      <c r="W373">
        <f t="shared" si="82"/>
        <v>0</v>
      </c>
      <c r="X373">
        <f>SUM($W$34:W373)</f>
        <v>273.50060499999972</v>
      </c>
      <c r="Y373">
        <f t="shared" si="95"/>
        <v>0</v>
      </c>
    </row>
    <row r="374" spans="1:25">
      <c r="A374">
        <v>116.18657</v>
      </c>
      <c r="B374" s="2">
        <f t="shared" si="80"/>
        <v>-1.0118724705572658E-2</v>
      </c>
      <c r="C374">
        <v>108.3508181</v>
      </c>
      <c r="D374" s="3">
        <f t="shared" si="81"/>
        <v>-2.7701813578643064E-3</v>
      </c>
      <c r="E374" s="3">
        <f t="shared" si="83"/>
        <v>-3.1661846782002389E-4</v>
      </c>
      <c r="F374" s="3">
        <f>STDEV($E$32:E374)</f>
        <v>1.3069141607113985E-2</v>
      </c>
      <c r="G374" s="14">
        <f t="shared" si="86"/>
        <v>-2.4226416496067157E-2</v>
      </c>
      <c r="H374" s="15">
        <f>yint($B$3:B374,$D$3:D374)</f>
        <v>1.780863310445832E-4</v>
      </c>
      <c r="I374" s="16">
        <f>MyReg($B$3:B374,$D$3:D374)</f>
        <v>0.2600771636409423</v>
      </c>
      <c r="J374" s="17">
        <f>STDEV($D$3:D374)</f>
        <v>1.3392537664084036E-2</v>
      </c>
      <c r="K374" s="4">
        <f t="shared" si="84"/>
        <v>-2.4535628900442825E-3</v>
      </c>
      <c r="L374">
        <f t="shared" si="87"/>
        <v>-2.4226416496067157E-2</v>
      </c>
      <c r="M374">
        <f>RSQ($D$3:D374,$B$3:B374)</f>
        <v>6.3976076706256269E-2</v>
      </c>
      <c r="N374">
        <v>342</v>
      </c>
      <c r="O374" t="str">
        <f t="shared" si="85"/>
        <v/>
      </c>
      <c r="P374" t="str">
        <f t="shared" si="89"/>
        <v>close</v>
      </c>
      <c r="Q374">
        <f t="shared" si="90"/>
        <v>0</v>
      </c>
      <c r="R374">
        <f t="shared" si="91"/>
        <v>0</v>
      </c>
      <c r="S374">
        <f t="shared" si="92"/>
        <v>0</v>
      </c>
      <c r="T374">
        <f t="shared" si="93"/>
        <v>0</v>
      </c>
      <c r="U374">
        <f t="shared" si="88"/>
        <v>0</v>
      </c>
      <c r="V374">
        <f t="shared" si="94"/>
        <v>10</v>
      </c>
      <c r="W374">
        <f t="shared" si="82"/>
        <v>-78.357519000000053</v>
      </c>
      <c r="X374">
        <f>SUM($W$34:W374)</f>
        <v>195.14308599999967</v>
      </c>
      <c r="Y374">
        <f t="shared" si="95"/>
        <v>195.14308599999967</v>
      </c>
    </row>
    <row r="375" spans="1:25">
      <c r="A375">
        <v>116.0525329</v>
      </c>
      <c r="B375" s="2">
        <f t="shared" si="80"/>
        <v>-1.1536367757478379E-3</v>
      </c>
      <c r="C375">
        <v>108.2923296</v>
      </c>
      <c r="D375" s="3">
        <f t="shared" si="81"/>
        <v>-5.3980672251145397E-4</v>
      </c>
      <c r="E375" s="3">
        <f t="shared" si="83"/>
        <v>-4.1672041186352515E-4</v>
      </c>
      <c r="F375" s="3">
        <f>STDEV($E$32:E375)</f>
        <v>1.3050100643820573E-2</v>
      </c>
      <c r="G375" s="14">
        <f t="shared" si="86"/>
        <v>-3.1932352342496972E-2</v>
      </c>
      <c r="H375" s="15">
        <f>yint($B$3:B375,$D$3:D375)</f>
        <v>1.7696080974749593E-4</v>
      </c>
      <c r="I375" s="16">
        <f>MyReg($B$3:B375,$D$3:D375)</f>
        <v>0.26008803351550669</v>
      </c>
      <c r="J375" s="17">
        <f>STDEV($D$3:D375)</f>
        <v>1.3374596362469824E-2</v>
      </c>
      <c r="K375" s="4">
        <f t="shared" si="84"/>
        <v>-1.2308631064792883E-4</v>
      </c>
      <c r="L375">
        <f t="shared" si="87"/>
        <v>-3.1932352342496972E-2</v>
      </c>
      <c r="M375">
        <f>RSQ($D$3:D375,$B$3:B375)</f>
        <v>6.398347261243488E-2</v>
      </c>
      <c r="N375">
        <v>343</v>
      </c>
      <c r="O375" t="str">
        <f t="shared" si="85"/>
        <v/>
      </c>
      <c r="P375" t="str">
        <f t="shared" si="89"/>
        <v/>
      </c>
      <c r="Q375">
        <f t="shared" si="90"/>
        <v>0</v>
      </c>
      <c r="R375">
        <f t="shared" si="91"/>
        <v>0</v>
      </c>
      <c r="S375">
        <f t="shared" si="92"/>
        <v>0</v>
      </c>
      <c r="T375">
        <f t="shared" si="93"/>
        <v>0</v>
      </c>
      <c r="U375">
        <f t="shared" si="88"/>
        <v>0</v>
      </c>
      <c r="V375">
        <f t="shared" si="94"/>
        <v>0</v>
      </c>
      <c r="W375">
        <f t="shared" si="82"/>
        <v>0</v>
      </c>
      <c r="X375">
        <f>SUM($W$34:W375)</f>
        <v>195.14308599999967</v>
      </c>
      <c r="Y375">
        <f t="shared" si="95"/>
        <v>0</v>
      </c>
    </row>
    <row r="376" spans="1:25">
      <c r="A376">
        <v>115.345197</v>
      </c>
      <c r="B376" s="2">
        <f t="shared" si="80"/>
        <v>-6.0949630509960539E-3</v>
      </c>
      <c r="C376">
        <v>106.5418174</v>
      </c>
      <c r="D376" s="3">
        <f t="shared" si="81"/>
        <v>-1.6164692425270376E-2</v>
      </c>
      <c r="E376" s="3">
        <f t="shared" si="83"/>
        <v>-1.4706885124000001E-2</v>
      </c>
      <c r="F376" s="3">
        <f>STDEV($E$32:E376)</f>
        <v>1.305530801202979E-2</v>
      </c>
      <c r="G376" s="14">
        <f t="shared" si="86"/>
        <v>-1.1265061774450948</v>
      </c>
      <c r="H376" s="15">
        <f>yint($B$3:B376,$D$3:D376)</f>
        <v>1.367886959424032E-4</v>
      </c>
      <c r="I376" s="16">
        <f>MyReg($B$3:B376,$D$3:D376)</f>
        <v>0.26162521148543882</v>
      </c>
      <c r="J376" s="17">
        <f>STDEV($D$3:D376)</f>
        <v>1.3383771102945316E-2</v>
      </c>
      <c r="K376" s="4">
        <f t="shared" si="84"/>
        <v>-1.4578073012703749E-3</v>
      </c>
      <c r="L376">
        <f t="shared" si="87"/>
        <v>-1.1265061774450948</v>
      </c>
      <c r="M376">
        <f>RSQ($D$3:D376,$B$3:B376)</f>
        <v>6.4524173049967964E-2</v>
      </c>
      <c r="N376">
        <v>344</v>
      </c>
      <c r="O376" t="str">
        <f t="shared" si="85"/>
        <v/>
      </c>
      <c r="P376" t="str">
        <f t="shared" si="89"/>
        <v/>
      </c>
      <c r="Q376">
        <f t="shared" si="90"/>
        <v>0</v>
      </c>
      <c r="R376">
        <f t="shared" si="91"/>
        <v>0</v>
      </c>
      <c r="S376">
        <f t="shared" si="92"/>
        <v>0</v>
      </c>
      <c r="T376">
        <f t="shared" si="93"/>
        <v>0</v>
      </c>
      <c r="U376">
        <f t="shared" si="88"/>
        <v>0</v>
      </c>
      <c r="V376">
        <f t="shared" si="94"/>
        <v>0</v>
      </c>
      <c r="W376">
        <f t="shared" si="82"/>
        <v>0</v>
      </c>
      <c r="X376">
        <f>SUM($W$34:W376)</f>
        <v>195.14308599999967</v>
      </c>
      <c r="Y376">
        <f t="shared" si="95"/>
        <v>0</v>
      </c>
    </row>
    <row r="377" spans="1:25">
      <c r="A377">
        <v>114.43750489999999</v>
      </c>
      <c r="B377" s="2">
        <f t="shared" si="80"/>
        <v>-7.8693532423374825E-3</v>
      </c>
      <c r="C377">
        <v>106.4805199</v>
      </c>
      <c r="D377" s="3">
        <f t="shared" si="81"/>
        <v>-5.7533747307744818E-4</v>
      </c>
      <c r="E377" s="3">
        <f t="shared" si="83"/>
        <v>1.3416278097866555E-3</v>
      </c>
      <c r="F377" s="3">
        <f>STDEV($E$32:E377)</f>
        <v>1.3036571587040337E-2</v>
      </c>
      <c r="G377" s="14">
        <f t="shared" si="86"/>
        <v>0.10291262551884181</v>
      </c>
      <c r="H377" s="15">
        <f>yint($B$3:B377,$D$3:D377)</f>
        <v>1.4045868821270594E-4</v>
      </c>
      <c r="I377" s="16">
        <f>MyReg($B$3:B377,$D$3:D377)</f>
        <v>0.26144765747809795</v>
      </c>
      <c r="J377" s="17">
        <f>STDEV($D$3:D377)</f>
        <v>1.3365935780718305E-2</v>
      </c>
      <c r="K377" s="4">
        <f t="shared" si="84"/>
        <v>-1.9169652828641037E-3</v>
      </c>
      <c r="L377">
        <f t="shared" si="87"/>
        <v>0.10291262551884181</v>
      </c>
      <c r="M377">
        <f>RSQ($D$3:D377,$B$3:B377)</f>
        <v>6.4506845543743599E-2</v>
      </c>
      <c r="N377">
        <v>345</v>
      </c>
      <c r="O377" t="str">
        <f t="shared" si="85"/>
        <v/>
      </c>
      <c r="P377" t="str">
        <f t="shared" si="89"/>
        <v/>
      </c>
      <c r="Q377">
        <f t="shared" si="90"/>
        <v>0</v>
      </c>
      <c r="R377">
        <f t="shared" si="91"/>
        <v>0</v>
      </c>
      <c r="S377">
        <f t="shared" si="92"/>
        <v>0</v>
      </c>
      <c r="T377">
        <f t="shared" si="93"/>
        <v>0</v>
      </c>
      <c r="U377">
        <f t="shared" si="88"/>
        <v>0</v>
      </c>
      <c r="V377">
        <f t="shared" si="94"/>
        <v>0</v>
      </c>
      <c r="W377">
        <f t="shared" si="82"/>
        <v>0</v>
      </c>
      <c r="X377">
        <f>SUM($W$34:W377)</f>
        <v>195.14308599999967</v>
      </c>
      <c r="Y377">
        <f t="shared" si="95"/>
        <v>0</v>
      </c>
    </row>
    <row r="378" spans="1:25">
      <c r="A378">
        <v>114.0321194</v>
      </c>
      <c r="B378" s="2">
        <f t="shared" si="80"/>
        <v>-3.5424181989482909E-3</v>
      </c>
      <c r="C378">
        <v>104.1262768</v>
      </c>
      <c r="D378" s="3">
        <f t="shared" si="81"/>
        <v>-2.2109613121827038E-2</v>
      </c>
      <c r="E378" s="3">
        <f t="shared" si="83"/>
        <v>-2.1261858301959514E-2</v>
      </c>
      <c r="F378" s="3">
        <f>STDEV($E$32:E378)</f>
        <v>1.3067703662964151E-2</v>
      </c>
      <c r="G378" s="14">
        <f t="shared" si="86"/>
        <v>-1.6270539071236241</v>
      </c>
      <c r="H378" s="15">
        <f>yint($B$3:B378,$D$3:D378)</f>
        <v>8.3163795572559264E-5</v>
      </c>
      <c r="I378" s="16">
        <f>MyReg($B$3:B378,$D$3:D378)</f>
        <v>0.26279184533222666</v>
      </c>
      <c r="J378" s="17">
        <f>STDEV($D$3:D378)</f>
        <v>1.3397846001724358E-2</v>
      </c>
      <c r="K378" s="4">
        <f t="shared" si="84"/>
        <v>-8.4775481986752493E-4</v>
      </c>
      <c r="L378">
        <f t="shared" si="87"/>
        <v>-1.6270539071236241</v>
      </c>
      <c r="M378">
        <f>RSQ($D$3:D378,$B$3:B378)</f>
        <v>6.4705071132270545E-2</v>
      </c>
      <c r="N378">
        <v>346</v>
      </c>
      <c r="O378" t="str">
        <f t="shared" si="85"/>
        <v>buyY</v>
      </c>
      <c r="P378" t="str">
        <f t="shared" si="89"/>
        <v/>
      </c>
      <c r="Q378">
        <f t="shared" si="90"/>
        <v>-10</v>
      </c>
      <c r="R378">
        <f t="shared" si="91"/>
        <v>0</v>
      </c>
      <c r="S378">
        <f t="shared" si="92"/>
        <v>10</v>
      </c>
      <c r="T378">
        <f t="shared" si="93"/>
        <v>0</v>
      </c>
      <c r="U378">
        <f t="shared" si="88"/>
        <v>20</v>
      </c>
      <c r="V378">
        <f t="shared" si="94"/>
        <v>-10</v>
      </c>
      <c r="W378">
        <f t="shared" si="82"/>
        <v>99.058425999999997</v>
      </c>
      <c r="X378">
        <f>SUM($W$34:W378)</f>
        <v>294.20151199999964</v>
      </c>
      <c r="Y378">
        <f t="shared" si="95"/>
        <v>0</v>
      </c>
    </row>
    <row r="379" spans="1:25">
      <c r="A379">
        <v>115.99596</v>
      </c>
      <c r="B379" s="2">
        <f t="shared" si="80"/>
        <v>1.7221819697231702E-2</v>
      </c>
      <c r="C379">
        <v>103.4331433</v>
      </c>
      <c r="D379" s="3">
        <f t="shared" si="81"/>
        <v>-6.6566626724907721E-3</v>
      </c>
      <c r="E379" s="3">
        <f t="shared" si="83"/>
        <v>-1.1185840928940195E-2</v>
      </c>
      <c r="F379" s="3">
        <f>STDEV($E$32:E379)</f>
        <v>1.3062501557895628E-2</v>
      </c>
      <c r="G379" s="14">
        <f t="shared" si="86"/>
        <v>-0.85633221778862978</v>
      </c>
      <c r="H379" s="15">
        <f>yint($B$3:B379,$D$3:D379)</f>
        <v>5.470422926281534E-5</v>
      </c>
      <c r="I379" s="16">
        <f>MyReg($B$3:B379,$D$3:D379)</f>
        <v>0.25981424180778351</v>
      </c>
      <c r="J379" s="17">
        <f>STDEV($D$3:D379)</f>
        <v>1.3384673113813458E-2</v>
      </c>
      <c r="K379" s="4">
        <f t="shared" si="84"/>
        <v>4.5291782564494216E-3</v>
      </c>
      <c r="L379">
        <f t="shared" si="87"/>
        <v>-0.85633221778862978</v>
      </c>
      <c r="M379">
        <f>RSQ($D$3:D379,$B$3:B379)</f>
        <v>6.3484795583373069E-2</v>
      </c>
      <c r="N379">
        <v>347</v>
      </c>
      <c r="O379" t="str">
        <f t="shared" si="85"/>
        <v/>
      </c>
      <c r="P379" t="str">
        <f t="shared" si="89"/>
        <v>buyhold</v>
      </c>
      <c r="Q379">
        <f t="shared" si="90"/>
        <v>-10</v>
      </c>
      <c r="R379">
        <f t="shared" si="91"/>
        <v>0</v>
      </c>
      <c r="S379">
        <f t="shared" si="92"/>
        <v>10</v>
      </c>
      <c r="T379">
        <f t="shared" si="93"/>
        <v>0</v>
      </c>
      <c r="U379">
        <f t="shared" si="88"/>
        <v>20</v>
      </c>
      <c r="V379">
        <f t="shared" si="94"/>
        <v>0</v>
      </c>
      <c r="W379">
        <f t="shared" si="82"/>
        <v>0</v>
      </c>
      <c r="X379">
        <f>SUM($W$34:W379)</f>
        <v>294.20151199999964</v>
      </c>
      <c r="Y379">
        <f t="shared" si="95"/>
        <v>0</v>
      </c>
    </row>
    <row r="380" spans="1:25">
      <c r="A380">
        <v>114.7061367</v>
      </c>
      <c r="B380" s="2">
        <f t="shared" si="80"/>
        <v>-1.1119553646523507E-2</v>
      </c>
      <c r="C380">
        <v>103.3475619</v>
      </c>
      <c r="D380" s="3">
        <f t="shared" si="81"/>
        <v>-8.2740790108034223E-4</v>
      </c>
      <c r="E380" s="3">
        <f t="shared" si="83"/>
        <v>1.9973676215602892E-3</v>
      </c>
      <c r="F380" s="3">
        <f>STDEV($E$32:E380)</f>
        <v>1.3044196100263684E-2</v>
      </c>
      <c r="G380" s="14">
        <f t="shared" si="86"/>
        <v>0.15312309062264964</v>
      </c>
      <c r="H380" s="15">
        <f>yint($B$3:B380,$D$3:D380)</f>
        <v>6.0176984393980394E-5</v>
      </c>
      <c r="I380" s="16">
        <f>MyReg($B$3:B380,$D$3:D380)</f>
        <v>0.25944858928187131</v>
      </c>
      <c r="J380" s="17">
        <f>STDEV($D$3:D380)</f>
        <v>1.3367009967056817E-2</v>
      </c>
      <c r="K380" s="4">
        <f t="shared" si="84"/>
        <v>-2.8247755226406316E-3</v>
      </c>
      <c r="L380">
        <f t="shared" si="87"/>
        <v>0.15312309062264964</v>
      </c>
      <c r="M380">
        <f>RSQ($D$3:D380,$B$3:B380)</f>
        <v>6.3439327397776302E-2</v>
      </c>
      <c r="N380">
        <v>348</v>
      </c>
      <c r="O380" t="str">
        <f t="shared" si="85"/>
        <v/>
      </c>
      <c r="P380" t="str">
        <f t="shared" si="89"/>
        <v>close</v>
      </c>
      <c r="Q380">
        <f t="shared" si="90"/>
        <v>0</v>
      </c>
      <c r="R380">
        <f t="shared" si="91"/>
        <v>0</v>
      </c>
      <c r="S380">
        <f t="shared" si="92"/>
        <v>0</v>
      </c>
      <c r="T380">
        <f t="shared" si="93"/>
        <v>0</v>
      </c>
      <c r="U380">
        <f t="shared" si="88"/>
        <v>0</v>
      </c>
      <c r="V380">
        <f t="shared" si="94"/>
        <v>10</v>
      </c>
      <c r="W380">
        <f t="shared" si="82"/>
        <v>-113.585748</v>
      </c>
      <c r="X380">
        <f>SUM($W$34:W380)</f>
        <v>180.61576399999964</v>
      </c>
      <c r="Y380">
        <f t="shared" si="95"/>
        <v>180.61576399999964</v>
      </c>
    </row>
    <row r="381" spans="1:25">
      <c r="A381">
        <v>113.69952259999999</v>
      </c>
      <c r="B381" s="2">
        <f t="shared" si="80"/>
        <v>-8.7755906437044819E-3</v>
      </c>
      <c r="C381">
        <v>101.070284</v>
      </c>
      <c r="D381" s="3">
        <f t="shared" si="81"/>
        <v>-2.2035139079560631E-2</v>
      </c>
      <c r="E381" s="3">
        <f t="shared" si="83"/>
        <v>-1.9739831732924935E-2</v>
      </c>
      <c r="F381" s="3">
        <f>STDEV($E$32:E381)</f>
        <v>1.306782295265234E-2</v>
      </c>
      <c r="G381" s="14">
        <f t="shared" si="86"/>
        <v>-1.5105677360679572</v>
      </c>
      <c r="H381" s="15">
        <f>yint($B$3:B381,$D$3:D381)</f>
        <v>6.6730866727639319E-6</v>
      </c>
      <c r="I381" s="16">
        <f>MyReg($B$3:B381,$D$3:D381)</f>
        <v>0.26231629605009871</v>
      </c>
      <c r="J381" s="17">
        <f>STDEV($D$3:D381)</f>
        <v>1.3397983434883231E-2</v>
      </c>
      <c r="K381" s="4">
        <f t="shared" si="84"/>
        <v>-2.295307346635697E-3</v>
      </c>
      <c r="L381">
        <f t="shared" si="87"/>
        <v>-1.5105677360679572</v>
      </c>
      <c r="M381">
        <f>RSQ($D$3:D381,$B$3:B381)</f>
        <v>6.4465248759921795E-2</v>
      </c>
      <c r="N381">
        <v>349</v>
      </c>
      <c r="O381" t="str">
        <f t="shared" si="85"/>
        <v>buyY</v>
      </c>
      <c r="P381" t="str">
        <f t="shared" si="89"/>
        <v/>
      </c>
      <c r="Q381">
        <f t="shared" si="90"/>
        <v>-10</v>
      </c>
      <c r="R381">
        <f t="shared" si="91"/>
        <v>0</v>
      </c>
      <c r="S381">
        <f t="shared" si="92"/>
        <v>10</v>
      </c>
      <c r="T381">
        <f t="shared" si="93"/>
        <v>0</v>
      </c>
      <c r="U381">
        <f t="shared" si="88"/>
        <v>20</v>
      </c>
      <c r="V381">
        <f t="shared" si="94"/>
        <v>-10</v>
      </c>
      <c r="W381">
        <f t="shared" si="82"/>
        <v>126.29238599999994</v>
      </c>
      <c r="X381">
        <f>SUM($W$34:W381)</f>
        <v>306.90814999999958</v>
      </c>
      <c r="Y381">
        <f t="shared" si="95"/>
        <v>0</v>
      </c>
    </row>
    <row r="382" spans="1:25">
      <c r="A382">
        <v>113.26138589999999</v>
      </c>
      <c r="B382" s="2">
        <f t="shared" si="80"/>
        <v>-3.8534612105750495E-3</v>
      </c>
      <c r="C382">
        <v>101.0076861</v>
      </c>
      <c r="D382" s="3">
        <f t="shared" si="81"/>
        <v>-6.1935019396997134E-4</v>
      </c>
      <c r="E382" s="3">
        <f t="shared" si="83"/>
        <v>3.8367967588062897E-4</v>
      </c>
      <c r="F382" s="3">
        <f>STDEV($E$32:E382)</f>
        <v>1.3049170608328787E-2</v>
      </c>
      <c r="G382" s="14">
        <f t="shared" si="86"/>
        <v>2.9402610127247542E-2</v>
      </c>
      <c r="H382" s="15">
        <f>yint($B$3:B382,$D$3:D382)</f>
        <v>7.6963452726415616E-6</v>
      </c>
      <c r="I382" s="16">
        <f>MyReg($B$3:B382,$D$3:D382)</f>
        <v>0.2622904863683348</v>
      </c>
      <c r="J382" s="17">
        <f>STDEV($D$3:D382)</f>
        <v>1.3380349722517261E-2</v>
      </c>
      <c r="K382" s="4">
        <f t="shared" si="84"/>
        <v>-1.0030298698506003E-3</v>
      </c>
      <c r="L382">
        <f t="shared" si="87"/>
        <v>2.9402610127247542E-2</v>
      </c>
      <c r="M382">
        <f>RSQ($D$3:D382,$B$3:B382)</f>
        <v>6.4470540485830674E-2</v>
      </c>
      <c r="N382">
        <v>350</v>
      </c>
      <c r="O382" t="str">
        <f t="shared" si="85"/>
        <v/>
      </c>
      <c r="P382" t="str">
        <f t="shared" si="89"/>
        <v>close</v>
      </c>
      <c r="Q382">
        <f t="shared" si="90"/>
        <v>0</v>
      </c>
      <c r="R382">
        <f t="shared" si="91"/>
        <v>0</v>
      </c>
      <c r="S382">
        <f t="shared" si="92"/>
        <v>0</v>
      </c>
      <c r="T382">
        <f t="shared" si="93"/>
        <v>0</v>
      </c>
      <c r="U382">
        <f t="shared" si="88"/>
        <v>0</v>
      </c>
      <c r="V382">
        <f t="shared" si="94"/>
        <v>10</v>
      </c>
      <c r="W382">
        <f t="shared" si="82"/>
        <v>-122.53699799999993</v>
      </c>
      <c r="X382">
        <f>SUM($W$34:W382)</f>
        <v>184.37115199999965</v>
      </c>
      <c r="Y382">
        <f t="shared" si="95"/>
        <v>184.37115199999965</v>
      </c>
    </row>
    <row r="383" spans="1:25">
      <c r="A383">
        <v>113.30727280000001</v>
      </c>
      <c r="B383" s="2">
        <f t="shared" si="80"/>
        <v>4.0514160793094709E-4</v>
      </c>
      <c r="C383">
        <v>99.137136220000002</v>
      </c>
      <c r="D383" s="3">
        <f t="shared" si="81"/>
        <v>-1.8518886554317361E-2</v>
      </c>
      <c r="E383" s="3">
        <f t="shared" si="83"/>
        <v>-1.8583942565146529E-2</v>
      </c>
      <c r="F383" s="3">
        <f>STDEV($E$32:E383)</f>
        <v>1.3067626294447071E-2</v>
      </c>
      <c r="G383" s="14">
        <f t="shared" si="86"/>
        <v>-1.4221360594803318</v>
      </c>
      <c r="H383" s="15">
        <f>yint($B$3:B383,$D$3:D383)</f>
        <v>-4.1209531640300947E-5</v>
      </c>
      <c r="I383" s="16">
        <f>MyReg($B$3:B383,$D$3:D383)</f>
        <v>0.26229234516831224</v>
      </c>
      <c r="J383" s="17">
        <f>STDEV($D$3:D383)</f>
        <v>1.3396791477989103E-2</v>
      </c>
      <c r="K383" s="4">
        <f t="shared" si="84"/>
        <v>6.5056010829168056E-5</v>
      </c>
      <c r="L383">
        <f t="shared" si="87"/>
        <v>-1.4221360594803318</v>
      </c>
      <c r="M383">
        <f>RSQ($D$3:D383,$B$3:B383)</f>
        <v>6.4144055477975456E-2</v>
      </c>
      <c r="N383">
        <v>351</v>
      </c>
      <c r="O383" t="str">
        <f t="shared" si="85"/>
        <v/>
      </c>
      <c r="P383" t="str">
        <f t="shared" si="89"/>
        <v/>
      </c>
      <c r="Q383">
        <f t="shared" si="90"/>
        <v>0</v>
      </c>
      <c r="R383">
        <f t="shared" si="91"/>
        <v>0</v>
      </c>
      <c r="S383">
        <f t="shared" si="92"/>
        <v>0</v>
      </c>
      <c r="T383">
        <f t="shared" si="93"/>
        <v>0</v>
      </c>
      <c r="U383">
        <f t="shared" si="88"/>
        <v>0</v>
      </c>
      <c r="V383">
        <f t="shared" si="94"/>
        <v>0</v>
      </c>
      <c r="W383">
        <f t="shared" si="82"/>
        <v>0</v>
      </c>
      <c r="X383">
        <f>SUM($W$34:W383)</f>
        <v>184.37115199999965</v>
      </c>
      <c r="Y383">
        <f t="shared" si="95"/>
        <v>0</v>
      </c>
    </row>
    <row r="384" spans="1:25">
      <c r="A384">
        <v>112.2839649</v>
      </c>
      <c r="B384" s="2">
        <f t="shared" si="80"/>
        <v>-9.0312640549231014E-3</v>
      </c>
      <c r="C384">
        <v>95.332216110000005</v>
      </c>
      <c r="D384" s="3">
        <f t="shared" si="81"/>
        <v>-3.8380371423644068E-2</v>
      </c>
      <c r="E384" s="3">
        <f t="shared" si="83"/>
        <v>-3.5826061586068311E-2</v>
      </c>
      <c r="F384" s="3">
        <f>STDEV($E$32:E384)</f>
        <v>1.3186210960325189E-2</v>
      </c>
      <c r="G384" s="14">
        <f t="shared" si="86"/>
        <v>-2.7169337494949946</v>
      </c>
      <c r="H384" s="15">
        <f>yint($B$3:B384,$D$3:D384)</f>
        <v>-1.3743036791001546E-4</v>
      </c>
      <c r="I384" s="16">
        <f>MyReg($B$3:B384,$D$3:D384)</f>
        <v>0.26761253518528849</v>
      </c>
      <c r="J384" s="17">
        <f>STDEV($D$3:D384)</f>
        <v>1.3523037364456843E-2</v>
      </c>
      <c r="K384" s="4">
        <f t="shared" si="84"/>
        <v>-2.5543098375757551E-3</v>
      </c>
      <c r="L384">
        <f t="shared" si="87"/>
        <v>-2.7169337494949946</v>
      </c>
      <c r="M384">
        <f>RSQ($D$3:D384,$B$3:B384)</f>
        <v>6.5451074281968682E-2</v>
      </c>
      <c r="N384">
        <v>352</v>
      </c>
      <c r="O384" t="str">
        <f t="shared" si="85"/>
        <v>buyY</v>
      </c>
      <c r="P384" t="str">
        <f t="shared" si="89"/>
        <v/>
      </c>
      <c r="Q384">
        <f t="shared" si="90"/>
        <v>-20</v>
      </c>
      <c r="R384">
        <f t="shared" si="91"/>
        <v>-10</v>
      </c>
      <c r="S384">
        <f t="shared" si="92"/>
        <v>20</v>
      </c>
      <c r="T384">
        <f t="shared" si="93"/>
        <v>10</v>
      </c>
      <c r="U384">
        <f t="shared" si="88"/>
        <v>40</v>
      </c>
      <c r="V384">
        <f t="shared" si="94"/>
        <v>-20</v>
      </c>
      <c r="W384">
        <f t="shared" si="82"/>
        <v>339.03497579999993</v>
      </c>
      <c r="X384">
        <f>SUM($W$34:W384)</f>
        <v>523.40612779999958</v>
      </c>
      <c r="Y384">
        <f t="shared" si="95"/>
        <v>0</v>
      </c>
    </row>
    <row r="385" spans="1:25">
      <c r="A385">
        <v>113.7511104</v>
      </c>
      <c r="B385" s="2">
        <f t="shared" si="80"/>
        <v>1.3066384868993888E-2</v>
      </c>
      <c r="C385">
        <v>97.177739090000003</v>
      </c>
      <c r="D385" s="3">
        <f t="shared" si="81"/>
        <v>1.9358859526254206E-2</v>
      </c>
      <c r="E385" s="3">
        <f t="shared" si="83"/>
        <v>1.5917702372582266E-2</v>
      </c>
      <c r="F385" s="3">
        <f>STDEV($E$32:E385)</f>
        <v>1.3195656003176352E-2</v>
      </c>
      <c r="G385" s="14">
        <f t="shared" si="86"/>
        <v>1.2062835200274002</v>
      </c>
      <c r="H385" s="15">
        <f>yint($B$3:B385,$D$3:D385)</f>
        <v>-9.6986896331358768E-5</v>
      </c>
      <c r="I385" s="16">
        <f>MyReg($B$3:B385,$D$3:D385)</f>
        <v>0.27078217008586675</v>
      </c>
      <c r="J385" s="17">
        <f>STDEV($D$3:D385)</f>
        <v>1.3541630189569087E-2</v>
      </c>
      <c r="K385" s="4">
        <f t="shared" si="84"/>
        <v>3.4411571536719396E-3</v>
      </c>
      <c r="L385">
        <f t="shared" si="87"/>
        <v>1.2062835200274002</v>
      </c>
      <c r="M385">
        <f>RSQ($D$3:D385,$B$3:B385)</f>
        <v>6.6819697136103334E-2</v>
      </c>
      <c r="N385">
        <v>353</v>
      </c>
      <c r="O385" t="str">
        <f t="shared" si="85"/>
        <v/>
      </c>
      <c r="P385" t="str">
        <f t="shared" si="89"/>
        <v>close</v>
      </c>
      <c r="Q385">
        <f t="shared" si="90"/>
        <v>0</v>
      </c>
      <c r="R385">
        <f t="shared" si="91"/>
        <v>0</v>
      </c>
      <c r="S385">
        <f t="shared" si="92"/>
        <v>0</v>
      </c>
      <c r="T385">
        <f t="shared" si="93"/>
        <v>0</v>
      </c>
      <c r="U385">
        <f t="shared" si="88"/>
        <v>0</v>
      </c>
      <c r="V385">
        <f t="shared" si="94"/>
        <v>20</v>
      </c>
      <c r="W385">
        <f t="shared" si="82"/>
        <v>-331.46742619999998</v>
      </c>
      <c r="X385">
        <f>SUM($W$34:W385)</f>
        <v>191.9387015999996</v>
      </c>
      <c r="Y385">
        <f t="shared" si="95"/>
        <v>191.9387015999996</v>
      </c>
    </row>
    <row r="386" spans="1:25">
      <c r="A386">
        <v>114.65550090000001</v>
      </c>
      <c r="B386" s="2">
        <f t="shared" si="80"/>
        <v>7.95060810237159E-3</v>
      </c>
      <c r="C386">
        <v>98.152086800000006</v>
      </c>
      <c r="D386" s="3">
        <f t="shared" si="81"/>
        <v>1.0026449669688476E-2</v>
      </c>
      <c r="E386" s="3">
        <f t="shared" si="83"/>
        <v>7.9427590828047585E-3</v>
      </c>
      <c r="F386" s="3">
        <f>STDEV($E$32:E386)</f>
        <v>1.3184161189468873E-2</v>
      </c>
      <c r="G386" s="14">
        <f t="shared" si="86"/>
        <v>0.60244705511862262</v>
      </c>
      <c r="H386" s="15">
        <f>yint($B$3:B386,$D$3:D386)</f>
        <v>-7.664204152504591E-5</v>
      </c>
      <c r="I386" s="16">
        <f>MyReg($B$3:B386,$D$3:D386)</f>
        <v>0.27171916922484929</v>
      </c>
      <c r="J386" s="17">
        <f>STDEV($D$3:D386)</f>
        <v>1.353358358624218E-2</v>
      </c>
      <c r="K386" s="4">
        <f t="shared" si="84"/>
        <v>2.0836905868837179E-3</v>
      </c>
      <c r="L386">
        <f t="shared" si="87"/>
        <v>0.60244705511862262</v>
      </c>
      <c r="M386">
        <f>RSQ($D$3:D386,$B$3:B386)</f>
        <v>6.7246618066797548E-2</v>
      </c>
      <c r="N386">
        <v>354</v>
      </c>
      <c r="O386" t="str">
        <f t="shared" si="85"/>
        <v/>
      </c>
      <c r="P386" t="str">
        <f t="shared" si="89"/>
        <v/>
      </c>
      <c r="Q386">
        <f t="shared" si="90"/>
        <v>0</v>
      </c>
      <c r="R386">
        <f t="shared" si="91"/>
        <v>0</v>
      </c>
      <c r="S386">
        <f t="shared" si="92"/>
        <v>0</v>
      </c>
      <c r="T386">
        <f t="shared" si="93"/>
        <v>0</v>
      </c>
      <c r="U386">
        <f t="shared" si="88"/>
        <v>0</v>
      </c>
      <c r="V386">
        <f t="shared" si="94"/>
        <v>0</v>
      </c>
      <c r="W386">
        <f t="shared" si="82"/>
        <v>0</v>
      </c>
      <c r="X386">
        <f>SUM($W$34:W386)</f>
        <v>191.9387015999996</v>
      </c>
      <c r="Y386">
        <f t="shared" si="95"/>
        <v>0</v>
      </c>
    </row>
    <row r="387" spans="1:25">
      <c r="A387">
        <v>115.1042095</v>
      </c>
      <c r="B387" s="2">
        <f t="shared" si="80"/>
        <v>3.9135374794737748E-3</v>
      </c>
      <c r="C387">
        <v>100.1236055</v>
      </c>
      <c r="D387" s="3">
        <f t="shared" si="81"/>
        <v>2.008636560134746E-2</v>
      </c>
      <c r="E387" s="3">
        <f t="shared" si="83"/>
        <v>1.9046426658734544E-2</v>
      </c>
      <c r="F387" s="3">
        <f>STDEV($E$32:E387)</f>
        <v>1.3205108969069439E-2</v>
      </c>
      <c r="G387" s="14">
        <f t="shared" si="86"/>
        <v>1.4423528577724976</v>
      </c>
      <c r="H387" s="15">
        <f>yint($B$3:B387,$D$3:D387)</f>
        <v>-2.7497104813626268E-5</v>
      </c>
      <c r="I387" s="16">
        <f>MyReg($B$3:B387,$D$3:D387)</f>
        <v>0.27275477826012068</v>
      </c>
      <c r="J387" s="17">
        <f>STDEV($D$3:D387)</f>
        <v>1.3554497630117511E-2</v>
      </c>
      <c r="K387" s="4">
        <f t="shared" si="84"/>
        <v>1.0399389426129146E-3</v>
      </c>
      <c r="L387">
        <f t="shared" si="87"/>
        <v>1.4423528577724976</v>
      </c>
      <c r="M387">
        <f>RSQ($D$3:D387,$B$3:B387)</f>
        <v>6.7388029699557775E-2</v>
      </c>
      <c r="N387">
        <v>355</v>
      </c>
      <c r="O387" t="str">
        <f t="shared" si="85"/>
        <v/>
      </c>
      <c r="P387" t="str">
        <f t="shared" si="89"/>
        <v/>
      </c>
      <c r="Q387">
        <f t="shared" si="90"/>
        <v>0</v>
      </c>
      <c r="R387">
        <f t="shared" si="91"/>
        <v>0</v>
      </c>
      <c r="S387">
        <f t="shared" si="92"/>
        <v>0</v>
      </c>
      <c r="T387">
        <f t="shared" si="93"/>
        <v>0</v>
      </c>
      <c r="U387">
        <f t="shared" si="88"/>
        <v>0</v>
      </c>
      <c r="V387">
        <f t="shared" si="94"/>
        <v>0</v>
      </c>
      <c r="W387">
        <f t="shared" si="82"/>
        <v>0</v>
      </c>
      <c r="X387">
        <f>SUM($W$34:W387)</f>
        <v>191.9387015999996</v>
      </c>
      <c r="Y387">
        <f t="shared" si="95"/>
        <v>0</v>
      </c>
    </row>
    <row r="388" spans="1:25">
      <c r="A388">
        <v>116.1292924</v>
      </c>
      <c r="B388" s="2">
        <f t="shared" ref="B388:B451" si="96">(A388-A387)/A387</f>
        <v>8.9056942787135961E-3</v>
      </c>
      <c r="C388">
        <v>101.02489009999999</v>
      </c>
      <c r="D388" s="3">
        <f t="shared" ref="D388:D451" si="97">(C388-C387)/C387</f>
        <v>9.0017193797520285E-3</v>
      </c>
      <c r="E388" s="3">
        <f t="shared" si="83"/>
        <v>6.5757063911090416E-3</v>
      </c>
      <c r="F388" s="3">
        <f>STDEV($E$32:E388)</f>
        <v>1.3191372483565292E-2</v>
      </c>
      <c r="G388" s="14">
        <f t="shared" si="86"/>
        <v>0.4984853849970125</v>
      </c>
      <c r="H388" s="15">
        <f>yint($B$3:B388,$D$3:D388)</f>
        <v>-1.0807650311365393E-5</v>
      </c>
      <c r="I388" s="16">
        <f>MyReg($B$3:B388,$D$3:D388)</f>
        <v>0.27362500470949752</v>
      </c>
      <c r="J388" s="17">
        <f>STDEV($D$3:D388)</f>
        <v>1.3544472104433873E-2</v>
      </c>
      <c r="K388" s="4">
        <f t="shared" si="84"/>
        <v>2.4260129886429873E-3</v>
      </c>
      <c r="L388">
        <f t="shared" si="87"/>
        <v>0.4984853849970125</v>
      </c>
      <c r="M388">
        <f>RSQ($D$3:D388,$B$3:B388)</f>
        <v>6.781836418044912E-2</v>
      </c>
      <c r="N388">
        <v>356</v>
      </c>
      <c r="O388" t="str">
        <f t="shared" si="85"/>
        <v/>
      </c>
      <c r="P388" t="str">
        <f t="shared" si="89"/>
        <v/>
      </c>
      <c r="Q388">
        <f t="shared" si="90"/>
        <v>0</v>
      </c>
      <c r="R388">
        <f t="shared" si="91"/>
        <v>0</v>
      </c>
      <c r="S388">
        <f t="shared" si="92"/>
        <v>0</v>
      </c>
      <c r="T388">
        <f t="shared" si="93"/>
        <v>0</v>
      </c>
      <c r="U388">
        <f t="shared" si="88"/>
        <v>0</v>
      </c>
      <c r="V388">
        <f t="shared" si="94"/>
        <v>0</v>
      </c>
      <c r="W388">
        <f t="shared" si="82"/>
        <v>0</v>
      </c>
      <c r="X388">
        <f>SUM($W$34:W388)</f>
        <v>191.9387015999996</v>
      </c>
      <c r="Y388">
        <f t="shared" si="95"/>
        <v>0</v>
      </c>
    </row>
    <row r="389" spans="1:25">
      <c r="A389">
        <v>115.44387039999999</v>
      </c>
      <c r="B389" s="2">
        <f t="shared" si="96"/>
        <v>-5.902231778345036E-3</v>
      </c>
      <c r="C389">
        <v>100.61860110000001</v>
      </c>
      <c r="D389" s="3">
        <f t="shared" si="97"/>
        <v>-4.0216722789583794E-3</v>
      </c>
      <c r="E389" s="3">
        <f t="shared" si="83"/>
        <v>-2.3881635337913753E-3</v>
      </c>
      <c r="F389" s="3">
        <f>STDEV($E$32:E389)</f>
        <v>1.3173417825883625E-2</v>
      </c>
      <c r="G389" s="14">
        <f t="shared" si="86"/>
        <v>-0.1812865548907909</v>
      </c>
      <c r="H389" s="15">
        <f>yint($B$3:B389,$D$3:D389)</f>
        <v>-1.7106506543117966E-5</v>
      </c>
      <c r="I389" s="16">
        <f>MyReg($B$3:B389,$D$3:D389)</f>
        <v>0.2738628876884126</v>
      </c>
      <c r="J389" s="17">
        <f>STDEV($D$3:D389)</f>
        <v>1.3528552690455534E-2</v>
      </c>
      <c r="K389" s="4">
        <f t="shared" si="84"/>
        <v>-1.6335087451670044E-3</v>
      </c>
      <c r="L389">
        <f t="shared" si="87"/>
        <v>-0.1812865548907909</v>
      </c>
      <c r="M389">
        <f>RSQ($D$3:D389,$B$3:B389)</f>
        <v>6.7962900927199157E-2</v>
      </c>
      <c r="N389">
        <v>357</v>
      </c>
      <c r="O389" t="str">
        <f t="shared" si="85"/>
        <v/>
      </c>
      <c r="P389" t="str">
        <f t="shared" si="89"/>
        <v/>
      </c>
      <c r="Q389">
        <f t="shared" si="90"/>
        <v>0</v>
      </c>
      <c r="R389">
        <f t="shared" si="91"/>
        <v>0</v>
      </c>
      <c r="S389">
        <f t="shared" si="92"/>
        <v>0</v>
      </c>
      <c r="T389">
        <f t="shared" si="93"/>
        <v>0</v>
      </c>
      <c r="U389">
        <f t="shared" si="88"/>
        <v>0</v>
      </c>
      <c r="V389">
        <f t="shared" si="94"/>
        <v>0</v>
      </c>
      <c r="W389">
        <f t="shared" si="82"/>
        <v>0</v>
      </c>
      <c r="X389">
        <f>SUM($W$34:W389)</f>
        <v>191.9387015999996</v>
      </c>
      <c r="Y389">
        <f t="shared" si="95"/>
        <v>0</v>
      </c>
    </row>
    <row r="390" spans="1:25">
      <c r="A390">
        <v>114.157417</v>
      </c>
      <c r="B390" s="2">
        <f t="shared" si="96"/>
        <v>-1.1143540107782105E-2</v>
      </c>
      <c r="C390">
        <v>99.735946769999998</v>
      </c>
      <c r="D390" s="3">
        <f t="shared" si="97"/>
        <v>-8.7722778924622536E-3</v>
      </c>
      <c r="E390" s="3">
        <f t="shared" si="83"/>
        <v>-5.676773569686034E-3</v>
      </c>
      <c r="F390" s="3">
        <f>STDEV($E$32:E390)</f>
        <v>1.3158238678142128E-2</v>
      </c>
      <c r="G390" s="14">
        <f t="shared" si="86"/>
        <v>-0.43142351408445218</v>
      </c>
      <c r="H390" s="15">
        <f>yint($B$3:B390,$D$3:D390)</f>
        <v>-3.2242022528961289E-5</v>
      </c>
      <c r="I390" s="16">
        <f>MyReg($B$3:B390,$D$3:D390)</f>
        <v>0.27489130658829192</v>
      </c>
      <c r="J390" s="17">
        <f>STDEV($D$3:D390)</f>
        <v>1.3518580665854213E-2</v>
      </c>
      <c r="K390" s="4">
        <f t="shared" si="84"/>
        <v>-3.0955043227762196E-3</v>
      </c>
      <c r="L390">
        <f t="shared" si="87"/>
        <v>-0.43142351408445218</v>
      </c>
      <c r="M390">
        <f>RSQ($D$3:D390,$B$3:B390)</f>
        <v>6.8541489158405841E-2</v>
      </c>
      <c r="N390">
        <v>358</v>
      </c>
      <c r="O390" t="str">
        <f t="shared" si="85"/>
        <v/>
      </c>
      <c r="P390" t="str">
        <f t="shared" si="89"/>
        <v/>
      </c>
      <c r="Q390">
        <f t="shared" si="90"/>
        <v>0</v>
      </c>
      <c r="R390">
        <f t="shared" si="91"/>
        <v>0</v>
      </c>
      <c r="S390">
        <f t="shared" si="92"/>
        <v>0</v>
      </c>
      <c r="T390">
        <f t="shared" si="93"/>
        <v>0</v>
      </c>
      <c r="U390">
        <f t="shared" si="88"/>
        <v>0</v>
      </c>
      <c r="V390">
        <f t="shared" si="94"/>
        <v>0</v>
      </c>
      <c r="W390">
        <f t="shared" si="82"/>
        <v>0</v>
      </c>
      <c r="X390">
        <f>SUM($W$34:W390)</f>
        <v>191.9387015999996</v>
      </c>
      <c r="Y390">
        <f t="shared" si="95"/>
        <v>0</v>
      </c>
    </row>
    <row r="391" spans="1:25">
      <c r="A391">
        <v>112.90005429999999</v>
      </c>
      <c r="B391" s="2">
        <f t="shared" si="96"/>
        <v>-1.1014288278789645E-2</v>
      </c>
      <c r="C391">
        <v>99.492092240000005</v>
      </c>
      <c r="D391" s="3">
        <f t="shared" si="97"/>
        <v>-2.4450014051838635E-3</v>
      </c>
      <c r="E391" s="3">
        <f t="shared" si="83"/>
        <v>6.1214654849423879E-4</v>
      </c>
      <c r="F391" s="3">
        <f>STDEV($E$32:E391)</f>
        <v>1.3139963727026114E-2</v>
      </c>
      <c r="G391" s="14">
        <f t="shared" si="86"/>
        <v>4.6586623921585371E-2</v>
      </c>
      <c r="H391" s="15">
        <f>yint($B$3:B391,$D$3:D391)</f>
        <v>-3.0618040209767791E-5</v>
      </c>
      <c r="I391" s="16">
        <f>MyReg($B$3:B391,$D$3:D391)</f>
        <v>0.27478215903396697</v>
      </c>
      <c r="J391" s="17">
        <f>STDEV($D$3:D391)</f>
        <v>1.3501757622117989E-2</v>
      </c>
      <c r="K391" s="4">
        <f t="shared" si="84"/>
        <v>-3.0571479536781023E-3</v>
      </c>
      <c r="L391">
        <f t="shared" si="87"/>
        <v>4.6586623921585371E-2</v>
      </c>
      <c r="M391">
        <f>RSQ($D$3:D391,$B$3:B391)</f>
        <v>6.8620198756546236E-2</v>
      </c>
      <c r="N391">
        <v>359</v>
      </c>
      <c r="O391" t="str">
        <f t="shared" si="85"/>
        <v/>
      </c>
      <c r="P391" t="str">
        <f t="shared" si="89"/>
        <v/>
      </c>
      <c r="Q391">
        <f t="shared" si="90"/>
        <v>0</v>
      </c>
      <c r="R391">
        <f t="shared" si="91"/>
        <v>0</v>
      </c>
      <c r="S391">
        <f t="shared" si="92"/>
        <v>0</v>
      </c>
      <c r="T391">
        <f t="shared" si="93"/>
        <v>0</v>
      </c>
      <c r="U391">
        <f t="shared" si="88"/>
        <v>0</v>
      </c>
      <c r="V391">
        <f t="shared" si="94"/>
        <v>0</v>
      </c>
      <c r="W391">
        <f t="shared" si="82"/>
        <v>0</v>
      </c>
      <c r="X391">
        <f>SUM($W$34:W391)</f>
        <v>191.9387015999996</v>
      </c>
      <c r="Y391">
        <f t="shared" si="95"/>
        <v>0</v>
      </c>
    </row>
    <row r="392" spans="1:25">
      <c r="A392">
        <v>112.5255408</v>
      </c>
      <c r="B392" s="2">
        <f t="shared" si="96"/>
        <v>-3.3172127535459651E-3</v>
      </c>
      <c r="C392">
        <v>98.378193899999999</v>
      </c>
      <c r="D392" s="3">
        <f t="shared" si="97"/>
        <v>-1.1195847980691793E-2</v>
      </c>
      <c r="E392" s="3">
        <f t="shared" si="83"/>
        <v>-1.0225241440103663E-2</v>
      </c>
      <c r="F392" s="3">
        <f>STDEV($E$32:E392)</f>
        <v>1.313238129201828E-2</v>
      </c>
      <c r="G392" s="14">
        <f t="shared" si="86"/>
        <v>-0.77862812636413892</v>
      </c>
      <c r="H392" s="15">
        <f>yint($B$3:B392,$D$3:D392)</f>
        <v>-5.7137029491571191E-5</v>
      </c>
      <c r="I392" s="16">
        <f>MyReg($B$3:B392,$D$3:D392)</f>
        <v>0.27537260313499562</v>
      </c>
      <c r="J392" s="17">
        <f>STDEV($D$3:D392)</f>
        <v>1.3496470440959325E-2</v>
      </c>
      <c r="K392" s="4">
        <f t="shared" si="84"/>
        <v>-9.7060654058813019E-4</v>
      </c>
      <c r="L392">
        <f t="shared" si="87"/>
        <v>-0.77862812636413892</v>
      </c>
      <c r="M392">
        <f>RSQ($D$3:D392,$B$3:B392)</f>
        <v>6.8806826668866825E-2</v>
      </c>
      <c r="N392">
        <v>360</v>
      </c>
      <c r="O392" t="str">
        <f t="shared" si="85"/>
        <v/>
      </c>
      <c r="P392" t="str">
        <f t="shared" si="89"/>
        <v/>
      </c>
      <c r="Q392">
        <f t="shared" si="90"/>
        <v>0</v>
      </c>
      <c r="R392">
        <f t="shared" si="91"/>
        <v>0</v>
      </c>
      <c r="S392">
        <f t="shared" si="92"/>
        <v>0</v>
      </c>
      <c r="T392">
        <f t="shared" si="93"/>
        <v>0</v>
      </c>
      <c r="U392">
        <f t="shared" si="88"/>
        <v>0</v>
      </c>
      <c r="V392">
        <f t="shared" si="94"/>
        <v>0</v>
      </c>
      <c r="W392">
        <f t="shared" si="82"/>
        <v>0</v>
      </c>
      <c r="X392">
        <f>SUM($W$34:W392)</f>
        <v>191.9387015999996</v>
      </c>
      <c r="Y392">
        <f t="shared" si="95"/>
        <v>0</v>
      </c>
    </row>
    <row r="393" spans="1:25">
      <c r="A393">
        <v>112.07271040000001</v>
      </c>
      <c r="B393" s="2">
        <f t="shared" si="96"/>
        <v>-4.0242454893404632E-3</v>
      </c>
      <c r="C393">
        <v>99.15604999</v>
      </c>
      <c r="D393" s="3">
        <f t="shared" si="97"/>
        <v>7.9067937635720325E-3</v>
      </c>
      <c r="E393" s="3">
        <f t="shared" si="83"/>
        <v>9.0461669280968195E-3</v>
      </c>
      <c r="F393" s="3">
        <f>STDEV($E$32:E393)</f>
        <v>1.312316548887687E-2</v>
      </c>
      <c r="G393" s="14">
        <f t="shared" si="86"/>
        <v>0.68932811490979862</v>
      </c>
      <c r="H393" s="15">
        <f>yint($B$3:B393,$D$3:D393)</f>
        <v>-3.3702795814665601E-5</v>
      </c>
      <c r="I393" s="16">
        <f>MyReg($B$3:B393,$D$3:D393)</f>
        <v>0.27475221669226019</v>
      </c>
      <c r="J393" s="17">
        <f>STDEV($D$3:D393)</f>
        <v>1.3485012778833891E-2</v>
      </c>
      <c r="K393" s="4">
        <f t="shared" si="84"/>
        <v>-1.1393731645247872E-3</v>
      </c>
      <c r="L393">
        <f t="shared" si="87"/>
        <v>0.68932811490979862</v>
      </c>
      <c r="M393">
        <f>RSQ($D$3:D393,$B$3:B393)</f>
        <v>6.8458304255675284E-2</v>
      </c>
      <c r="N393">
        <v>361</v>
      </c>
      <c r="O393" t="str">
        <f t="shared" si="85"/>
        <v/>
      </c>
      <c r="P393" t="str">
        <f t="shared" si="89"/>
        <v/>
      </c>
      <c r="Q393">
        <f t="shared" si="90"/>
        <v>0</v>
      </c>
      <c r="R393">
        <f t="shared" si="91"/>
        <v>0</v>
      </c>
      <c r="S393">
        <f t="shared" si="92"/>
        <v>0</v>
      </c>
      <c r="T393">
        <f t="shared" si="93"/>
        <v>0</v>
      </c>
      <c r="U393">
        <f t="shared" si="88"/>
        <v>0</v>
      </c>
      <c r="V393">
        <f t="shared" si="94"/>
        <v>0</v>
      </c>
      <c r="W393">
        <f t="shared" si="82"/>
        <v>0</v>
      </c>
      <c r="X393">
        <f>SUM($W$34:W393)</f>
        <v>191.9387015999996</v>
      </c>
      <c r="Y393">
        <f t="shared" si="95"/>
        <v>0</v>
      </c>
    </row>
    <row r="394" spans="1:25">
      <c r="A394">
        <v>113.3197114</v>
      </c>
      <c r="B394" s="2">
        <f t="shared" si="96"/>
        <v>1.1126714037246995E-2</v>
      </c>
      <c r="C394">
        <v>101.72253310000001</v>
      </c>
      <c r="D394" s="3">
        <f t="shared" si="97"/>
        <v>2.588327298494484E-2</v>
      </c>
      <c r="E394" s="3">
        <f t="shared" si="83"/>
        <v>2.2760755959866215E-2</v>
      </c>
      <c r="F394" s="3">
        <f>STDEV($E$32:E394)</f>
        <v>1.3160161081624853E-2</v>
      </c>
      <c r="G394" s="14">
        <f t="shared" si="86"/>
        <v>1.7295195566904109</v>
      </c>
      <c r="H394" s="15">
        <f>yint($B$3:B394,$D$3:D394)</f>
        <v>2.3086172681889582E-5</v>
      </c>
      <c r="I394" s="16">
        <f>MyReg($B$3:B394,$D$3:D394)</f>
        <v>0.27855760847464045</v>
      </c>
      <c r="J394" s="17">
        <f>STDEV($D$3:D394)</f>
        <v>1.3530721705909597E-2</v>
      </c>
      <c r="K394" s="4">
        <f t="shared" si="84"/>
        <v>3.1225170250786236E-3</v>
      </c>
      <c r="L394">
        <f t="shared" si="87"/>
        <v>1.7295195566904109</v>
      </c>
      <c r="M394">
        <f>RSQ($D$3:D394,$B$3:B394)</f>
        <v>6.9839400879288194E-2</v>
      </c>
      <c r="N394">
        <v>362</v>
      </c>
      <c r="O394" t="str">
        <f t="shared" si="85"/>
        <v>sellY</v>
      </c>
      <c r="P394" t="str">
        <f t="shared" si="89"/>
        <v/>
      </c>
      <c r="Q394">
        <f t="shared" si="90"/>
        <v>10</v>
      </c>
      <c r="R394">
        <f t="shared" si="91"/>
        <v>0</v>
      </c>
      <c r="S394">
        <f t="shared" si="92"/>
        <v>-10</v>
      </c>
      <c r="T394">
        <f t="shared" si="93"/>
        <v>0</v>
      </c>
      <c r="U394">
        <f t="shared" si="88"/>
        <v>20</v>
      </c>
      <c r="V394">
        <f t="shared" si="94"/>
        <v>10</v>
      </c>
      <c r="W394">
        <f t="shared" si="82"/>
        <v>-115.97178299999996</v>
      </c>
      <c r="X394">
        <f>SUM($W$34:W394)</f>
        <v>75.966918599999644</v>
      </c>
      <c r="Y394">
        <f t="shared" si="95"/>
        <v>0</v>
      </c>
    </row>
    <row r="395" spans="1:25">
      <c r="A395">
        <v>110.38683899999999</v>
      </c>
      <c r="B395" s="2">
        <f t="shared" si="96"/>
        <v>-2.5881396658763534E-2</v>
      </c>
      <c r="C395">
        <v>102.42536320000001</v>
      </c>
      <c r="D395" s="3">
        <f t="shared" si="97"/>
        <v>6.9092862572451988E-3</v>
      </c>
      <c r="E395" s="3">
        <f t="shared" si="83"/>
        <v>1.391102741433739E-2</v>
      </c>
      <c r="F395" s="3">
        <f>STDEV($E$32:E395)</f>
        <v>1.3162534168577218E-2</v>
      </c>
      <c r="G395" s="14">
        <f t="shared" si="86"/>
        <v>1.0568654361062966</v>
      </c>
      <c r="H395" s="15">
        <f>yint($B$3:B395,$D$3:D395)</f>
        <v>6.085067575874722E-5</v>
      </c>
      <c r="I395" s="16">
        <f>MyReg($B$3:B395,$D$3:D395)</f>
        <v>0.27288294855059603</v>
      </c>
      <c r="J395" s="17">
        <f>STDEV($D$3:D395)</f>
        <v>1.3517772130448535E-2</v>
      </c>
      <c r="K395" s="4">
        <f t="shared" si="84"/>
        <v>-7.0017411570921905E-3</v>
      </c>
      <c r="L395">
        <f t="shared" si="87"/>
        <v>1.0568654361062966</v>
      </c>
      <c r="M395">
        <f>RSQ($D$3:D395,$B$3:B395)</f>
        <v>6.7696365260177985E-2</v>
      </c>
      <c r="N395">
        <v>363</v>
      </c>
      <c r="O395" t="str">
        <f t="shared" si="85"/>
        <v/>
      </c>
      <c r="P395" t="str">
        <f t="shared" si="89"/>
        <v>sellhold</v>
      </c>
      <c r="Q395">
        <f t="shared" si="90"/>
        <v>10</v>
      </c>
      <c r="R395">
        <f t="shared" si="91"/>
        <v>0</v>
      </c>
      <c r="S395">
        <f t="shared" si="92"/>
        <v>-10</v>
      </c>
      <c r="T395">
        <f t="shared" si="93"/>
        <v>0</v>
      </c>
      <c r="U395">
        <f t="shared" si="88"/>
        <v>20</v>
      </c>
      <c r="V395">
        <f t="shared" si="94"/>
        <v>0</v>
      </c>
      <c r="W395">
        <f t="shared" si="82"/>
        <v>0</v>
      </c>
      <c r="X395">
        <f>SUM($W$34:W395)</f>
        <v>75.966918599999644</v>
      </c>
      <c r="Y395">
        <f t="shared" si="95"/>
        <v>0</v>
      </c>
    </row>
    <row r="396" spans="1:25">
      <c r="A396">
        <v>111.02129429999999</v>
      </c>
      <c r="B396" s="2">
        <f t="shared" si="96"/>
        <v>5.7475628956093136E-3</v>
      </c>
      <c r="C396">
        <v>103.0507271</v>
      </c>
      <c r="D396" s="3">
        <f t="shared" si="97"/>
        <v>6.1055570657717363E-3</v>
      </c>
      <c r="E396" s="3">
        <f t="shared" si="83"/>
        <v>4.462930203813757E-3</v>
      </c>
      <c r="F396" s="3">
        <f>STDEV($E$32:E396)</f>
        <v>1.3146577729512863E-2</v>
      </c>
      <c r="G396" s="14">
        <f t="shared" si="86"/>
        <v>0.33947467513122348</v>
      </c>
      <c r="H396" s="15">
        <f>yint($B$3:B396,$D$3:D396)</f>
        <v>7.2082668420564075E-5</v>
      </c>
      <c r="I396" s="16">
        <f>MyReg($B$3:B396,$D$3:D396)</f>
        <v>0.27325393772327178</v>
      </c>
      <c r="J396" s="17">
        <f>STDEV($D$3:D396)</f>
        <v>1.3503894232150279E-2</v>
      </c>
      <c r="K396" s="4">
        <f t="shared" si="84"/>
        <v>1.6426268619579791E-3</v>
      </c>
      <c r="L396">
        <f t="shared" si="87"/>
        <v>0.33947467513122348</v>
      </c>
      <c r="M396">
        <f>RSQ($D$3:D396,$B$3:B396)</f>
        <v>6.7877524963014482E-2</v>
      </c>
      <c r="N396">
        <v>364</v>
      </c>
      <c r="O396" t="str">
        <f t="shared" si="85"/>
        <v/>
      </c>
      <c r="P396" t="str">
        <f t="shared" si="89"/>
        <v>close</v>
      </c>
      <c r="Q396">
        <f t="shared" si="90"/>
        <v>0</v>
      </c>
      <c r="R396">
        <f t="shared" si="91"/>
        <v>0</v>
      </c>
      <c r="S396">
        <f t="shared" si="92"/>
        <v>0</v>
      </c>
      <c r="T396">
        <f t="shared" si="93"/>
        <v>0</v>
      </c>
      <c r="U396">
        <f t="shared" si="88"/>
        <v>0</v>
      </c>
      <c r="V396">
        <f t="shared" si="94"/>
        <v>-10</v>
      </c>
      <c r="W396">
        <f t="shared" ref="W396:W459" si="98">IF(ABS(V396)&gt;0,V396*(C396-A396),0)</f>
        <v>79.705671999999907</v>
      </c>
      <c r="X396">
        <f>SUM($W$34:W396)</f>
        <v>155.67259059999955</v>
      </c>
      <c r="Y396">
        <f t="shared" si="95"/>
        <v>155.67259059999955</v>
      </c>
    </row>
    <row r="397" spans="1:25">
      <c r="A397">
        <v>108.9099319</v>
      </c>
      <c r="B397" s="2">
        <f t="shared" si="96"/>
        <v>-1.9017634529594835E-2</v>
      </c>
      <c r="C397">
        <v>102.6386632</v>
      </c>
      <c r="D397" s="3">
        <f t="shared" si="97"/>
        <v>-3.9986510682272205E-3</v>
      </c>
      <c r="E397" s="3">
        <f t="shared" si="83"/>
        <v>1.116647553080643E-3</v>
      </c>
      <c r="F397" s="3">
        <f>STDEV($E$32:E397)</f>
        <v>1.3128698604682994E-2</v>
      </c>
      <c r="G397" s="14">
        <f t="shared" si="86"/>
        <v>8.5053940737304753E-2</v>
      </c>
      <c r="H397" s="15">
        <f>yint($B$3:B397,$D$3:D397)</f>
        <v>7.5032361826276767E-5</v>
      </c>
      <c r="I397" s="16">
        <f>MyReg($B$3:B397,$D$3:D397)</f>
        <v>0.27292200694345337</v>
      </c>
      <c r="J397" s="17">
        <f>STDEV($D$3:D397)</f>
        <v>1.3488375158156736E-2</v>
      </c>
      <c r="K397" s="4">
        <f t="shared" si="84"/>
        <v>-5.1152986213078636E-3</v>
      </c>
      <c r="L397">
        <f t="shared" si="87"/>
        <v>8.5053940737304753E-2</v>
      </c>
      <c r="M397">
        <f>RSQ($D$3:D397,$B$3:B397)</f>
        <v>6.8085081884781476E-2</v>
      </c>
      <c r="N397">
        <v>365</v>
      </c>
      <c r="O397" t="str">
        <f t="shared" si="85"/>
        <v/>
      </c>
      <c r="P397" t="str">
        <f t="shared" si="89"/>
        <v/>
      </c>
      <c r="Q397">
        <f t="shared" si="90"/>
        <v>0</v>
      </c>
      <c r="R397">
        <f t="shared" si="91"/>
        <v>0</v>
      </c>
      <c r="S397">
        <f t="shared" si="92"/>
        <v>0</v>
      </c>
      <c r="T397">
        <f t="shared" si="93"/>
        <v>0</v>
      </c>
      <c r="U397">
        <f t="shared" si="88"/>
        <v>0</v>
      </c>
      <c r="V397">
        <f t="shared" si="94"/>
        <v>0</v>
      </c>
      <c r="W397">
        <f t="shared" si="98"/>
        <v>0</v>
      </c>
      <c r="X397">
        <f>SUM($W$34:W397)</f>
        <v>155.67259059999955</v>
      </c>
      <c r="Y397">
        <f t="shared" si="95"/>
        <v>0</v>
      </c>
    </row>
    <row r="398" spans="1:25">
      <c r="A398">
        <v>108.163668</v>
      </c>
      <c r="B398" s="2">
        <f t="shared" si="96"/>
        <v>-6.8521197927587946E-3</v>
      </c>
      <c r="C398">
        <v>102.2986715</v>
      </c>
      <c r="D398" s="3">
        <f t="shared" si="97"/>
        <v>-3.3125109914720597E-3</v>
      </c>
      <c r="E398" s="3">
        <f t="shared" si="83"/>
        <v>-1.5124396471778924E-3</v>
      </c>
      <c r="F398" s="3">
        <f>STDEV($E$32:E398)</f>
        <v>1.3110973408175838E-2</v>
      </c>
      <c r="G398" s="14">
        <f t="shared" si="86"/>
        <v>-0.11535677787545157</v>
      </c>
      <c r="H398" s="15">
        <f>yint($B$3:B398,$D$3:D398)</f>
        <v>7.1154023945904589E-5</v>
      </c>
      <c r="I398" s="16">
        <f>MyReg($B$3:B398,$D$3:D398)</f>
        <v>0.27308707740596588</v>
      </c>
      <c r="J398" s="17">
        <f>STDEV($D$3:D398)</f>
        <v>1.3472418425621481E-2</v>
      </c>
      <c r="K398" s="4">
        <f t="shared" si="84"/>
        <v>-1.8000713442941673E-3</v>
      </c>
      <c r="L398">
        <f t="shared" si="87"/>
        <v>-0.11535677787545157</v>
      </c>
      <c r="M398">
        <f>RSQ($D$3:D398,$B$3:B398)</f>
        <v>6.8209113406586419E-2</v>
      </c>
      <c r="N398">
        <v>366</v>
      </c>
      <c r="O398" t="str">
        <f t="shared" si="85"/>
        <v/>
      </c>
      <c r="P398" t="str">
        <f t="shared" si="89"/>
        <v/>
      </c>
      <c r="Q398">
        <f t="shared" si="90"/>
        <v>0</v>
      </c>
      <c r="R398">
        <f t="shared" si="91"/>
        <v>0</v>
      </c>
      <c r="S398">
        <f t="shared" si="92"/>
        <v>0</v>
      </c>
      <c r="T398">
        <f t="shared" si="93"/>
        <v>0</v>
      </c>
      <c r="U398">
        <f t="shared" si="88"/>
        <v>0</v>
      </c>
      <c r="V398">
        <f t="shared" si="94"/>
        <v>0</v>
      </c>
      <c r="W398">
        <f t="shared" si="98"/>
        <v>0</v>
      </c>
      <c r="X398">
        <f>SUM($W$34:W398)</f>
        <v>155.67259059999955</v>
      </c>
      <c r="Y398">
        <f t="shared" si="95"/>
        <v>0</v>
      </c>
    </row>
    <row r="399" spans="1:25">
      <c r="A399">
        <v>108.7082494</v>
      </c>
      <c r="B399" s="2">
        <f t="shared" si="96"/>
        <v>5.0347904251915572E-3</v>
      </c>
      <c r="C399">
        <v>102.32592889999999</v>
      </c>
      <c r="D399" s="3">
        <f t="shared" si="97"/>
        <v>2.6644920799383329E-4</v>
      </c>
      <c r="E399" s="3">
        <f t="shared" si="83"/>
        <v>-1.1762652879329671E-3</v>
      </c>
      <c r="F399" s="3">
        <f>STDEV($E$32:E399)</f>
        <v>1.3093229722991621E-2</v>
      </c>
      <c r="G399" s="14">
        <f t="shared" si="86"/>
        <v>-8.983767281402337E-2</v>
      </c>
      <c r="H399" s="15">
        <f>yint($B$3:B399,$D$3:D399)</f>
        <v>6.8207624412430418E-5</v>
      </c>
      <c r="I399" s="16">
        <f>MyReg($B$3:B399,$D$3:D399)</f>
        <v>0.27300180453133249</v>
      </c>
      <c r="J399" s="17">
        <f>STDEV($D$3:D399)</f>
        <v>1.345539835893496E-2</v>
      </c>
      <c r="K399" s="4">
        <f t="shared" si="84"/>
        <v>1.4427144959268004E-3</v>
      </c>
      <c r="L399">
        <f t="shared" si="87"/>
        <v>-8.983767281402337E-2</v>
      </c>
      <c r="M399">
        <f>RSQ($D$3:D399,$B$3:B399)</f>
        <v>6.8189941743668978E-2</v>
      </c>
      <c r="N399">
        <v>367</v>
      </c>
      <c r="O399" t="str">
        <f t="shared" si="85"/>
        <v/>
      </c>
      <c r="P399" t="str">
        <f t="shared" si="89"/>
        <v/>
      </c>
      <c r="Q399">
        <f t="shared" si="90"/>
        <v>0</v>
      </c>
      <c r="R399">
        <f t="shared" si="91"/>
        <v>0</v>
      </c>
      <c r="S399">
        <f t="shared" si="92"/>
        <v>0</v>
      </c>
      <c r="T399">
        <f t="shared" si="93"/>
        <v>0</v>
      </c>
      <c r="U399">
        <f t="shared" si="88"/>
        <v>0</v>
      </c>
      <c r="V399">
        <f t="shared" si="94"/>
        <v>0</v>
      </c>
      <c r="W399">
        <f t="shared" si="98"/>
        <v>0</v>
      </c>
      <c r="X399">
        <f>SUM($W$34:W399)</f>
        <v>155.67259059999955</v>
      </c>
      <c r="Y399">
        <f t="shared" si="95"/>
        <v>0</v>
      </c>
    </row>
    <row r="400" spans="1:25">
      <c r="A400">
        <v>110.1612082</v>
      </c>
      <c r="B400" s="2">
        <f t="shared" si="96"/>
        <v>1.336567195239927E-2</v>
      </c>
      <c r="C400">
        <v>104.669237</v>
      </c>
      <c r="D400" s="3">
        <f t="shared" si="97"/>
        <v>2.2900433205840183E-2</v>
      </c>
      <c r="E400" s="3">
        <f t="shared" si="83"/>
        <v>1.9085575935672408E-2</v>
      </c>
      <c r="F400" s="3">
        <f>STDEV($E$32:E400)</f>
        <v>1.3113344547820158E-2</v>
      </c>
      <c r="G400" s="14">
        <f t="shared" si="86"/>
        <v>1.4554315923045749</v>
      </c>
      <c r="H400" s="15">
        <f>yint($B$3:B400,$D$3:D400)</f>
        <v>1.1516752404580008E-4</v>
      </c>
      <c r="I400" s="16">
        <f>MyReg($B$3:B400,$D$3:D400)</f>
        <v>0.2768053682073085</v>
      </c>
      <c r="J400" s="17">
        <f>STDEV($D$3:D400)</f>
        <v>1.3486747865983617E-2</v>
      </c>
      <c r="K400" s="4">
        <f t="shared" si="84"/>
        <v>3.8148572701677758E-3</v>
      </c>
      <c r="L400">
        <f t="shared" si="87"/>
        <v>1.4554315923045749</v>
      </c>
      <c r="M400">
        <f>RSQ($D$3:D400,$B$3:B400)</f>
        <v>6.9782859115271434E-2</v>
      </c>
      <c r="N400">
        <v>368</v>
      </c>
      <c r="O400" t="str">
        <f t="shared" si="85"/>
        <v/>
      </c>
      <c r="P400" t="str">
        <f t="shared" si="89"/>
        <v/>
      </c>
      <c r="Q400">
        <f t="shared" si="90"/>
        <v>0</v>
      </c>
      <c r="R400">
        <f t="shared" si="91"/>
        <v>0</v>
      </c>
      <c r="S400">
        <f t="shared" si="92"/>
        <v>0</v>
      </c>
      <c r="T400">
        <f t="shared" si="93"/>
        <v>0</v>
      </c>
      <c r="U400">
        <f t="shared" si="88"/>
        <v>0</v>
      </c>
      <c r="V400">
        <f t="shared" si="94"/>
        <v>0</v>
      </c>
      <c r="W400">
        <f t="shared" si="98"/>
        <v>0</v>
      </c>
      <c r="X400">
        <f>SUM($W$34:W400)</f>
        <v>155.67259059999955</v>
      </c>
      <c r="Y400">
        <f t="shared" si="95"/>
        <v>0</v>
      </c>
    </row>
    <row r="401" spans="1:25">
      <c r="A401">
        <v>110.3055825</v>
      </c>
      <c r="B401" s="2">
        <f t="shared" si="96"/>
        <v>1.3105729535743736E-3</v>
      </c>
      <c r="C401">
        <v>103.149255</v>
      </c>
      <c r="D401" s="3">
        <f t="shared" si="97"/>
        <v>-1.4521764403422554E-2</v>
      </c>
      <c r="E401" s="3">
        <f t="shared" si="83"/>
        <v>-1.4961892276396979E-2</v>
      </c>
      <c r="F401" s="3">
        <f>STDEV($E$32:E401)</f>
        <v>1.3118629870665475E-2</v>
      </c>
      <c r="G401" s="14">
        <f t="shared" si="86"/>
        <v>-1.1405072346658105</v>
      </c>
      <c r="H401" s="15">
        <f>yint($B$3:B401,$D$3:D401)</f>
        <v>7.7647833796018771E-5</v>
      </c>
      <c r="I401" s="16">
        <f>MyReg($B$3:B401,$D$3:D401)</f>
        <v>0.27658135183531829</v>
      </c>
      <c r="J401" s="17">
        <f>STDEV($D$3:D401)</f>
        <v>1.3489956727661876E-2</v>
      </c>
      <c r="K401" s="4">
        <f t="shared" si="84"/>
        <v>4.4012787297442485E-4</v>
      </c>
      <c r="L401">
        <f t="shared" si="87"/>
        <v>-1.1405072346658105</v>
      </c>
      <c r="M401">
        <f>RSQ($D$3:D401,$B$3:B401)</f>
        <v>6.9462869149867226E-2</v>
      </c>
      <c r="N401">
        <v>369</v>
      </c>
      <c r="O401" t="str">
        <f t="shared" si="85"/>
        <v/>
      </c>
      <c r="P401" t="str">
        <f t="shared" si="89"/>
        <v/>
      </c>
      <c r="Q401">
        <f t="shared" si="90"/>
        <v>0</v>
      </c>
      <c r="R401">
        <f t="shared" si="91"/>
        <v>0</v>
      </c>
      <c r="S401">
        <f t="shared" si="92"/>
        <v>0</v>
      </c>
      <c r="T401">
        <f t="shared" si="93"/>
        <v>0</v>
      </c>
      <c r="U401">
        <f t="shared" si="88"/>
        <v>0</v>
      </c>
      <c r="V401">
        <f t="shared" si="94"/>
        <v>0</v>
      </c>
      <c r="W401">
        <f t="shared" si="98"/>
        <v>0</v>
      </c>
      <c r="X401">
        <f>SUM($W$34:W401)</f>
        <v>155.67259059999955</v>
      </c>
      <c r="Y401">
        <f t="shared" si="95"/>
        <v>0</v>
      </c>
    </row>
    <row r="402" spans="1:25">
      <c r="A402">
        <v>110.46052709999999</v>
      </c>
      <c r="B402" s="2">
        <f t="shared" si="96"/>
        <v>1.4046850258008765E-3</v>
      </c>
      <c r="C402">
        <v>106.17498999999999</v>
      </c>
      <c r="D402" s="3">
        <f t="shared" si="97"/>
        <v>2.9333561352430489E-2</v>
      </c>
      <c r="E402" s="3">
        <f t="shared" si="83"/>
        <v>2.879472937734167E-2</v>
      </c>
      <c r="F402" s="3">
        <f>STDEV($E$32:E402)</f>
        <v>1.3186173190119516E-2</v>
      </c>
      <c r="G402" s="14">
        <f t="shared" si="86"/>
        <v>2.1837062931129818</v>
      </c>
      <c r="H402" s="15">
        <f>yint($B$3:B402,$D$3:D402)</f>
        <v>1.4966033968177877E-4</v>
      </c>
      <c r="I402" s="16">
        <f>MyReg($B$3:B402,$D$3:D402)</f>
        <v>0.27705259774172913</v>
      </c>
      <c r="J402" s="17">
        <f>STDEV($D$3:D402)</f>
        <v>1.3551728751160575E-2</v>
      </c>
      <c r="K402" s="4">
        <f t="shared" si="84"/>
        <v>5.388319750888194E-4</v>
      </c>
      <c r="L402">
        <f t="shared" si="87"/>
        <v>2.1837062931129818</v>
      </c>
      <c r="M402">
        <f>RSQ($D$3:D402,$B$3:B402)</f>
        <v>6.8893920698594624E-2</v>
      </c>
      <c r="N402">
        <v>370</v>
      </c>
      <c r="O402" t="str">
        <f t="shared" si="85"/>
        <v>sellY</v>
      </c>
      <c r="P402" t="str">
        <f t="shared" si="89"/>
        <v/>
      </c>
      <c r="Q402">
        <f t="shared" si="90"/>
        <v>15</v>
      </c>
      <c r="R402">
        <f t="shared" si="91"/>
        <v>5</v>
      </c>
      <c r="S402">
        <f t="shared" si="92"/>
        <v>-15</v>
      </c>
      <c r="T402">
        <f t="shared" si="93"/>
        <v>-5</v>
      </c>
      <c r="U402">
        <f t="shared" si="88"/>
        <v>30</v>
      </c>
      <c r="V402">
        <f t="shared" si="94"/>
        <v>15</v>
      </c>
      <c r="W402">
        <f t="shared" si="98"/>
        <v>-64.283056499999986</v>
      </c>
      <c r="X402">
        <f>SUM($W$34:W402)</f>
        <v>91.389534099999565</v>
      </c>
      <c r="Y402">
        <f t="shared" si="95"/>
        <v>0</v>
      </c>
    </row>
    <row r="403" spans="1:25">
      <c r="A403">
        <v>109.7907185</v>
      </c>
      <c r="B403" s="2">
        <f t="shared" si="96"/>
        <v>-6.0637823988800802E-3</v>
      </c>
      <c r="C403">
        <v>106.437817</v>
      </c>
      <c r="D403" s="3">
        <f t="shared" si="97"/>
        <v>2.475413466014939E-3</v>
      </c>
      <c r="E403" s="3">
        <f t="shared" si="83"/>
        <v>3.9932736577186854E-3</v>
      </c>
      <c r="F403" s="3">
        <f>STDEV($E$32:E403)</f>
        <v>1.316999094254874E-2</v>
      </c>
      <c r="G403" s="14">
        <f t="shared" si="86"/>
        <v>0.30321005345702096</v>
      </c>
      <c r="H403" s="15">
        <f>yint($B$3:B403,$D$3:D403)</f>
        <v>1.597720603308212E-4</v>
      </c>
      <c r="I403" s="16">
        <f>MyReg($B$3:B403,$D$3:D403)</f>
        <v>0.27666432297181537</v>
      </c>
      <c r="J403" s="17">
        <f>STDEV($D$3:D403)</f>
        <v>1.3535238266963113E-2</v>
      </c>
      <c r="K403" s="4">
        <f t="shared" si="84"/>
        <v>-1.5178601917037466E-3</v>
      </c>
      <c r="L403">
        <f t="shared" si="87"/>
        <v>0.30321005345702096</v>
      </c>
      <c r="M403">
        <f>RSQ($D$3:D403,$B$3:B403)</f>
        <v>6.8738893894269848E-2</v>
      </c>
      <c r="N403">
        <v>371</v>
      </c>
      <c r="O403" t="str">
        <f t="shared" si="85"/>
        <v/>
      </c>
      <c r="P403" t="str">
        <f t="shared" si="89"/>
        <v>close</v>
      </c>
      <c r="Q403">
        <f t="shared" si="90"/>
        <v>0</v>
      </c>
      <c r="R403">
        <f t="shared" si="91"/>
        <v>0</v>
      </c>
      <c r="S403">
        <f t="shared" si="92"/>
        <v>0</v>
      </c>
      <c r="T403">
        <f t="shared" si="93"/>
        <v>0</v>
      </c>
      <c r="U403">
        <f t="shared" si="88"/>
        <v>0</v>
      </c>
      <c r="V403">
        <f t="shared" si="94"/>
        <v>-15</v>
      </c>
      <c r="W403">
        <f t="shared" si="98"/>
        <v>50.293522500000023</v>
      </c>
      <c r="X403">
        <f>SUM($W$34:W403)</f>
        <v>141.68305659999959</v>
      </c>
      <c r="Y403">
        <f t="shared" si="95"/>
        <v>141.68305659999959</v>
      </c>
    </row>
    <row r="404" spans="1:25">
      <c r="A404">
        <v>109.47328539999999</v>
      </c>
      <c r="B404" s="2">
        <f t="shared" si="96"/>
        <v>-2.8912562403897771E-3</v>
      </c>
      <c r="C404">
        <v>104.14053490000001</v>
      </c>
      <c r="D404" s="3">
        <f t="shared" si="97"/>
        <v>-2.1583325971444807E-2</v>
      </c>
      <c r="E404" s="3">
        <f t="shared" si="83"/>
        <v>-2.0887838123935205E-2</v>
      </c>
      <c r="F404" s="3">
        <f>STDEV($E$32:E404)</f>
        <v>1.3196855159260992E-2</v>
      </c>
      <c r="G404" s="14">
        <f t="shared" si="86"/>
        <v>-1.582789071476397</v>
      </c>
      <c r="H404" s="15">
        <f>yint($B$3:B404,$D$3:D404)</f>
        <v>1.0736201527035728E-4</v>
      </c>
      <c r="I404" s="16">
        <f>MyReg($B$3:B404,$D$3:D404)</f>
        <v>0.27768201640672446</v>
      </c>
      <c r="J404" s="17">
        <f>STDEV($D$3:D404)</f>
        <v>1.3562126870272823E-2</v>
      </c>
      <c r="K404" s="4">
        <f t="shared" si="84"/>
        <v>-6.9548784750960129E-4</v>
      </c>
      <c r="L404">
        <f t="shared" si="87"/>
        <v>-1.582789071476397</v>
      </c>
      <c r="M404">
        <f>RSQ($D$3:D404,$B$3:B404)</f>
        <v>6.8809947369324234E-2</v>
      </c>
      <c r="N404">
        <v>372</v>
      </c>
      <c r="O404" t="str">
        <f t="shared" si="85"/>
        <v>buyY</v>
      </c>
      <c r="P404" t="str">
        <f t="shared" si="89"/>
        <v/>
      </c>
      <c r="Q404">
        <f t="shared" si="90"/>
        <v>-10</v>
      </c>
      <c r="R404">
        <f t="shared" si="91"/>
        <v>0</v>
      </c>
      <c r="S404">
        <f t="shared" si="92"/>
        <v>10</v>
      </c>
      <c r="T404">
        <f t="shared" si="93"/>
        <v>0</v>
      </c>
      <c r="U404">
        <f t="shared" si="88"/>
        <v>20</v>
      </c>
      <c r="V404">
        <f t="shared" si="94"/>
        <v>-10</v>
      </c>
      <c r="W404">
        <f t="shared" si="98"/>
        <v>53.327504999999888</v>
      </c>
      <c r="X404">
        <f>SUM($W$34:W404)</f>
        <v>195.01056159999948</v>
      </c>
      <c r="Y404">
        <f t="shared" si="95"/>
        <v>0</v>
      </c>
    </row>
    <row r="405" spans="1:25">
      <c r="A405">
        <v>109.0867722</v>
      </c>
      <c r="B405" s="2">
        <f t="shared" si="96"/>
        <v>-3.5306622852116945E-3</v>
      </c>
      <c r="C405">
        <v>103.94100330000001</v>
      </c>
      <c r="D405" s="3">
        <f t="shared" si="97"/>
        <v>-1.9159840132528477E-3</v>
      </c>
      <c r="E405" s="3">
        <f t="shared" si="83"/>
        <v>-1.0401244810177204E-3</v>
      </c>
      <c r="F405" s="3">
        <f>STDEV($E$32:E405)</f>
        <v>1.3179260225479652E-2</v>
      </c>
      <c r="G405" s="14">
        <f t="shared" si="86"/>
        <v>-7.8921309938689344E-2</v>
      </c>
      <c r="H405" s="15">
        <f>yint($B$3:B405,$D$3:D405)</f>
        <v>1.0475601487406294E-4</v>
      </c>
      <c r="I405" s="16">
        <f>MyReg($B$3:B405,$D$3:D405)</f>
        <v>0.27774266352704807</v>
      </c>
      <c r="J405" s="17">
        <f>STDEV($D$3:D405)</f>
        <v>1.3545655309736161E-2</v>
      </c>
      <c r="K405" s="4">
        <f t="shared" si="84"/>
        <v>-8.7585953223512727E-4</v>
      </c>
      <c r="L405">
        <f t="shared" si="87"/>
        <v>-7.8921309938689344E-2</v>
      </c>
      <c r="M405">
        <f>RSQ($D$3:D405,$B$3:B405)</f>
        <v>6.8851233435531831E-2</v>
      </c>
      <c r="N405">
        <v>373</v>
      </c>
      <c r="O405" t="str">
        <f t="shared" si="85"/>
        <v/>
      </c>
      <c r="P405" t="str">
        <f t="shared" si="89"/>
        <v>close</v>
      </c>
      <c r="Q405">
        <f t="shared" si="90"/>
        <v>0</v>
      </c>
      <c r="R405">
        <f t="shared" si="91"/>
        <v>0</v>
      </c>
      <c r="S405">
        <f t="shared" si="92"/>
        <v>0</v>
      </c>
      <c r="T405">
        <f t="shared" si="93"/>
        <v>0</v>
      </c>
      <c r="U405">
        <f t="shared" si="88"/>
        <v>0</v>
      </c>
      <c r="V405">
        <f t="shared" si="94"/>
        <v>10</v>
      </c>
      <c r="W405">
        <f t="shared" si="98"/>
        <v>-51.457688999999931</v>
      </c>
      <c r="X405">
        <f>SUM($W$34:W405)</f>
        <v>143.55287259999955</v>
      </c>
      <c r="Y405">
        <f t="shared" si="95"/>
        <v>143.55287259999955</v>
      </c>
    </row>
    <row r="406" spans="1:25">
      <c r="A406">
        <v>110.3716979</v>
      </c>
      <c r="B406" s="2">
        <f t="shared" si="96"/>
        <v>1.177893225811298E-2</v>
      </c>
      <c r="C406">
        <v>104.3752611</v>
      </c>
      <c r="D406" s="3">
        <f t="shared" si="97"/>
        <v>4.1779258061096416E-3</v>
      </c>
      <c r="E406" s="3">
        <f t="shared" si="83"/>
        <v>7.9807942140050752E-4</v>
      </c>
      <c r="F406" s="3">
        <f>STDEV($E$32:E406)</f>
        <v>1.3161696135727499E-2</v>
      </c>
      <c r="G406" s="14">
        <f t="shared" si="86"/>
        <v>6.0636517753522391E-2</v>
      </c>
      <c r="H406" s="15">
        <f>yint($B$3:B406,$D$3:D406)</f>
        <v>1.0669494015183996E-4</v>
      </c>
      <c r="I406" s="16">
        <f>MyReg($B$3:B406,$D$3:D406)</f>
        <v>0.27788184640444336</v>
      </c>
      <c r="J406" s="17">
        <f>STDEV($D$3:D406)</f>
        <v>1.3530295521298188E-2</v>
      </c>
      <c r="K406" s="4">
        <f t="shared" si="84"/>
        <v>3.3798463847091341E-3</v>
      </c>
      <c r="L406">
        <f t="shared" si="87"/>
        <v>6.0636517753522391E-2</v>
      </c>
      <c r="M406">
        <f>RSQ($D$3:D406,$B$3:B406)</f>
        <v>6.9043046005071773E-2</v>
      </c>
      <c r="N406">
        <v>374</v>
      </c>
      <c r="O406" t="str">
        <f t="shared" si="85"/>
        <v/>
      </c>
      <c r="P406" t="str">
        <f t="shared" si="89"/>
        <v/>
      </c>
      <c r="Q406">
        <f t="shared" si="90"/>
        <v>0</v>
      </c>
      <c r="R406">
        <f t="shared" si="91"/>
        <v>0</v>
      </c>
      <c r="S406">
        <f t="shared" si="92"/>
        <v>0</v>
      </c>
      <c r="T406">
        <f t="shared" si="93"/>
        <v>0</v>
      </c>
      <c r="U406">
        <f t="shared" si="88"/>
        <v>0</v>
      </c>
      <c r="V406">
        <f t="shared" si="94"/>
        <v>0</v>
      </c>
      <c r="W406">
        <f t="shared" si="98"/>
        <v>0</v>
      </c>
      <c r="X406">
        <f>SUM($W$34:W406)</f>
        <v>143.55287259999955</v>
      </c>
      <c r="Y406">
        <f t="shared" si="95"/>
        <v>0</v>
      </c>
    </row>
    <row r="407" spans="1:25">
      <c r="A407">
        <v>107.9330478</v>
      </c>
      <c r="B407" s="2">
        <f t="shared" si="96"/>
        <v>-2.2094886156499037E-2</v>
      </c>
      <c r="C407">
        <v>106.6648308</v>
      </c>
      <c r="D407" s="3">
        <f t="shared" si="97"/>
        <v>2.1935942251741117E-2</v>
      </c>
      <c r="E407" s="3">
        <f t="shared" si="83"/>
        <v>2.7689467461244899E-2</v>
      </c>
      <c r="F407" s="3">
        <f>STDEV($E$32:E407)</f>
        <v>1.3221549004324255E-2</v>
      </c>
      <c r="G407" s="14">
        <f t="shared" si="86"/>
        <v>2.0942680356279548</v>
      </c>
      <c r="H407" s="15">
        <f>yint($B$3:B407,$D$3:D407)</f>
        <v>1.7830147249354235E-4</v>
      </c>
      <c r="I407" s="16">
        <f>MyReg($B$3:B407,$D$3:D407)</f>
        <v>0.26847057006684438</v>
      </c>
      <c r="J407" s="17">
        <f>STDEV($D$3:D407)</f>
        <v>1.3556643875220121E-2</v>
      </c>
      <c r="K407" s="4">
        <f t="shared" si="84"/>
        <v>-5.7535252095037822E-3</v>
      </c>
      <c r="L407">
        <f t="shared" si="87"/>
        <v>2.0942680356279548</v>
      </c>
      <c r="M407">
        <f>RSQ($D$3:D407,$B$3:B407)</f>
        <v>6.4523177055704456E-2</v>
      </c>
      <c r="N407">
        <v>375</v>
      </c>
      <c r="O407" t="str">
        <f t="shared" si="85"/>
        <v>sellY</v>
      </c>
      <c r="P407" t="str">
        <f t="shared" si="89"/>
        <v/>
      </c>
      <c r="Q407">
        <f t="shared" si="90"/>
        <v>15</v>
      </c>
      <c r="R407">
        <f t="shared" si="91"/>
        <v>5</v>
      </c>
      <c r="S407">
        <f t="shared" si="92"/>
        <v>-15</v>
      </c>
      <c r="T407">
        <f t="shared" si="93"/>
        <v>-5</v>
      </c>
      <c r="U407">
        <f t="shared" si="88"/>
        <v>30</v>
      </c>
      <c r="V407">
        <f t="shared" si="94"/>
        <v>15</v>
      </c>
      <c r="W407">
        <f t="shared" si="98"/>
        <v>-19.023254999999892</v>
      </c>
      <c r="X407">
        <f>SUM($W$34:W407)</f>
        <v>124.52961759999965</v>
      </c>
      <c r="Y407">
        <f t="shared" si="95"/>
        <v>0</v>
      </c>
    </row>
    <row r="408" spans="1:25">
      <c r="A408">
        <v>109.3195573</v>
      </c>
      <c r="B408" s="2">
        <f t="shared" si="96"/>
        <v>1.2846014527165077E-2</v>
      </c>
      <c r="C408">
        <v>107.1648194</v>
      </c>
      <c r="D408" s="3">
        <f t="shared" si="97"/>
        <v>4.6874738022834291E-3</v>
      </c>
      <c r="E408" s="3">
        <f t="shared" si="83"/>
        <v>1.0552791299972917E-3</v>
      </c>
      <c r="F408" s="3">
        <f>STDEV($E$32:E408)</f>
        <v>1.3204054856935991E-2</v>
      </c>
      <c r="G408" s="14">
        <f t="shared" si="86"/>
        <v>7.9920838063086475E-2</v>
      </c>
      <c r="H408" s="15">
        <f>yint($B$3:B408,$D$3:D408)</f>
        <v>1.8085306186106512E-4</v>
      </c>
      <c r="I408" s="16">
        <f>MyReg($B$3:B408,$D$3:D408)</f>
        <v>0.26867022477100777</v>
      </c>
      <c r="J408" s="17">
        <f>STDEV($D$3:D408)</f>
        <v>1.354168705559477E-2</v>
      </c>
      <c r="K408" s="4">
        <f t="shared" si="84"/>
        <v>3.6321946722861374E-3</v>
      </c>
      <c r="L408">
        <f t="shared" si="87"/>
        <v>7.9920838063086475E-2</v>
      </c>
      <c r="M408">
        <f>RSQ($D$3:D408,$B$3:B408)</f>
        <v>6.4755421173612229E-2</v>
      </c>
      <c r="N408">
        <v>376</v>
      </c>
      <c r="O408" t="str">
        <f t="shared" si="85"/>
        <v/>
      </c>
      <c r="P408" t="str">
        <f t="shared" si="89"/>
        <v>close</v>
      </c>
      <c r="Q408">
        <f t="shared" si="90"/>
        <v>0</v>
      </c>
      <c r="R408">
        <f t="shared" si="91"/>
        <v>0</v>
      </c>
      <c r="S408">
        <f t="shared" si="92"/>
        <v>0</v>
      </c>
      <c r="T408">
        <f t="shared" si="93"/>
        <v>0</v>
      </c>
      <c r="U408">
        <f t="shared" si="88"/>
        <v>0</v>
      </c>
      <c r="V408">
        <f t="shared" si="94"/>
        <v>-15</v>
      </c>
      <c r="W408">
        <f t="shared" si="98"/>
        <v>32.32106850000001</v>
      </c>
      <c r="X408">
        <f>SUM($W$34:W408)</f>
        <v>156.85068609999968</v>
      </c>
      <c r="Y408">
        <f t="shared" si="95"/>
        <v>156.85068609999968</v>
      </c>
    </row>
    <row r="409" spans="1:25">
      <c r="A409">
        <v>109.3153006</v>
      </c>
      <c r="B409" s="2">
        <f t="shared" si="96"/>
        <v>-3.8938137924558844E-5</v>
      </c>
      <c r="C409">
        <v>105.143517</v>
      </c>
      <c r="D409" s="3">
        <f t="shared" si="97"/>
        <v>-1.8861622791107844E-2</v>
      </c>
      <c r="E409" s="3">
        <f t="shared" si="83"/>
        <v>-1.8985219658499034E-2</v>
      </c>
      <c r="F409" s="3">
        <f>STDEV($E$32:E409)</f>
        <v>1.3222877743940237E-2</v>
      </c>
      <c r="G409" s="14">
        <f t="shared" si="86"/>
        <v>-1.4357857666194906</v>
      </c>
      <c r="H409" s="15">
        <f>yint($B$3:B409,$D$3:D409)</f>
        <v>1.3406216450635922E-4</v>
      </c>
      <c r="I409" s="16">
        <f>MyReg($B$3:B409,$D$3:D409)</f>
        <v>0.26876727221634633</v>
      </c>
      <c r="J409" s="17">
        <f>STDEV($D$3:D409)</f>
        <v>1.3558177149799512E-2</v>
      </c>
      <c r="K409" s="4">
        <f t="shared" si="84"/>
        <v>1.2359686739119168E-4</v>
      </c>
      <c r="L409">
        <f t="shared" si="87"/>
        <v>-1.4357857666194906</v>
      </c>
      <c r="M409">
        <f>RSQ($D$3:D409,$B$3:B409)</f>
        <v>6.4485564251521202E-2</v>
      </c>
      <c r="N409">
        <v>377</v>
      </c>
      <c r="O409" t="str">
        <f t="shared" si="85"/>
        <v/>
      </c>
      <c r="P409" t="str">
        <f t="shared" si="89"/>
        <v/>
      </c>
      <c r="Q409">
        <f t="shared" si="90"/>
        <v>0</v>
      </c>
      <c r="R409">
        <f t="shared" si="91"/>
        <v>0</v>
      </c>
      <c r="S409">
        <f t="shared" si="92"/>
        <v>0</v>
      </c>
      <c r="T409">
        <f t="shared" si="93"/>
        <v>0</v>
      </c>
      <c r="U409">
        <f t="shared" si="88"/>
        <v>0</v>
      </c>
      <c r="V409">
        <f t="shared" si="94"/>
        <v>0</v>
      </c>
      <c r="W409">
        <f t="shared" si="98"/>
        <v>0</v>
      </c>
      <c r="X409">
        <f>SUM($W$34:W409)</f>
        <v>156.85068609999968</v>
      </c>
      <c r="Y409">
        <f t="shared" si="95"/>
        <v>0</v>
      </c>
    </row>
    <row r="410" spans="1:25">
      <c r="A410">
        <v>109.77684530000001</v>
      </c>
      <c r="B410" s="2">
        <f t="shared" si="96"/>
        <v>4.2221417996082845E-3</v>
      </c>
      <c r="C410">
        <v>105.1330116</v>
      </c>
      <c r="D410" s="3">
        <f t="shared" si="97"/>
        <v>-9.9914862083218633E-5</v>
      </c>
      <c r="E410" s="3">
        <f t="shared" si="83"/>
        <v>-1.3650814942324568E-3</v>
      </c>
      <c r="F410" s="3">
        <f>STDEV($E$32:E410)</f>
        <v>1.3205565227352865E-2</v>
      </c>
      <c r="G410" s="14">
        <f t="shared" si="86"/>
        <v>-0.10337168237259131</v>
      </c>
      <c r="H410" s="15">
        <f>yint($B$3:B410,$D$3:D410)</f>
        <v>1.3073232309551545E-4</v>
      </c>
      <c r="I410" s="16">
        <f>MyReg($B$3:B410,$D$3:D410)</f>
        <v>0.26868692784287146</v>
      </c>
      <c r="J410" s="17">
        <f>STDEV($D$3:D410)</f>
        <v>1.3541519638349245E-2</v>
      </c>
      <c r="K410" s="4">
        <f t="shared" si="84"/>
        <v>1.2651666321492382E-3</v>
      </c>
      <c r="L410">
        <f t="shared" si="87"/>
        <v>-0.10337168237259131</v>
      </c>
      <c r="M410">
        <f>RSQ($D$3:D410,$B$3:B410)</f>
        <v>6.446176821841261E-2</v>
      </c>
      <c r="N410">
        <v>378</v>
      </c>
      <c r="O410" t="str">
        <f t="shared" si="85"/>
        <v/>
      </c>
      <c r="P410" t="str">
        <f t="shared" si="89"/>
        <v/>
      </c>
      <c r="Q410">
        <f t="shared" si="90"/>
        <v>0</v>
      </c>
      <c r="R410">
        <f t="shared" si="91"/>
        <v>0</v>
      </c>
      <c r="S410">
        <f t="shared" si="92"/>
        <v>0</v>
      </c>
      <c r="T410">
        <f t="shared" si="93"/>
        <v>0</v>
      </c>
      <c r="U410">
        <f t="shared" si="88"/>
        <v>0</v>
      </c>
      <c r="V410">
        <f t="shared" si="94"/>
        <v>0</v>
      </c>
      <c r="W410">
        <f t="shared" si="98"/>
        <v>0</v>
      </c>
      <c r="X410">
        <f>SUM($W$34:W410)</f>
        <v>156.85068609999968</v>
      </c>
      <c r="Y410">
        <f t="shared" si="95"/>
        <v>0</v>
      </c>
    </row>
    <row r="411" spans="1:25">
      <c r="A411">
        <v>110.75203930000001</v>
      </c>
      <c r="B411" s="2">
        <f t="shared" si="96"/>
        <v>8.8834216116793607E-3</v>
      </c>
      <c r="C411">
        <v>103.22914249999999</v>
      </c>
      <c r="D411" s="3">
        <f t="shared" si="97"/>
        <v>-1.8109146413912949E-2</v>
      </c>
      <c r="E411" s="3">
        <f t="shared" si="83"/>
        <v>-2.0553693011150839E-2</v>
      </c>
      <c r="F411" s="3">
        <f>STDEV($E$32:E411)</f>
        <v>1.3230250663432804E-2</v>
      </c>
      <c r="G411" s="14">
        <f t="shared" si="86"/>
        <v>-1.5535376867771187</v>
      </c>
      <c r="H411" s="15">
        <f>yint($B$3:B411,$D$3:D411)</f>
        <v>8.1176382750094202E-5</v>
      </c>
      <c r="I411" s="16">
        <f>MyReg($B$3:B411,$D$3:D411)</f>
        <v>0.26604278371529561</v>
      </c>
      <c r="J411" s="17">
        <f>STDEV($D$3:D411)</f>
        <v>1.3555227688542682E-2</v>
      </c>
      <c r="K411" s="4">
        <f t="shared" si="84"/>
        <v>2.4445465972378891E-3</v>
      </c>
      <c r="L411">
        <f t="shared" si="87"/>
        <v>-1.5535376867771187</v>
      </c>
      <c r="M411">
        <f>RSQ($D$3:D411,$B$3:B411)</f>
        <v>6.298615064730291E-2</v>
      </c>
      <c r="N411">
        <v>379</v>
      </c>
      <c r="O411" t="str">
        <f t="shared" si="85"/>
        <v>buyY</v>
      </c>
      <c r="P411" t="str">
        <f t="shared" si="89"/>
        <v/>
      </c>
      <c r="Q411">
        <f t="shared" si="90"/>
        <v>-10</v>
      </c>
      <c r="R411">
        <f t="shared" si="91"/>
        <v>0</v>
      </c>
      <c r="S411">
        <f t="shared" si="92"/>
        <v>10</v>
      </c>
      <c r="T411">
        <f t="shared" si="93"/>
        <v>0</v>
      </c>
      <c r="U411">
        <f t="shared" si="88"/>
        <v>20</v>
      </c>
      <c r="V411">
        <f t="shared" si="94"/>
        <v>-10</v>
      </c>
      <c r="W411">
        <f t="shared" si="98"/>
        <v>75.228968000000123</v>
      </c>
      <c r="X411">
        <f>SUM($W$34:W411)</f>
        <v>232.0796540999998</v>
      </c>
      <c r="Y411">
        <f t="shared" si="95"/>
        <v>0</v>
      </c>
    </row>
    <row r="412" spans="1:25">
      <c r="A412">
        <v>110.9679436</v>
      </c>
      <c r="B412" s="2">
        <f t="shared" si="96"/>
        <v>1.9494385960258445E-3</v>
      </c>
      <c r="C412">
        <v>103.09462069999999</v>
      </c>
      <c r="D412" s="3">
        <f t="shared" si="97"/>
        <v>-1.3031378227325843E-3</v>
      </c>
      <c r="E412" s="3">
        <f t="shared" si="83"/>
        <v>-1.8982326253585593E-3</v>
      </c>
      <c r="F412" s="3">
        <f>STDEV($E$32:E412)</f>
        <v>1.3213172073446449E-2</v>
      </c>
      <c r="G412" s="14">
        <f t="shared" si="86"/>
        <v>-0.14366214371591357</v>
      </c>
      <c r="H412" s="15">
        <f>yint($B$3:B412,$D$3:D412)</f>
        <v>7.6550483178599633E-5</v>
      </c>
      <c r="I412" s="16">
        <f>MyReg($B$3:B412,$D$3:D412)</f>
        <v>0.26599674414187124</v>
      </c>
      <c r="J412" s="17">
        <f>STDEV($D$3:D412)</f>
        <v>1.3538841663886528E-2</v>
      </c>
      <c r="K412" s="4">
        <f t="shared" si="84"/>
        <v>5.9509480262597491E-4</v>
      </c>
      <c r="L412">
        <f t="shared" si="87"/>
        <v>-0.14366214371591357</v>
      </c>
      <c r="M412">
        <f>RSQ($D$3:D412,$B$3:B412)</f>
        <v>6.2965000998843917E-2</v>
      </c>
      <c r="N412">
        <v>380</v>
      </c>
      <c r="O412" t="str">
        <f t="shared" si="85"/>
        <v/>
      </c>
      <c r="P412" t="str">
        <f t="shared" si="89"/>
        <v>close</v>
      </c>
      <c r="Q412">
        <f t="shared" si="90"/>
        <v>0</v>
      </c>
      <c r="R412">
        <f t="shared" si="91"/>
        <v>0</v>
      </c>
      <c r="S412">
        <f t="shared" si="92"/>
        <v>0</v>
      </c>
      <c r="T412">
        <f t="shared" si="93"/>
        <v>0</v>
      </c>
      <c r="U412">
        <f t="shared" si="88"/>
        <v>0</v>
      </c>
      <c r="V412">
        <f t="shared" si="94"/>
        <v>10</v>
      </c>
      <c r="W412">
        <f t="shared" si="98"/>
        <v>-78.733229000000051</v>
      </c>
      <c r="X412">
        <f>SUM($W$34:W412)</f>
        <v>153.34642509999975</v>
      </c>
      <c r="Y412">
        <f t="shared" si="95"/>
        <v>153.34642509999975</v>
      </c>
    </row>
    <row r="413" spans="1:25">
      <c r="A413">
        <v>111.0254157</v>
      </c>
      <c r="B413" s="2">
        <f t="shared" si="96"/>
        <v>5.1791623901011215E-4</v>
      </c>
      <c r="C413">
        <v>101.85391850000001</v>
      </c>
      <c r="D413" s="3">
        <f t="shared" si="97"/>
        <v>-1.2034596873976249E-2</v>
      </c>
      <c r="E413" s="3">
        <f t="shared" si="83"/>
        <v>-1.2219102594308683E-2</v>
      </c>
      <c r="F413" s="3">
        <f>STDEV($E$32:E413)</f>
        <v>1.3210501460357599E-2</v>
      </c>
      <c r="G413" s="14">
        <f t="shared" si="86"/>
        <v>-0.92495372949891941</v>
      </c>
      <c r="H413" s="15">
        <f>yint($B$3:B413,$D$3:D413)</f>
        <v>4.6759008034019431E-5</v>
      </c>
      <c r="I413" s="16">
        <f>MyReg($B$3:B413,$D$3:D413)</f>
        <v>0.26596330047825451</v>
      </c>
      <c r="J413" s="17">
        <f>STDEV($D$3:D413)</f>
        <v>1.3535705417241655E-2</v>
      </c>
      <c r="K413" s="4">
        <f t="shared" si="84"/>
        <v>1.8450572033243336E-4</v>
      </c>
      <c r="L413">
        <f t="shared" si="87"/>
        <v>-0.92495372949891941</v>
      </c>
      <c r="M413">
        <f>RSQ($D$3:D413,$B$3:B413)</f>
        <v>6.2824768717937338E-2</v>
      </c>
      <c r="N413">
        <v>381</v>
      </c>
      <c r="O413" t="str">
        <f t="shared" si="85"/>
        <v/>
      </c>
      <c r="P413" t="str">
        <f t="shared" si="89"/>
        <v/>
      </c>
      <c r="Q413">
        <f t="shared" si="90"/>
        <v>0</v>
      </c>
      <c r="R413">
        <f t="shared" si="91"/>
        <v>0</v>
      </c>
      <c r="S413">
        <f t="shared" si="92"/>
        <v>0</v>
      </c>
      <c r="T413">
        <f t="shared" si="93"/>
        <v>0</v>
      </c>
      <c r="U413">
        <f t="shared" si="88"/>
        <v>0</v>
      </c>
      <c r="V413">
        <f t="shared" si="94"/>
        <v>0</v>
      </c>
      <c r="W413">
        <f t="shared" si="98"/>
        <v>0</v>
      </c>
      <c r="X413">
        <f>SUM($W$34:W413)</f>
        <v>153.34642509999975</v>
      </c>
      <c r="Y413">
        <f t="shared" si="95"/>
        <v>0</v>
      </c>
    </row>
    <row r="414" spans="1:25">
      <c r="A414">
        <v>110.89196579999999</v>
      </c>
      <c r="B414" s="2">
        <f t="shared" si="96"/>
        <v>-1.2019761345509849E-3</v>
      </c>
      <c r="C414">
        <v>100.69225969999999</v>
      </c>
      <c r="D414" s="3">
        <f t="shared" si="97"/>
        <v>-1.140514589038626E-2</v>
      </c>
      <c r="E414" s="3">
        <f t="shared" si="83"/>
        <v>-1.1104810767589445E-2</v>
      </c>
      <c r="F414" s="3">
        <f>STDEV($E$32:E414)</f>
        <v>1.3205216752030801E-2</v>
      </c>
      <c r="G414" s="14">
        <f t="shared" si="86"/>
        <v>-0.8409411959013593</v>
      </c>
      <c r="H414" s="15">
        <f>yint($B$3:B414,$D$3:D414)</f>
        <v>1.9654065733645535E-5</v>
      </c>
      <c r="I414" s="16">
        <f>MyReg($B$3:B414,$D$3:D414)</f>
        <v>0.26621925288890752</v>
      </c>
      <c r="J414" s="17">
        <f>STDEV($D$3:D414)</f>
        <v>1.353118033540607E-2</v>
      </c>
      <c r="K414" s="4">
        <f t="shared" si="84"/>
        <v>-3.0033512279681464E-4</v>
      </c>
      <c r="L414">
        <f t="shared" si="87"/>
        <v>-0.8409411959013593</v>
      </c>
      <c r="M414">
        <f>RSQ($D$3:D414,$B$3:B414)</f>
        <v>6.2836821019715508E-2</v>
      </c>
      <c r="N414">
        <v>382</v>
      </c>
      <c r="O414" t="str">
        <f t="shared" si="85"/>
        <v/>
      </c>
      <c r="P414" t="str">
        <f t="shared" si="89"/>
        <v/>
      </c>
      <c r="Q414">
        <f t="shared" si="90"/>
        <v>0</v>
      </c>
      <c r="R414">
        <f t="shared" si="91"/>
        <v>0</v>
      </c>
      <c r="S414">
        <f t="shared" si="92"/>
        <v>0</v>
      </c>
      <c r="T414">
        <f t="shared" si="93"/>
        <v>0</v>
      </c>
      <c r="U414">
        <f t="shared" si="88"/>
        <v>0</v>
      </c>
      <c r="V414">
        <f t="shared" si="94"/>
        <v>0</v>
      </c>
      <c r="W414">
        <f t="shared" si="98"/>
        <v>0</v>
      </c>
      <c r="X414">
        <f>SUM($W$34:W414)</f>
        <v>153.34642509999975</v>
      </c>
      <c r="Y414">
        <f t="shared" si="95"/>
        <v>0</v>
      </c>
    </row>
    <row r="415" spans="1:25">
      <c r="A415">
        <v>109.763992</v>
      </c>
      <c r="B415" s="2">
        <f t="shared" si="96"/>
        <v>-1.0171826172099408E-2</v>
      </c>
      <c r="C415">
        <v>100.4422261</v>
      </c>
      <c r="D415" s="3">
        <f t="shared" si="97"/>
        <v>-2.4831461797057549E-3</v>
      </c>
      <c r="E415" s="3">
        <f t="shared" si="83"/>
        <v>2.0430199204780203E-4</v>
      </c>
      <c r="F415" s="3">
        <f>STDEV($E$32:E415)</f>
        <v>1.3187976085208946E-2</v>
      </c>
      <c r="G415" s="14">
        <f t="shared" si="86"/>
        <v>1.5491534919974426E-2</v>
      </c>
      <c r="H415" s="15">
        <f>yint($B$3:B415,$D$3:D415)</f>
        <v>2.0160623684111555E-5</v>
      </c>
      <c r="I415" s="16">
        <f>MyReg($B$3:B415,$D$3:D415)</f>
        <v>0.26618708869253449</v>
      </c>
      <c r="J415" s="17">
        <f>STDEV($D$3:D415)</f>
        <v>1.3515350476154965E-2</v>
      </c>
      <c r="K415" s="4">
        <f t="shared" si="84"/>
        <v>-2.687448171753557E-3</v>
      </c>
      <c r="L415">
        <f t="shared" si="87"/>
        <v>1.5491534919974426E-2</v>
      </c>
      <c r="M415">
        <f>RSQ($D$3:D415,$B$3:B415)</f>
        <v>6.2919672513887859E-2</v>
      </c>
      <c r="N415">
        <v>383</v>
      </c>
      <c r="O415" t="str">
        <f t="shared" si="85"/>
        <v/>
      </c>
      <c r="P415" t="str">
        <f t="shared" si="89"/>
        <v/>
      </c>
      <c r="Q415">
        <f t="shared" si="90"/>
        <v>0</v>
      </c>
      <c r="R415">
        <f t="shared" si="91"/>
        <v>0</v>
      </c>
      <c r="S415">
        <f t="shared" si="92"/>
        <v>0</v>
      </c>
      <c r="T415">
        <f t="shared" si="93"/>
        <v>0</v>
      </c>
      <c r="U415">
        <f t="shared" si="88"/>
        <v>0</v>
      </c>
      <c r="V415">
        <f t="shared" si="94"/>
        <v>0</v>
      </c>
      <c r="W415">
        <f t="shared" si="98"/>
        <v>0</v>
      </c>
      <c r="X415">
        <f>SUM($W$34:W415)</f>
        <v>153.34642509999975</v>
      </c>
      <c r="Y415">
        <f t="shared" si="95"/>
        <v>0</v>
      </c>
    </row>
    <row r="416" spans="1:25">
      <c r="A416">
        <v>110.4481411</v>
      </c>
      <c r="B416" s="2">
        <f t="shared" si="96"/>
        <v>6.2329101514456498E-3</v>
      </c>
      <c r="C416">
        <v>99.962147740000006</v>
      </c>
      <c r="D416" s="3">
        <f t="shared" si="97"/>
        <v>-4.7796467545634493E-3</v>
      </c>
      <c r="E416" s="3">
        <f t="shared" si="83"/>
        <v>-6.4399500365368593E-3</v>
      </c>
      <c r="F416" s="3">
        <f>STDEV($E$32:E416)</f>
        <v>1.3174743719859898E-2</v>
      </c>
      <c r="G416" s="14">
        <f t="shared" si="86"/>
        <v>-0.48881027012534117</v>
      </c>
      <c r="H416" s="15">
        <f>yint($B$3:B416,$D$3:D416)</f>
        <v>4.7426155436423867E-6</v>
      </c>
      <c r="I416" s="16">
        <f>MyReg($B$3:B416,$D$3:D416)</f>
        <v>0.2656160005845391</v>
      </c>
      <c r="J416" s="17">
        <f>STDEV($D$3:D416)</f>
        <v>1.3501109851934156E-2</v>
      </c>
      <c r="K416" s="4">
        <f t="shared" si="84"/>
        <v>1.6603032819734098E-3</v>
      </c>
      <c r="L416">
        <f t="shared" si="87"/>
        <v>-0.48881027012534117</v>
      </c>
      <c r="M416">
        <f>RSQ($D$3:D416,$B$3:B416)</f>
        <v>6.2663034508338142E-2</v>
      </c>
      <c r="N416">
        <v>384</v>
      </c>
      <c r="O416" t="str">
        <f t="shared" si="85"/>
        <v/>
      </c>
      <c r="P416" t="str">
        <f t="shared" si="89"/>
        <v/>
      </c>
      <c r="Q416">
        <f t="shared" si="90"/>
        <v>0</v>
      </c>
      <c r="R416">
        <f t="shared" si="91"/>
        <v>0</v>
      </c>
      <c r="S416">
        <f t="shared" si="92"/>
        <v>0</v>
      </c>
      <c r="T416">
        <f t="shared" si="93"/>
        <v>0</v>
      </c>
      <c r="U416">
        <f t="shared" si="88"/>
        <v>0</v>
      </c>
      <c r="V416">
        <f t="shared" si="94"/>
        <v>0</v>
      </c>
      <c r="W416">
        <f t="shared" si="98"/>
        <v>0</v>
      </c>
      <c r="X416">
        <f>SUM($W$34:W416)</f>
        <v>153.34642509999975</v>
      </c>
      <c r="Y416">
        <f t="shared" si="95"/>
        <v>0</v>
      </c>
    </row>
    <row r="417" spans="1:25">
      <c r="A417">
        <v>110.21930330000001</v>
      </c>
      <c r="B417" s="2">
        <f t="shared" si="96"/>
        <v>-2.0719026841094909E-3</v>
      </c>
      <c r="C417">
        <v>101.06472309999999</v>
      </c>
      <c r="D417" s="3">
        <f t="shared" si="97"/>
        <v>1.1029928677280625E-2</v>
      </c>
      <c r="E417" s="3">
        <f t="shared" ref="E417:E480" si="99">D417-K417</f>
        <v>1.1546637402741693E-2</v>
      </c>
      <c r="F417" s="3">
        <f>STDEV($E$32:E417)</f>
        <v>1.317102961843199E-2</v>
      </c>
      <c r="G417" s="14">
        <f t="shared" si="86"/>
        <v>0.87666930659566145</v>
      </c>
      <c r="H417" s="15">
        <f>yint($B$3:B417,$D$3:D417)</f>
        <v>3.2765646353392712E-5</v>
      </c>
      <c r="I417" s="16">
        <f>MyReg($B$3:B417,$D$3:D417)</f>
        <v>0.26520278970082312</v>
      </c>
      <c r="J417" s="17">
        <f>STDEV($D$3:D417)</f>
        <v>1.3495483278994087E-2</v>
      </c>
      <c r="K417" s="4">
        <f t="shared" ref="K417:K480" si="100">H417+B417*I417</f>
        <v>-5.1670872546106758E-4</v>
      </c>
      <c r="L417">
        <f t="shared" si="87"/>
        <v>0.87666930659566145</v>
      </c>
      <c r="M417">
        <f>RSQ($D$3:D417,$B$3:B417)</f>
        <v>6.2374632358160639E-2</v>
      </c>
      <c r="N417">
        <v>385</v>
      </c>
      <c r="O417" t="str">
        <f t="shared" ref="O417:O480" si="101">IF(L417&gt;1.5,"sellY",IF(L417&lt;-1.5,"buyY",""))</f>
        <v/>
      </c>
      <c r="P417" t="str">
        <f t="shared" si="89"/>
        <v/>
      </c>
      <c r="Q417">
        <f t="shared" si="90"/>
        <v>0</v>
      </c>
      <c r="R417">
        <f t="shared" si="91"/>
        <v>0</v>
      </c>
      <c r="S417">
        <f t="shared" si="92"/>
        <v>0</v>
      </c>
      <c r="T417">
        <f t="shared" si="93"/>
        <v>0</v>
      </c>
      <c r="U417">
        <f t="shared" si="88"/>
        <v>0</v>
      </c>
      <c r="V417">
        <f t="shared" si="94"/>
        <v>0</v>
      </c>
      <c r="W417">
        <f t="shared" si="98"/>
        <v>0</v>
      </c>
      <c r="X417">
        <f>SUM($W$34:W417)</f>
        <v>153.34642509999975</v>
      </c>
      <c r="Y417">
        <f t="shared" si="95"/>
        <v>0</v>
      </c>
    </row>
    <row r="418" spans="1:25">
      <c r="A418">
        <v>109.6588627</v>
      </c>
      <c r="B418" s="2">
        <f t="shared" si="96"/>
        <v>-5.0847771961919745E-3</v>
      </c>
      <c r="C418">
        <v>101.34453019999999</v>
      </c>
      <c r="D418" s="3">
        <f t="shared" si="97"/>
        <v>2.7685931491954912E-3</v>
      </c>
      <c r="E418" s="3">
        <f t="shared" si="99"/>
        <v>4.0727348283087165E-3</v>
      </c>
      <c r="F418" s="3">
        <f>STDEV($E$32:E418)</f>
        <v>1.3155664373231225E-2</v>
      </c>
      <c r="G418" s="14">
        <f t="shared" ref="G418:G481" si="102">E418/F418</f>
        <v>0.30958032317970979</v>
      </c>
      <c r="H418" s="15">
        <f>yint($B$3:B418,$D$3:D418)</f>
        <v>4.2683110510181475E-5</v>
      </c>
      <c r="I418" s="16">
        <f>MyReg($B$3:B418,$D$3:D418)</f>
        <v>0.26487390453057669</v>
      </c>
      <c r="J418" s="17">
        <f>STDEV($D$3:D418)</f>
        <v>1.3479841090283539E-2</v>
      </c>
      <c r="K418" s="4">
        <f t="shared" si="100"/>
        <v>-1.3041416791132251E-3</v>
      </c>
      <c r="L418">
        <f t="shared" ref="L418:L481" si="103">(D418-K418)/F418</f>
        <v>0.30958032317970979</v>
      </c>
      <c r="M418">
        <f>RSQ($D$3:D418,$B$3:B418)</f>
        <v>6.2241296967811159E-2</v>
      </c>
      <c r="N418">
        <v>386</v>
      </c>
      <c r="O418" t="str">
        <f t="shared" si="101"/>
        <v/>
      </c>
      <c r="P418" t="str">
        <f t="shared" si="89"/>
        <v/>
      </c>
      <c r="Q418">
        <f t="shared" si="90"/>
        <v>0</v>
      </c>
      <c r="R418">
        <f t="shared" si="91"/>
        <v>0</v>
      </c>
      <c r="S418">
        <f t="shared" si="92"/>
        <v>0</v>
      </c>
      <c r="T418">
        <f t="shared" si="93"/>
        <v>0</v>
      </c>
      <c r="U418">
        <f t="shared" ref="U418:U481" si="104">ABS(Q418)+ABS(S418)</f>
        <v>0</v>
      </c>
      <c r="V418">
        <f t="shared" si="94"/>
        <v>0</v>
      </c>
      <c r="W418">
        <f t="shared" si="98"/>
        <v>0</v>
      </c>
      <c r="X418">
        <f>SUM($W$34:W418)</f>
        <v>153.34642509999975</v>
      </c>
      <c r="Y418">
        <f t="shared" si="95"/>
        <v>0</v>
      </c>
    </row>
    <row r="419" spans="1:25">
      <c r="A419">
        <v>109.3953324</v>
      </c>
      <c r="B419" s="2">
        <f t="shared" si="96"/>
        <v>-2.4031828664952889E-3</v>
      </c>
      <c r="C419">
        <v>102.46294380000001</v>
      </c>
      <c r="D419" s="3">
        <f t="shared" si="97"/>
        <v>1.1035756915472986E-2</v>
      </c>
      <c r="E419" s="3">
        <f t="shared" si="99"/>
        <v>1.1600459396085805E-2</v>
      </c>
      <c r="F419" s="3">
        <f>STDEV($E$32:E419)</f>
        <v>1.3152042955503495E-2</v>
      </c>
      <c r="G419" s="14">
        <f t="shared" si="102"/>
        <v>0.88202718279836312</v>
      </c>
      <c r="H419" s="15">
        <f>yint($B$3:B419,$D$3:D419)</f>
        <v>7.0710578452055507E-5</v>
      </c>
      <c r="I419" s="16">
        <f>MyReg($B$3:B419,$D$3:D419)</f>
        <v>0.26440478913347798</v>
      </c>
      <c r="J419" s="17">
        <f>STDEV($D$3:D419)</f>
        <v>1.3474231719039029E-2</v>
      </c>
      <c r="K419" s="4">
        <f t="shared" si="100"/>
        <v>-5.6470248061281847E-4</v>
      </c>
      <c r="L419">
        <f t="shared" si="103"/>
        <v>0.88202718279836312</v>
      </c>
      <c r="M419">
        <f>RSQ($D$3:D419,$B$3:B419)</f>
        <v>6.1930217460821613E-2</v>
      </c>
      <c r="N419">
        <v>387</v>
      </c>
      <c r="O419" t="str">
        <f t="shared" si="101"/>
        <v/>
      </c>
      <c r="P419" t="str">
        <f t="shared" ref="P419:P482" si="105">IF(AND(OR(O418="sellY",P418="sellhold"),L419&gt;0.5),"sellhold",IF(AND(OR(O418="sellY",P418="sellhold"),L419&lt;0.5,O419&lt;&gt;"buyY"),"close",IF(AND(OR(O418="sellY",P418="sellhold"),L419&lt;0.5,O419="buyY"),"close&amp;buy",IF(AND(OR(O418="buyY",P418="buyhold"),L419&lt;-0.5),"buyhold",IF(AND(OR(O418="buyY",P418="buyhold"),L419&gt;-0.5,O419&lt;&gt;"sellY"),"close",IF(AND(OR(O418="buyY",P418="buyhold"),L419&gt;-0.5,O419="sellY"),"close&amp;sell",""))))))</f>
        <v/>
      </c>
      <c r="Q419">
        <f t="shared" ref="Q419:Q482" si="106">IF(O419="sellY",MAX(10+R419,Q418),IF(O419="buyY",MIN(-10+R419,Q418),IF(P419="sellhold",Q418+R419,IF(P419="buyhold",Q418+R419,0))))</f>
        <v>0</v>
      </c>
      <c r="R419">
        <f t="shared" ref="R419:R482" si="107">IF(AND(L419&gt;2.5,Q418&lt;15),10,IF(AND(L419&gt;2,Q418&lt;15),5,IF(AND(L419&lt;-2.5,Q418&gt;-15),-10,IF(AND(L419&lt;-2,Q418&gt;-15),-5,0))))</f>
        <v>0</v>
      </c>
      <c r="S419">
        <f t="shared" ref="S419:S482" si="108">IF(O419="sellY",MIN(-10+T419,S418),IF(O419="buyY",MAX(10+T419,S418),IF(P419="sellhold",S418+T419,IF(P419="buyhold",S418+T419,0))))</f>
        <v>0</v>
      </c>
      <c r="T419">
        <f t="shared" ref="T419:T482" si="109">IF(AND(L419&gt;2.5,Q418&lt;15),-10,IF(AND(L419&gt;2,Q418&lt;15),-5,IF(AND(L419&lt;-2.5,Q418&gt;-15),10,IF(AND(L419&lt;-2,Q418&gt;-15),5,0))))</f>
        <v>0</v>
      </c>
      <c r="U419">
        <f t="shared" si="104"/>
        <v>0</v>
      </c>
      <c r="V419">
        <f t="shared" ref="V419:V482" si="110">Q419-Q418</f>
        <v>0</v>
      </c>
      <c r="W419">
        <f t="shared" si="98"/>
        <v>0</v>
      </c>
      <c r="X419">
        <f>SUM($W$34:W419)</f>
        <v>153.34642509999975</v>
      </c>
      <c r="Y419">
        <f t="shared" si="95"/>
        <v>0</v>
      </c>
    </row>
    <row r="420" spans="1:25">
      <c r="A420">
        <v>111.1381342</v>
      </c>
      <c r="B420" s="2">
        <f t="shared" si="96"/>
        <v>1.5931226330822824E-2</v>
      </c>
      <c r="C420">
        <v>101.9279971</v>
      </c>
      <c r="D420" s="3">
        <f t="shared" si="97"/>
        <v>-5.2208796679137194E-3</v>
      </c>
      <c r="E420" s="3">
        <f t="shared" si="99"/>
        <v>-9.446711104241369E-3</v>
      </c>
      <c r="F420" s="3">
        <f>STDEV($E$32:E420)</f>
        <v>1.3143711932233806E-2</v>
      </c>
      <c r="G420" s="14">
        <f t="shared" si="102"/>
        <v>-0.71872475240986788</v>
      </c>
      <c r="H420" s="15">
        <f>yint($B$3:B420,$D$3:D420)</f>
        <v>4.8709335152412954E-5</v>
      </c>
      <c r="I420" s="16">
        <f>MyReg($B$3:B420,$D$3:D420)</f>
        <v>0.26219714756632267</v>
      </c>
      <c r="J420" s="17">
        <f>STDEV($D$3:D420)</f>
        <v>1.3460628467670941E-2</v>
      </c>
      <c r="K420" s="4">
        <f t="shared" si="100"/>
        <v>4.2258314363276504E-3</v>
      </c>
      <c r="L420">
        <f t="shared" si="103"/>
        <v>-0.71872475240986788</v>
      </c>
      <c r="M420">
        <f>RSQ($D$3:D420,$B$3:B420)</f>
        <v>6.1099088448807869E-2</v>
      </c>
      <c r="N420">
        <v>388</v>
      </c>
      <c r="O420" t="str">
        <f t="shared" si="101"/>
        <v/>
      </c>
      <c r="P420" t="str">
        <f t="shared" si="105"/>
        <v/>
      </c>
      <c r="Q420">
        <f t="shared" si="106"/>
        <v>0</v>
      </c>
      <c r="R420">
        <f t="shared" si="107"/>
        <v>0</v>
      </c>
      <c r="S420">
        <f t="shared" si="108"/>
        <v>0</v>
      </c>
      <c r="T420">
        <f t="shared" si="109"/>
        <v>0</v>
      </c>
      <c r="U420">
        <f t="shared" si="104"/>
        <v>0</v>
      </c>
      <c r="V420">
        <f t="shared" si="110"/>
        <v>0</v>
      </c>
      <c r="W420">
        <f t="shared" si="98"/>
        <v>0</v>
      </c>
      <c r="X420">
        <f>SUM($W$34:W420)</f>
        <v>153.34642509999975</v>
      </c>
      <c r="Y420">
        <f t="shared" ref="Y420:Y483" si="111">IF(P420="close",X420,0)</f>
        <v>0</v>
      </c>
    </row>
    <row r="421" spans="1:25">
      <c r="A421">
        <v>113.1248274</v>
      </c>
      <c r="B421" s="2">
        <f t="shared" si="96"/>
        <v>1.7875891243817596E-2</v>
      </c>
      <c r="C421">
        <v>101.2109487</v>
      </c>
      <c r="D421" s="3">
        <f t="shared" si="97"/>
        <v>-7.0348522525809148E-3</v>
      </c>
      <c r="E421" s="3">
        <f t="shared" si="99"/>
        <v>-1.1689033867408827E-2</v>
      </c>
      <c r="F421" s="3">
        <f>STDEV($E$32:E421)</f>
        <v>1.3139964604344433E-2</v>
      </c>
      <c r="G421" s="14">
        <f t="shared" si="102"/>
        <v>-0.8895787941121327</v>
      </c>
      <c r="H421" s="15">
        <f>yint($B$3:B421,$D$3:D421)</f>
        <v>2.1762275629645477E-5</v>
      </c>
      <c r="I421" s="16">
        <f>MyReg($B$3:B421,$D$3:D421)</f>
        <v>0.2591434058316055</v>
      </c>
      <c r="J421" s="17">
        <f>STDEV($D$3:D421)</f>
        <v>1.344908094462342E-2</v>
      </c>
      <c r="K421" s="4">
        <f t="shared" si="100"/>
        <v>4.654181614827912E-3</v>
      </c>
      <c r="L421">
        <f t="shared" si="103"/>
        <v>-0.8895787941121327</v>
      </c>
      <c r="M421">
        <f>RSQ($D$3:D421,$B$3:B421)</f>
        <v>5.9916367066224156E-2</v>
      </c>
      <c r="N421">
        <v>389</v>
      </c>
      <c r="O421" t="str">
        <f t="shared" si="101"/>
        <v/>
      </c>
      <c r="P421" t="str">
        <f t="shared" si="105"/>
        <v/>
      </c>
      <c r="Q421">
        <f t="shared" si="106"/>
        <v>0</v>
      </c>
      <c r="R421">
        <f t="shared" si="107"/>
        <v>0</v>
      </c>
      <c r="S421">
        <f t="shared" si="108"/>
        <v>0</v>
      </c>
      <c r="T421">
        <f t="shared" si="109"/>
        <v>0</v>
      </c>
      <c r="U421">
        <f t="shared" si="104"/>
        <v>0</v>
      </c>
      <c r="V421">
        <f t="shared" si="110"/>
        <v>0</v>
      </c>
      <c r="W421">
        <f t="shared" si="98"/>
        <v>0</v>
      </c>
      <c r="X421">
        <f>SUM($W$34:W421)</f>
        <v>153.34642509999975</v>
      </c>
      <c r="Y421">
        <f t="shared" si="111"/>
        <v>0</v>
      </c>
    </row>
    <row r="422" spans="1:25">
      <c r="A422">
        <v>114.5583688</v>
      </c>
      <c r="B422" s="2">
        <f t="shared" si="96"/>
        <v>1.2672208505840299E-2</v>
      </c>
      <c r="C422">
        <v>101.25044130000001</v>
      </c>
      <c r="D422" s="3">
        <f t="shared" si="97"/>
        <v>3.9020086766564072E-4</v>
      </c>
      <c r="E422" s="3">
        <f t="shared" si="99"/>
        <v>-2.9020488358662984E-3</v>
      </c>
      <c r="F422" s="3">
        <f>STDEV($E$32:E422)</f>
        <v>1.3123867865880944E-2</v>
      </c>
      <c r="G422" s="14">
        <f t="shared" si="102"/>
        <v>-0.22112755671755596</v>
      </c>
      <c r="H422" s="15">
        <f>yint($B$3:B422,$D$3:D422)</f>
        <v>1.5034505784917982E-5</v>
      </c>
      <c r="I422" s="16">
        <f>MyReg($B$3:B422,$D$3:D422)</f>
        <v>0.25861436830341261</v>
      </c>
      <c r="J422" s="17">
        <f>STDEV($D$3:D422)</f>
        <v>1.3433028856497758E-2</v>
      </c>
      <c r="K422" s="4">
        <f t="shared" si="100"/>
        <v>3.292249703531939E-3</v>
      </c>
      <c r="L422">
        <f t="shared" si="103"/>
        <v>-0.22112755671755596</v>
      </c>
      <c r="M422">
        <f>RSQ($D$3:D422,$B$3:B422)</f>
        <v>5.9805373989022179E-2</v>
      </c>
      <c r="N422">
        <v>390</v>
      </c>
      <c r="O422" t="str">
        <f t="shared" si="101"/>
        <v/>
      </c>
      <c r="P422" t="str">
        <f t="shared" si="105"/>
        <v/>
      </c>
      <c r="Q422">
        <f t="shared" si="106"/>
        <v>0</v>
      </c>
      <c r="R422">
        <f t="shared" si="107"/>
        <v>0</v>
      </c>
      <c r="S422">
        <f t="shared" si="108"/>
        <v>0</v>
      </c>
      <c r="T422">
        <f t="shared" si="109"/>
        <v>0</v>
      </c>
      <c r="U422">
        <f t="shared" si="104"/>
        <v>0</v>
      </c>
      <c r="V422">
        <f t="shared" si="110"/>
        <v>0</v>
      </c>
      <c r="W422">
        <f t="shared" si="98"/>
        <v>0</v>
      </c>
      <c r="X422">
        <f>SUM($W$34:W422)</f>
        <v>153.34642509999975</v>
      </c>
      <c r="Y422">
        <f t="shared" si="111"/>
        <v>0</v>
      </c>
    </row>
    <row r="423" spans="1:25">
      <c r="A423">
        <v>115.1918143</v>
      </c>
      <c r="B423" s="2">
        <f t="shared" si="96"/>
        <v>5.5294563516865274E-3</v>
      </c>
      <c r="C423">
        <v>101.4712645</v>
      </c>
      <c r="D423" s="3">
        <f t="shared" si="97"/>
        <v>2.180960370787027E-3</v>
      </c>
      <c r="E423" s="3">
        <f t="shared" si="99"/>
        <v>7.3389648664046203E-4</v>
      </c>
      <c r="F423" s="3">
        <f>STDEV($E$32:E423)</f>
        <v>1.3107144989197008E-2</v>
      </c>
      <c r="G423" s="14">
        <f t="shared" si="102"/>
        <v>5.5992093415106352E-2</v>
      </c>
      <c r="H423" s="15">
        <f>yint($B$3:B423,$D$3:D423)</f>
        <v>1.6759389079556761E-5</v>
      </c>
      <c r="I423" s="16">
        <f>MyReg($B$3:B423,$D$3:D423)</f>
        <v>0.25867000372120741</v>
      </c>
      <c r="J423" s="17">
        <f>STDEV($D$3:D423)</f>
        <v>1.3417403761035182E-2</v>
      </c>
      <c r="K423" s="4">
        <f t="shared" si="100"/>
        <v>1.4470638841465649E-3</v>
      </c>
      <c r="L423">
        <f t="shared" si="103"/>
        <v>5.5992093415106352E-2</v>
      </c>
      <c r="M423">
        <f>RSQ($D$3:D423,$B$3:B423)</f>
        <v>5.9850943937659308E-2</v>
      </c>
      <c r="N423">
        <v>391</v>
      </c>
      <c r="O423" t="str">
        <f t="shared" si="101"/>
        <v/>
      </c>
      <c r="P423" t="str">
        <f t="shared" si="105"/>
        <v/>
      </c>
      <c r="Q423">
        <f t="shared" si="106"/>
        <v>0</v>
      </c>
      <c r="R423">
        <f t="shared" si="107"/>
        <v>0</v>
      </c>
      <c r="S423">
        <f t="shared" si="108"/>
        <v>0</v>
      </c>
      <c r="T423">
        <f t="shared" si="109"/>
        <v>0</v>
      </c>
      <c r="U423">
        <f t="shared" si="104"/>
        <v>0</v>
      </c>
      <c r="V423">
        <f t="shared" si="110"/>
        <v>0</v>
      </c>
      <c r="W423">
        <f t="shared" si="98"/>
        <v>0</v>
      </c>
      <c r="X423">
        <f>SUM($W$34:W423)</f>
        <v>153.34642509999975</v>
      </c>
      <c r="Y423">
        <f t="shared" si="111"/>
        <v>0</v>
      </c>
    </row>
    <row r="424" spans="1:25">
      <c r="A424">
        <v>113.6488729</v>
      </c>
      <c r="B424" s="2">
        <f t="shared" si="96"/>
        <v>-1.3394540309797026E-2</v>
      </c>
      <c r="C424">
        <v>103.3733525</v>
      </c>
      <c r="D424" s="3">
        <f t="shared" si="97"/>
        <v>1.8745090143229583E-2</v>
      </c>
      <c r="E424" s="3">
        <f t="shared" si="99"/>
        <v>2.2078388138855314E-2</v>
      </c>
      <c r="F424" s="3">
        <f>STDEV($E$32:E424)</f>
        <v>1.313819502476443E-2</v>
      </c>
      <c r="G424" s="14">
        <f t="shared" si="102"/>
        <v>1.6804734666549968</v>
      </c>
      <c r="H424" s="15">
        <f>yint($B$3:B424,$D$3:D424)</f>
        <v>7.1079427728709061E-5</v>
      </c>
      <c r="I424" s="16">
        <f>MyReg($B$3:B424,$D$3:D424)</f>
        <v>0.25416157214924451</v>
      </c>
      <c r="J424" s="17">
        <f>STDEV($D$3:D424)</f>
        <v>1.3432078615537885E-2</v>
      </c>
      <c r="K424" s="4">
        <f t="shared" si="100"/>
        <v>-3.3332979956257319E-3</v>
      </c>
      <c r="L424">
        <f t="shared" si="103"/>
        <v>1.6804734666549968</v>
      </c>
      <c r="M424">
        <f>RSQ($D$3:D424,$B$3:B424)</f>
        <v>5.7681500285469818E-2</v>
      </c>
      <c r="N424">
        <v>392</v>
      </c>
      <c r="O424" t="str">
        <f t="shared" si="101"/>
        <v>sellY</v>
      </c>
      <c r="P424" t="str">
        <f t="shared" si="105"/>
        <v/>
      </c>
      <c r="Q424">
        <f t="shared" si="106"/>
        <v>10</v>
      </c>
      <c r="R424">
        <f t="shared" si="107"/>
        <v>0</v>
      </c>
      <c r="S424">
        <f t="shared" si="108"/>
        <v>-10</v>
      </c>
      <c r="T424">
        <f t="shared" si="109"/>
        <v>0</v>
      </c>
      <c r="U424">
        <f t="shared" si="104"/>
        <v>20</v>
      </c>
      <c r="V424">
        <f t="shared" si="110"/>
        <v>10</v>
      </c>
      <c r="W424">
        <f t="shared" si="98"/>
        <v>-102.75520400000005</v>
      </c>
      <c r="X424">
        <f>SUM($W$34:W424)</f>
        <v>50.5912210999997</v>
      </c>
      <c r="Y424">
        <f t="shared" si="111"/>
        <v>0</v>
      </c>
    </row>
    <row r="425" spans="1:25">
      <c r="A425">
        <v>112.0142225</v>
      </c>
      <c r="B425" s="2">
        <f t="shared" si="96"/>
        <v>-1.4383340180050287E-2</v>
      </c>
      <c r="C425">
        <v>103.29121309999999</v>
      </c>
      <c r="D425" s="3">
        <f t="shared" si="97"/>
        <v>-7.9458968886592552E-4</v>
      </c>
      <c r="E425" s="3">
        <f t="shared" si="99"/>
        <v>2.7745280271347528E-3</v>
      </c>
      <c r="F425" s="3">
        <f>STDEV($E$32:E425)</f>
        <v>1.3122244754722897E-2</v>
      </c>
      <c r="G425" s="14">
        <f t="shared" si="102"/>
        <v>0.2114369971750571</v>
      </c>
      <c r="H425" s="15">
        <f>yint($B$3:B425,$D$3:D425)</f>
        <v>7.7885908812520293E-5</v>
      </c>
      <c r="I425" s="16">
        <f>MyReg($B$3:B425,$D$3:D425)</f>
        <v>0.25355748937034789</v>
      </c>
      <c r="J425" s="17">
        <f>STDEV($D$3:D425)</f>
        <v>1.3416236128086999E-2</v>
      </c>
      <c r="K425" s="4">
        <f t="shared" si="100"/>
        <v>-3.5691177160006781E-3</v>
      </c>
      <c r="L425">
        <f t="shared" si="103"/>
        <v>0.2114369971750571</v>
      </c>
      <c r="M425">
        <f>RSQ($D$3:D425,$B$3:B425)</f>
        <v>5.7591070726706821E-2</v>
      </c>
      <c r="N425">
        <v>393</v>
      </c>
      <c r="O425" t="str">
        <f t="shared" si="101"/>
        <v/>
      </c>
      <c r="P425" t="str">
        <f t="shared" si="105"/>
        <v>close</v>
      </c>
      <c r="Q425">
        <f t="shared" si="106"/>
        <v>0</v>
      </c>
      <c r="R425">
        <f t="shared" si="107"/>
        <v>0</v>
      </c>
      <c r="S425">
        <f t="shared" si="108"/>
        <v>0</v>
      </c>
      <c r="T425">
        <f t="shared" si="109"/>
        <v>0</v>
      </c>
      <c r="U425">
        <f t="shared" si="104"/>
        <v>0</v>
      </c>
      <c r="V425">
        <f t="shared" si="110"/>
        <v>-10</v>
      </c>
      <c r="W425">
        <f t="shared" si="98"/>
        <v>87.230094000000094</v>
      </c>
      <c r="X425">
        <f>SUM($W$34:W425)</f>
        <v>137.82131509999979</v>
      </c>
      <c r="Y425">
        <f t="shared" si="111"/>
        <v>137.82131509999979</v>
      </c>
    </row>
    <row r="426" spans="1:25">
      <c r="A426">
        <v>112.3851378</v>
      </c>
      <c r="B426" s="2">
        <f t="shared" si="96"/>
        <v>3.3113232562944671E-3</v>
      </c>
      <c r="C426">
        <v>106.24466700000001</v>
      </c>
      <c r="D426" s="3">
        <f t="shared" si="97"/>
        <v>2.8593467066174032E-2</v>
      </c>
      <c r="E426" s="3">
        <f t="shared" si="99"/>
        <v>2.7607144164902311E-2</v>
      </c>
      <c r="F426" s="3">
        <f>STDEV($E$32:E426)</f>
        <v>1.3179256649463489E-2</v>
      </c>
      <c r="G426" s="14">
        <f t="shared" si="102"/>
        <v>2.0947421314559622</v>
      </c>
      <c r="H426" s="15">
        <f>yint($B$3:B426,$D$3:D426)</f>
        <v>1.4273180453532806E-4</v>
      </c>
      <c r="I426" s="16">
        <f>MyReg($B$3:B426,$D$3:D426)</f>
        <v>0.25475951196634733</v>
      </c>
      <c r="J426" s="17">
        <f>STDEV($D$3:D426)</f>
        <v>1.3471294435232697E-2</v>
      </c>
      <c r="K426" s="4">
        <f t="shared" si="100"/>
        <v>9.863229012717226E-4</v>
      </c>
      <c r="L426">
        <f t="shared" si="103"/>
        <v>2.0947421314559622</v>
      </c>
      <c r="M426">
        <f>RSQ($D$3:D426,$B$3:B426)</f>
        <v>5.7535220433487098E-2</v>
      </c>
      <c r="N426">
        <v>394</v>
      </c>
      <c r="O426" t="str">
        <f t="shared" si="101"/>
        <v>sellY</v>
      </c>
      <c r="P426" t="str">
        <f t="shared" si="105"/>
        <v/>
      </c>
      <c r="Q426">
        <f t="shared" si="106"/>
        <v>15</v>
      </c>
      <c r="R426">
        <f t="shared" si="107"/>
        <v>5</v>
      </c>
      <c r="S426">
        <f t="shared" si="108"/>
        <v>-15</v>
      </c>
      <c r="T426">
        <f t="shared" si="109"/>
        <v>-5</v>
      </c>
      <c r="U426">
        <f t="shared" si="104"/>
        <v>30</v>
      </c>
      <c r="V426">
        <f t="shared" si="110"/>
        <v>15</v>
      </c>
      <c r="W426">
        <f t="shared" si="98"/>
        <v>-92.107061999999829</v>
      </c>
      <c r="X426">
        <f>SUM($W$34:W426)</f>
        <v>45.714253099999965</v>
      </c>
      <c r="Y426">
        <f t="shared" si="111"/>
        <v>0</v>
      </c>
    </row>
    <row r="427" spans="1:25">
      <c r="A427">
        <v>112.6559374</v>
      </c>
      <c r="B427" s="2">
        <f t="shared" si="96"/>
        <v>2.4095677177699178E-3</v>
      </c>
      <c r="C427">
        <v>106.0099512</v>
      </c>
      <c r="D427" s="3">
        <f t="shared" si="97"/>
        <v>-2.2092007686372018E-3</v>
      </c>
      <c r="E427" s="3">
        <f t="shared" si="99"/>
        <v>-2.9586315713355654E-3</v>
      </c>
      <c r="F427" s="3">
        <f>STDEV($E$32:E427)</f>
        <v>1.3163414381637E-2</v>
      </c>
      <c r="G427" s="14">
        <f t="shared" si="102"/>
        <v>-0.22476171345504892</v>
      </c>
      <c r="H427" s="15">
        <f>yint($B$3:B427,$D$3:D427)</f>
        <v>1.3578566609985369E-4</v>
      </c>
      <c r="I427" s="16">
        <f>MyReg($B$3:B427,$D$3:D427)</f>
        <v>0.25467021826074493</v>
      </c>
      <c r="J427" s="17">
        <f>STDEV($D$3:D427)</f>
        <v>1.3455920733195809E-2</v>
      </c>
      <c r="K427" s="4">
        <f t="shared" si="100"/>
        <v>7.4943080269836366E-4</v>
      </c>
      <c r="L427">
        <f t="shared" si="103"/>
        <v>-0.22476171345504892</v>
      </c>
      <c r="M427">
        <f>RSQ($D$3:D427,$B$3:B427)</f>
        <v>5.7493992649781375E-2</v>
      </c>
      <c r="N427">
        <v>395</v>
      </c>
      <c r="O427" t="str">
        <f t="shared" si="101"/>
        <v/>
      </c>
      <c r="P427" t="str">
        <f t="shared" si="105"/>
        <v>close</v>
      </c>
      <c r="Q427">
        <f t="shared" si="106"/>
        <v>0</v>
      </c>
      <c r="R427">
        <f t="shared" si="107"/>
        <v>0</v>
      </c>
      <c r="S427">
        <f t="shared" si="108"/>
        <v>0</v>
      </c>
      <c r="T427">
        <f t="shared" si="109"/>
        <v>0</v>
      </c>
      <c r="U427">
        <f t="shared" si="104"/>
        <v>0</v>
      </c>
      <c r="V427">
        <f t="shared" si="110"/>
        <v>-15</v>
      </c>
      <c r="W427">
        <f t="shared" si="98"/>
        <v>99.689792999999938</v>
      </c>
      <c r="X427">
        <f>SUM($W$34:W427)</f>
        <v>145.4040460999999</v>
      </c>
      <c r="Y427">
        <f t="shared" si="111"/>
        <v>145.4040460999999</v>
      </c>
    </row>
    <row r="428" spans="1:25">
      <c r="A428">
        <v>115.6978711</v>
      </c>
      <c r="B428" s="2">
        <f t="shared" si="96"/>
        <v>2.7001982942090375E-2</v>
      </c>
      <c r="C428">
        <v>105.985237</v>
      </c>
      <c r="D428" s="3">
        <f t="shared" si="97"/>
        <v>-2.3313094403165188E-4</v>
      </c>
      <c r="E428" s="3">
        <f t="shared" si="99"/>
        <v>-7.1540724028754414E-3</v>
      </c>
      <c r="F428" s="3">
        <f>STDEV($E$32:E428)</f>
        <v>1.3151702319397676E-2</v>
      </c>
      <c r="G428" s="14">
        <f t="shared" si="102"/>
        <v>-0.54396550569151603</v>
      </c>
      <c r="H428" s="15">
        <f>yint($B$3:B428,$D$3:D428)</f>
        <v>1.1996240232349693E-4</v>
      </c>
      <c r="I428" s="16">
        <f>MyReg($B$3:B428,$D$3:D428)</f>
        <v>0.25186961532069579</v>
      </c>
      <c r="J428" s="17">
        <f>STDEV($D$3:D428)</f>
        <v>1.3440099453991633E-2</v>
      </c>
      <c r="K428" s="4">
        <f t="shared" si="100"/>
        <v>6.9209414588437893E-3</v>
      </c>
      <c r="L428">
        <f t="shared" si="103"/>
        <v>-0.54396550569151603</v>
      </c>
      <c r="M428">
        <f>RSQ($D$3:D428,$B$3:B428)</f>
        <v>5.6821398345451468E-2</v>
      </c>
      <c r="N428">
        <v>396</v>
      </c>
      <c r="O428" t="str">
        <f t="shared" si="101"/>
        <v/>
      </c>
      <c r="P428" t="str">
        <f t="shared" si="105"/>
        <v/>
      </c>
      <c r="Q428">
        <f t="shared" si="106"/>
        <v>0</v>
      </c>
      <c r="R428">
        <f t="shared" si="107"/>
        <v>0</v>
      </c>
      <c r="S428">
        <f t="shared" si="108"/>
        <v>0</v>
      </c>
      <c r="T428">
        <f t="shared" si="109"/>
        <v>0</v>
      </c>
      <c r="U428">
        <f t="shared" si="104"/>
        <v>0</v>
      </c>
      <c r="V428">
        <f t="shared" si="110"/>
        <v>0</v>
      </c>
      <c r="W428">
        <f t="shared" si="98"/>
        <v>0</v>
      </c>
      <c r="X428">
        <f>SUM($W$34:W428)</f>
        <v>145.4040460999999</v>
      </c>
      <c r="Y428">
        <f t="shared" si="111"/>
        <v>0</v>
      </c>
    </row>
    <row r="429" spans="1:25">
      <c r="A429">
        <v>118.1175875</v>
      </c>
      <c r="B429" s="2">
        <f t="shared" si="96"/>
        <v>2.0914096145369772E-2</v>
      </c>
      <c r="C429">
        <v>107.841725</v>
      </c>
      <c r="D429" s="3">
        <f t="shared" si="97"/>
        <v>1.7516477318440103E-2</v>
      </c>
      <c r="E429" s="3">
        <f t="shared" si="99"/>
        <v>1.2027216079551713E-2</v>
      </c>
      <c r="F429" s="3">
        <f>STDEV($E$32:E429)</f>
        <v>1.314896923089506E-2</v>
      </c>
      <c r="G429" s="14">
        <f t="shared" si="102"/>
        <v>0.91468889069208137</v>
      </c>
      <c r="H429" s="15">
        <f>yint($B$3:B429,$D$3:D429)</f>
        <v>1.4667881992042135E-4</v>
      </c>
      <c r="I429" s="16">
        <f>MyReg($B$3:B429,$D$3:D429)</f>
        <v>0.25545366062356833</v>
      </c>
      <c r="J429" s="17">
        <f>STDEV($D$3:D429)</f>
        <v>1.3450365914647655E-2</v>
      </c>
      <c r="K429" s="4">
        <f t="shared" si="100"/>
        <v>5.4892612388883896E-3</v>
      </c>
      <c r="L429">
        <f t="shared" si="103"/>
        <v>0.91468889069208137</v>
      </c>
      <c r="M429">
        <f>RSQ($D$3:D429,$B$3:B429)</f>
        <v>5.8578516605823569E-2</v>
      </c>
      <c r="N429">
        <v>397</v>
      </c>
      <c r="O429" t="str">
        <f t="shared" si="101"/>
        <v/>
      </c>
      <c r="P429" t="str">
        <f t="shared" si="105"/>
        <v/>
      </c>
      <c r="Q429">
        <f t="shared" si="106"/>
        <v>0</v>
      </c>
      <c r="R429">
        <f t="shared" si="107"/>
        <v>0</v>
      </c>
      <c r="S429">
        <f t="shared" si="108"/>
        <v>0</v>
      </c>
      <c r="T429">
        <f t="shared" si="109"/>
        <v>0</v>
      </c>
      <c r="U429">
        <f t="shared" si="104"/>
        <v>0</v>
      </c>
      <c r="V429">
        <f t="shared" si="110"/>
        <v>0</v>
      </c>
      <c r="W429">
        <f t="shared" si="98"/>
        <v>0</v>
      </c>
      <c r="X429">
        <f>SUM($W$34:W429)</f>
        <v>145.4040460999999</v>
      </c>
      <c r="Y429">
        <f t="shared" si="111"/>
        <v>0</v>
      </c>
    </row>
    <row r="430" spans="1:25">
      <c r="A430">
        <v>117.8154354</v>
      </c>
      <c r="B430" s="2">
        <f t="shared" si="96"/>
        <v>-2.5580618974291249E-3</v>
      </c>
      <c r="C430">
        <v>110.9089737</v>
      </c>
      <c r="D430" s="3">
        <f t="shared" si="97"/>
        <v>2.8442133135388993E-2</v>
      </c>
      <c r="E430" s="3">
        <f t="shared" si="99"/>
        <v>2.8877461735146132E-2</v>
      </c>
      <c r="F430" s="3">
        <f>STDEV($E$32:E430)</f>
        <v>1.3211640437517116E-2</v>
      </c>
      <c r="G430" s="14">
        <f t="shared" si="102"/>
        <v>2.1857589806291395</v>
      </c>
      <c r="H430" s="15">
        <f>yint($B$3:B430,$D$3:D430)</f>
        <v>2.1490321492391323E-4</v>
      </c>
      <c r="I430" s="16">
        <f>MyReg($B$3:B430,$D$3:D430)</f>
        <v>0.25418924199392573</v>
      </c>
      <c r="J430" s="17">
        <f>STDEV($D$3:D430)</f>
        <v>1.3503459541118661E-2</v>
      </c>
      <c r="K430" s="4">
        <f t="shared" si="100"/>
        <v>-4.3532859975713948E-4</v>
      </c>
      <c r="L430">
        <f t="shared" si="103"/>
        <v>2.1857589806291395</v>
      </c>
      <c r="M430">
        <f>RSQ($D$3:D430,$B$3:B430)</f>
        <v>5.7417692176355645E-2</v>
      </c>
      <c r="N430">
        <v>398</v>
      </c>
      <c r="O430" t="str">
        <f t="shared" si="101"/>
        <v>sellY</v>
      </c>
      <c r="P430" t="str">
        <f t="shared" si="105"/>
        <v/>
      </c>
      <c r="Q430">
        <f t="shared" si="106"/>
        <v>15</v>
      </c>
      <c r="R430">
        <f t="shared" si="107"/>
        <v>5</v>
      </c>
      <c r="S430">
        <f t="shared" si="108"/>
        <v>-15</v>
      </c>
      <c r="T430">
        <f t="shared" si="109"/>
        <v>-5</v>
      </c>
      <c r="U430">
        <f t="shared" si="104"/>
        <v>30</v>
      </c>
      <c r="V430">
        <f t="shared" si="110"/>
        <v>15</v>
      </c>
      <c r="W430">
        <f t="shared" si="98"/>
        <v>-103.59692549999991</v>
      </c>
      <c r="X430">
        <f>SUM($W$34:W430)</f>
        <v>41.80712059999999</v>
      </c>
      <c r="Y430">
        <f t="shared" si="111"/>
        <v>0</v>
      </c>
    </row>
    <row r="431" spans="1:25">
      <c r="A431">
        <v>117.5581772</v>
      </c>
      <c r="B431" s="2">
        <f t="shared" si="96"/>
        <v>-2.1835695732614967E-3</v>
      </c>
      <c r="C431">
        <v>111.0646131</v>
      </c>
      <c r="D431" s="3">
        <f t="shared" si="97"/>
        <v>1.4033075485937736E-3</v>
      </c>
      <c r="E431" s="3">
        <f t="shared" si="99"/>
        <v>1.739204466312975E-3</v>
      </c>
      <c r="F431" s="3">
        <f>STDEV($E$32:E431)</f>
        <v>1.3195329669859507E-2</v>
      </c>
      <c r="G431" s="14">
        <f t="shared" si="102"/>
        <v>0.13180454826268032</v>
      </c>
      <c r="H431" s="15">
        <f>yint($B$3:B431,$D$3:D431)</f>
        <v>2.1899765846682739E-4</v>
      </c>
      <c r="I431" s="16">
        <f>MyReg($B$3:B431,$D$3:D431)</f>
        <v>0.25412269111132951</v>
      </c>
      <c r="J431" s="17">
        <f>STDEV($D$3:D431)</f>
        <v>1.3487774263159304E-2</v>
      </c>
      <c r="K431" s="4">
        <f t="shared" si="100"/>
        <v>-3.3589691771920155E-4</v>
      </c>
      <c r="L431">
        <f t="shared" si="103"/>
        <v>0.13180454826268032</v>
      </c>
      <c r="M431">
        <f>RSQ($D$3:D431,$B$3:B431)</f>
        <v>5.7392588099647375E-2</v>
      </c>
      <c r="N431">
        <v>399</v>
      </c>
      <c r="O431" t="str">
        <f t="shared" si="101"/>
        <v/>
      </c>
      <c r="P431" t="str">
        <f t="shared" si="105"/>
        <v>close</v>
      </c>
      <c r="Q431">
        <f t="shared" si="106"/>
        <v>0</v>
      </c>
      <c r="R431">
        <f t="shared" si="107"/>
        <v>0</v>
      </c>
      <c r="S431">
        <f t="shared" si="108"/>
        <v>0</v>
      </c>
      <c r="T431">
        <f t="shared" si="109"/>
        <v>0</v>
      </c>
      <c r="U431">
        <f t="shared" si="104"/>
        <v>0</v>
      </c>
      <c r="V431">
        <f t="shared" si="110"/>
        <v>-15</v>
      </c>
      <c r="W431">
        <f t="shared" si="98"/>
        <v>97.403461500000006</v>
      </c>
      <c r="X431">
        <f>SUM($W$34:W431)</f>
        <v>139.21058210000001</v>
      </c>
      <c r="Y431">
        <f t="shared" si="111"/>
        <v>139.21058210000001</v>
      </c>
    </row>
    <row r="432" spans="1:25">
      <c r="A432">
        <v>118.6564233</v>
      </c>
      <c r="B432" s="2">
        <f t="shared" si="96"/>
        <v>9.342149786242154E-3</v>
      </c>
      <c r="C432">
        <v>112.5198494</v>
      </c>
      <c r="D432" s="3">
        <f t="shared" si="97"/>
        <v>1.310260990770962E-2</v>
      </c>
      <c r="E432" s="3">
        <f t="shared" si="99"/>
        <v>1.0473200699537156E-2</v>
      </c>
      <c r="F432" s="3">
        <f>STDEV($E$32:E432)</f>
        <v>1.3189000243896713E-2</v>
      </c>
      <c r="G432" s="14">
        <f t="shared" si="102"/>
        <v>0.79408601909638232</v>
      </c>
      <c r="H432" s="15">
        <f>yint($B$3:B432,$D$3:D432)</f>
        <v>2.427950528833557E-4</v>
      </c>
      <c r="I432" s="16">
        <f>MyReg($B$3:B432,$D$3:D432)</f>
        <v>0.25546733994821935</v>
      </c>
      <c r="J432" s="17">
        <f>STDEV($D$3:D432)</f>
        <v>1.3486106742068509E-2</v>
      </c>
      <c r="K432" s="4">
        <f t="shared" si="100"/>
        <v>2.629409208172465E-3</v>
      </c>
      <c r="L432">
        <f t="shared" si="103"/>
        <v>0.79408601909638232</v>
      </c>
      <c r="M432">
        <f>RSQ($D$3:D432,$B$3:B432)</f>
        <v>5.7946539223241916E-2</v>
      </c>
      <c r="N432">
        <v>400</v>
      </c>
      <c r="O432" t="str">
        <f t="shared" si="101"/>
        <v/>
      </c>
      <c r="P432" t="str">
        <f t="shared" si="105"/>
        <v/>
      </c>
      <c r="Q432">
        <f t="shared" si="106"/>
        <v>0</v>
      </c>
      <c r="R432">
        <f t="shared" si="107"/>
        <v>0</v>
      </c>
      <c r="S432">
        <f t="shared" si="108"/>
        <v>0</v>
      </c>
      <c r="T432">
        <f t="shared" si="109"/>
        <v>0</v>
      </c>
      <c r="U432">
        <f t="shared" si="104"/>
        <v>0</v>
      </c>
      <c r="V432">
        <f t="shared" si="110"/>
        <v>0</v>
      </c>
      <c r="W432">
        <f t="shared" si="98"/>
        <v>0</v>
      </c>
      <c r="X432">
        <f>SUM($W$34:W432)</f>
        <v>139.21058210000001</v>
      </c>
      <c r="Y432">
        <f t="shared" si="111"/>
        <v>0</v>
      </c>
    </row>
    <row r="433" spans="1:25">
      <c r="A433">
        <v>119.1286803</v>
      </c>
      <c r="B433" s="2">
        <f t="shared" si="96"/>
        <v>3.9800373790636499E-3</v>
      </c>
      <c r="C433">
        <v>114.2149529</v>
      </c>
      <c r="D433" s="3">
        <f t="shared" si="97"/>
        <v>1.5064928624051304E-2</v>
      </c>
      <c r="E433" s="3">
        <f t="shared" si="99"/>
        <v>1.3770901477541571E-2</v>
      </c>
      <c r="F433" s="3">
        <f>STDEV($E$32:E433)</f>
        <v>1.3190111165630432E-2</v>
      </c>
      <c r="G433" s="14">
        <f t="shared" si="102"/>
        <v>1.0440322529975721</v>
      </c>
      <c r="H433" s="15">
        <f>yint($B$3:B433,$D$3:D433)</f>
        <v>2.7448733756048479E-4</v>
      </c>
      <c r="I433" s="16">
        <f>MyReg($B$3:B433,$D$3:D433)</f>
        <v>0.25616337532716982</v>
      </c>
      <c r="J433" s="17">
        <f>STDEV($D$3:D433)</f>
        <v>1.3489012972546522E-2</v>
      </c>
      <c r="K433" s="4">
        <f t="shared" si="100"/>
        <v>1.294027146509732E-3</v>
      </c>
      <c r="L433">
        <f t="shared" si="103"/>
        <v>1.0440322529975721</v>
      </c>
      <c r="M433">
        <f>RSQ($D$3:D433,$B$3:B433)</f>
        <v>5.8112446547245344E-2</v>
      </c>
      <c r="N433">
        <v>401</v>
      </c>
      <c r="O433" t="str">
        <f t="shared" si="101"/>
        <v/>
      </c>
      <c r="P433" t="str">
        <f t="shared" si="105"/>
        <v/>
      </c>
      <c r="Q433">
        <f t="shared" si="106"/>
        <v>0</v>
      </c>
      <c r="R433">
        <f t="shared" si="107"/>
        <v>0</v>
      </c>
      <c r="S433">
        <f t="shared" si="108"/>
        <v>0</v>
      </c>
      <c r="T433">
        <f t="shared" si="109"/>
        <v>0</v>
      </c>
      <c r="U433">
        <f t="shared" si="104"/>
        <v>0</v>
      </c>
      <c r="V433">
        <f t="shared" si="110"/>
        <v>0</v>
      </c>
      <c r="W433">
        <f t="shared" si="98"/>
        <v>0</v>
      </c>
      <c r="X433">
        <f>SUM($W$34:W433)</f>
        <v>139.21058210000001</v>
      </c>
      <c r="Y433">
        <f t="shared" si="111"/>
        <v>0</v>
      </c>
    </row>
    <row r="434" spans="1:25">
      <c r="A434">
        <v>119.20606220000001</v>
      </c>
      <c r="B434" s="2">
        <f t="shared" si="96"/>
        <v>6.4956566130957129E-4</v>
      </c>
      <c r="C434">
        <v>113.68242530000001</v>
      </c>
      <c r="D434" s="3">
        <f t="shared" si="97"/>
        <v>-4.6625033454791584E-3</v>
      </c>
      <c r="E434" s="3">
        <f t="shared" si="99"/>
        <v>-5.0915702767558762E-3</v>
      </c>
      <c r="F434" s="3">
        <f>STDEV($E$32:E434)</f>
        <v>1.3176293100573536E-2</v>
      </c>
      <c r="G434" s="14">
        <f t="shared" si="102"/>
        <v>-0.38641902072854245</v>
      </c>
      <c r="H434" s="15">
        <f>yint($B$3:B434,$D$3:D434)</f>
        <v>2.6267977551953133E-4</v>
      </c>
      <c r="I434" s="16">
        <f>MyReg($B$3:B434,$D$3:D434)</f>
        <v>0.25615140341892134</v>
      </c>
      <c r="J434" s="17">
        <f>STDEV($D$3:D434)</f>
        <v>1.3475556071323754E-2</v>
      </c>
      <c r="K434" s="4">
        <f t="shared" si="100"/>
        <v>4.2906693127671772E-4</v>
      </c>
      <c r="L434">
        <f t="shared" si="103"/>
        <v>-0.38641902072854245</v>
      </c>
      <c r="M434">
        <f>RSQ($D$3:D434,$B$3:B434)</f>
        <v>5.8088059689413309E-2</v>
      </c>
      <c r="N434">
        <v>402</v>
      </c>
      <c r="O434" t="str">
        <f t="shared" si="101"/>
        <v/>
      </c>
      <c r="P434" t="str">
        <f t="shared" si="105"/>
        <v/>
      </c>
      <c r="Q434">
        <f t="shared" si="106"/>
        <v>0</v>
      </c>
      <c r="R434">
        <f t="shared" si="107"/>
        <v>0</v>
      </c>
      <c r="S434">
        <f t="shared" si="108"/>
        <v>0</v>
      </c>
      <c r="T434">
        <f t="shared" si="109"/>
        <v>0</v>
      </c>
      <c r="U434">
        <f t="shared" si="104"/>
        <v>0</v>
      </c>
      <c r="V434">
        <f t="shared" si="110"/>
        <v>0</v>
      </c>
      <c r="W434">
        <f t="shared" si="98"/>
        <v>0</v>
      </c>
      <c r="X434">
        <f>SUM($W$34:W434)</f>
        <v>139.21058210000001</v>
      </c>
      <c r="Y434">
        <f t="shared" si="111"/>
        <v>0</v>
      </c>
    </row>
    <row r="435" spans="1:25">
      <c r="A435">
        <v>117.6398729</v>
      </c>
      <c r="B435" s="2">
        <f t="shared" si="96"/>
        <v>-1.3138503789952427E-2</v>
      </c>
      <c r="C435">
        <v>112.501869</v>
      </c>
      <c r="D435" s="3">
        <f t="shared" si="97"/>
        <v>-1.0384686083927225E-2</v>
      </c>
      <c r="E435" s="3">
        <f t="shared" si="99"/>
        <v>-7.2457327075107344E-3</v>
      </c>
      <c r="F435" s="3">
        <f>STDEV($E$32:E435)</f>
        <v>1.3165074817468696E-2</v>
      </c>
      <c r="G435" s="14">
        <f t="shared" si="102"/>
        <v>-0.55037535357538525</v>
      </c>
      <c r="H435" s="15">
        <f>yint($B$3:B435,$D$3:D435)</f>
        <v>2.4521330845576829E-4</v>
      </c>
      <c r="I435" s="16">
        <f>MyReg($B$3:B435,$D$3:D435)</f>
        <v>0.25757626126806582</v>
      </c>
      <c r="J435" s="17">
        <f>STDEV($D$3:D435)</f>
        <v>1.346990163730203E-2</v>
      </c>
      <c r="K435" s="4">
        <f t="shared" si="100"/>
        <v>-3.1389533764164907E-3</v>
      </c>
      <c r="L435">
        <f t="shared" si="103"/>
        <v>-0.55037535357538525</v>
      </c>
      <c r="M435">
        <f>RSQ($D$3:D435,$B$3:B435)</f>
        <v>5.8806123543225154E-2</v>
      </c>
      <c r="N435">
        <v>403</v>
      </c>
      <c r="O435" t="str">
        <f t="shared" si="101"/>
        <v/>
      </c>
      <c r="P435" t="str">
        <f t="shared" si="105"/>
        <v/>
      </c>
      <c r="Q435">
        <f t="shared" si="106"/>
        <v>0</v>
      </c>
      <c r="R435">
        <f t="shared" si="107"/>
        <v>0</v>
      </c>
      <c r="S435">
        <f t="shared" si="108"/>
        <v>0</v>
      </c>
      <c r="T435">
        <f t="shared" si="109"/>
        <v>0</v>
      </c>
      <c r="U435">
        <f t="shared" si="104"/>
        <v>0</v>
      </c>
      <c r="V435">
        <f t="shared" si="110"/>
        <v>0</v>
      </c>
      <c r="W435">
        <f t="shared" si="98"/>
        <v>0</v>
      </c>
      <c r="X435">
        <f>SUM($W$34:W435)</f>
        <v>139.21058210000001</v>
      </c>
      <c r="Y435">
        <f t="shared" si="111"/>
        <v>0</v>
      </c>
    </row>
    <row r="436" spans="1:25">
      <c r="A436">
        <v>114.4422569</v>
      </c>
      <c r="B436" s="2">
        <f t="shared" si="96"/>
        <v>-2.7181396249196358E-2</v>
      </c>
      <c r="C436">
        <v>112.2404021</v>
      </c>
      <c r="D436" s="3">
        <f t="shared" si="97"/>
        <v>-2.3241116109813434E-3</v>
      </c>
      <c r="E436" s="3">
        <f t="shared" si="99"/>
        <v>4.3737710599737727E-3</v>
      </c>
      <c r="F436" s="3">
        <f>STDEV($E$32:E436)</f>
        <v>1.3150462715808973E-2</v>
      </c>
      <c r="G436" s="14">
        <f t="shared" si="102"/>
        <v>0.33259446108430818</v>
      </c>
      <c r="H436" s="15">
        <f>yint($B$3:B436,$D$3:D436)</f>
        <v>2.5610701297266861E-4</v>
      </c>
      <c r="I436" s="16">
        <f>MyReg($B$3:B436,$D$3:D436)</f>
        <v>0.25583636764551365</v>
      </c>
      <c r="J436" s="17">
        <f>STDEV($D$3:D436)</f>
        <v>1.3454956553700149E-2</v>
      </c>
      <c r="K436" s="4">
        <f t="shared" si="100"/>
        <v>-6.6978826709551166E-3</v>
      </c>
      <c r="L436">
        <f t="shared" si="103"/>
        <v>0.33259446108430818</v>
      </c>
      <c r="M436">
        <f>RSQ($D$3:D436,$B$3:B436)</f>
        <v>5.8645305045278956E-2</v>
      </c>
      <c r="N436">
        <v>404</v>
      </c>
      <c r="O436" t="str">
        <f t="shared" si="101"/>
        <v/>
      </c>
      <c r="P436" t="str">
        <f t="shared" si="105"/>
        <v/>
      </c>
      <c r="Q436">
        <f t="shared" si="106"/>
        <v>0</v>
      </c>
      <c r="R436">
        <f t="shared" si="107"/>
        <v>0</v>
      </c>
      <c r="S436">
        <f t="shared" si="108"/>
        <v>0</v>
      </c>
      <c r="T436">
        <f t="shared" si="109"/>
        <v>0</v>
      </c>
      <c r="U436">
        <f t="shared" si="104"/>
        <v>0</v>
      </c>
      <c r="V436">
        <f t="shared" si="110"/>
        <v>0</v>
      </c>
      <c r="W436">
        <f t="shared" si="98"/>
        <v>0</v>
      </c>
      <c r="X436">
        <f>SUM($W$34:W436)</f>
        <v>139.21058210000001</v>
      </c>
      <c r="Y436">
        <f t="shared" si="111"/>
        <v>0</v>
      </c>
    </row>
    <row r="437" spans="1:25">
      <c r="A437">
        <v>113.76341480000001</v>
      </c>
      <c r="B437" s="2">
        <f t="shared" si="96"/>
        <v>-5.9317433821072874E-3</v>
      </c>
      <c r="C437">
        <v>112.7654627</v>
      </c>
      <c r="D437" s="3">
        <f t="shared" si="97"/>
        <v>4.6779999908785367E-3</v>
      </c>
      <c r="E437" s="3">
        <f t="shared" si="99"/>
        <v>5.9224306405747142E-3</v>
      </c>
      <c r="F437" s="3">
        <f>STDEV($E$32:E437)</f>
        <v>1.3137352562974842E-2</v>
      </c>
      <c r="G437" s="14">
        <f t="shared" si="102"/>
        <v>0.45080853331636783</v>
      </c>
      <c r="H437" s="15">
        <f>yint($B$3:B437,$D$3:D437)</f>
        <v>2.6996212117643743E-4</v>
      </c>
      <c r="I437" s="16">
        <f>MyReg($B$3:B437,$D$3:D437)</f>
        <v>0.2553031500723178</v>
      </c>
      <c r="J437" s="17">
        <f>STDEV($D$3:D437)</f>
        <v>1.3441043752056599E-2</v>
      </c>
      <c r="K437" s="4">
        <f t="shared" si="100"/>
        <v>-1.2444306496961772E-3</v>
      </c>
      <c r="L437">
        <f t="shared" si="103"/>
        <v>0.45080853331636783</v>
      </c>
      <c r="M437">
        <f>RSQ($D$3:D437,$B$3:B437)</f>
        <v>5.842038764965795E-2</v>
      </c>
      <c r="N437">
        <v>405</v>
      </c>
      <c r="O437" t="str">
        <f t="shared" si="101"/>
        <v/>
      </c>
      <c r="P437" t="str">
        <f t="shared" si="105"/>
        <v/>
      </c>
      <c r="Q437">
        <f t="shared" si="106"/>
        <v>0</v>
      </c>
      <c r="R437">
        <f t="shared" si="107"/>
        <v>0</v>
      </c>
      <c r="S437">
        <f t="shared" si="108"/>
        <v>0</v>
      </c>
      <c r="T437">
        <f t="shared" si="109"/>
        <v>0</v>
      </c>
      <c r="U437">
        <f t="shared" si="104"/>
        <v>0</v>
      </c>
      <c r="V437">
        <f t="shared" si="110"/>
        <v>0</v>
      </c>
      <c r="W437">
        <f t="shared" si="98"/>
        <v>0</v>
      </c>
      <c r="X437">
        <f>SUM($W$34:W437)</f>
        <v>139.21058210000001</v>
      </c>
      <c r="Y437">
        <f t="shared" si="111"/>
        <v>0</v>
      </c>
    </row>
    <row r="438" spans="1:25">
      <c r="A438">
        <v>113.2503719</v>
      </c>
      <c r="B438" s="2">
        <f t="shared" si="96"/>
        <v>-4.509735409243377E-3</v>
      </c>
      <c r="C438">
        <v>112.1400302</v>
      </c>
      <c r="D438" s="3">
        <f t="shared" si="97"/>
        <v>-5.5463125413132567E-3</v>
      </c>
      <c r="E438" s="3">
        <f t="shared" si="99"/>
        <v>-4.6526480518145497E-3</v>
      </c>
      <c r="F438" s="3">
        <f>STDEV($E$32:E438)</f>
        <v>1.3123326590109823E-2</v>
      </c>
      <c r="G438" s="14">
        <f t="shared" si="102"/>
        <v>-0.35453267278442496</v>
      </c>
      <c r="H438" s="15">
        <f>yint($B$3:B438,$D$3:D438)</f>
        <v>2.5914429086714303E-4</v>
      </c>
      <c r="I438" s="16">
        <f>MyReg($B$3:B438,$D$3:D438)</f>
        <v>0.25562669996181941</v>
      </c>
      <c r="J438" s="17">
        <f>STDEV($D$3:D438)</f>
        <v>1.3428571185753229E-2</v>
      </c>
      <c r="K438" s="4">
        <f t="shared" si="100"/>
        <v>-8.936644894987065E-4</v>
      </c>
      <c r="L438">
        <f t="shared" si="103"/>
        <v>-0.35453267278442496</v>
      </c>
      <c r="M438">
        <f>RSQ($D$3:D438,$B$3:B438)</f>
        <v>5.8562363725070753E-2</v>
      </c>
      <c r="N438">
        <v>406</v>
      </c>
      <c r="O438" t="str">
        <f t="shared" si="101"/>
        <v/>
      </c>
      <c r="P438" t="str">
        <f t="shared" si="105"/>
        <v/>
      </c>
      <c r="Q438">
        <f t="shared" si="106"/>
        <v>0</v>
      </c>
      <c r="R438">
        <f t="shared" si="107"/>
        <v>0</v>
      </c>
      <c r="S438">
        <f t="shared" si="108"/>
        <v>0</v>
      </c>
      <c r="T438">
        <f t="shared" si="109"/>
        <v>0</v>
      </c>
      <c r="U438">
        <f t="shared" si="104"/>
        <v>0</v>
      </c>
      <c r="V438">
        <f t="shared" si="110"/>
        <v>0</v>
      </c>
      <c r="W438">
        <f t="shared" si="98"/>
        <v>0</v>
      </c>
      <c r="X438">
        <f>SUM($W$34:W438)</f>
        <v>139.21058210000001</v>
      </c>
      <c r="Y438">
        <f t="shared" si="111"/>
        <v>0</v>
      </c>
    </row>
    <row r="439" spans="1:25">
      <c r="A439">
        <v>112.11091519999999</v>
      </c>
      <c r="B439" s="2">
        <f t="shared" si="96"/>
        <v>-1.0061394774104145E-2</v>
      </c>
      <c r="C439">
        <v>112.5882761</v>
      </c>
      <c r="D439" s="3">
        <f t="shared" si="97"/>
        <v>3.9971979604478776E-3</v>
      </c>
      <c r="E439" s="3">
        <f t="shared" si="99"/>
        <v>6.2858752760570459E-3</v>
      </c>
      <c r="F439" s="3">
        <f>STDEV($E$32:E439)</f>
        <v>1.3110723191167054E-2</v>
      </c>
      <c r="G439" s="14">
        <f t="shared" si="102"/>
        <v>0.47944535052741871</v>
      </c>
      <c r="H439" s="15">
        <f>yint($B$3:B439,$D$3:D439)</f>
        <v>2.7390280662714563E-4</v>
      </c>
      <c r="I439" s="16">
        <f>MyReg($B$3:B439,$D$3:D439)</f>
        <v>0.25469432218600957</v>
      </c>
      <c r="J439" s="17">
        <f>STDEV($D$3:D439)</f>
        <v>1.3414295544789118E-2</v>
      </c>
      <c r="K439" s="4">
        <f t="shared" si="100"/>
        <v>-2.2886773156091684E-3</v>
      </c>
      <c r="L439">
        <f t="shared" si="103"/>
        <v>0.47944535052741871</v>
      </c>
      <c r="M439">
        <f>RSQ($D$3:D439,$B$3:B439)</f>
        <v>5.8215818412300467E-2</v>
      </c>
      <c r="N439">
        <v>407</v>
      </c>
      <c r="O439" t="str">
        <f t="shared" si="101"/>
        <v/>
      </c>
      <c r="P439" t="str">
        <f t="shared" si="105"/>
        <v/>
      </c>
      <c r="Q439">
        <f t="shared" si="106"/>
        <v>0</v>
      </c>
      <c r="R439">
        <f t="shared" si="107"/>
        <v>0</v>
      </c>
      <c r="S439">
        <f t="shared" si="108"/>
        <v>0</v>
      </c>
      <c r="T439">
        <f t="shared" si="109"/>
        <v>0</v>
      </c>
      <c r="U439">
        <f t="shared" si="104"/>
        <v>0</v>
      </c>
      <c r="V439">
        <f t="shared" si="110"/>
        <v>0</v>
      </c>
      <c r="W439">
        <f t="shared" si="98"/>
        <v>0</v>
      </c>
      <c r="X439">
        <f>SUM($W$34:W439)</f>
        <v>139.21058210000001</v>
      </c>
      <c r="Y439">
        <f t="shared" si="111"/>
        <v>0</v>
      </c>
    </row>
    <row r="440" spans="1:25">
      <c r="A440">
        <v>112.974639</v>
      </c>
      <c r="B440" s="2">
        <f t="shared" si="96"/>
        <v>7.704190073367651E-3</v>
      </c>
      <c r="C440">
        <v>112.0399499</v>
      </c>
      <c r="D440" s="3">
        <f t="shared" si="97"/>
        <v>-4.8701891439654555E-3</v>
      </c>
      <c r="E440" s="3">
        <f t="shared" si="99"/>
        <v>-7.0846399255405463E-3</v>
      </c>
      <c r="F440" s="3">
        <f>STDEV($E$32:E440)</f>
        <v>1.3099541570963456E-2</v>
      </c>
      <c r="G440" s="14">
        <f t="shared" si="102"/>
        <v>-0.5408311342165143</v>
      </c>
      <c r="H440" s="15">
        <f>yint($B$3:B440,$D$3:D440)</f>
        <v>2.5794435797967864E-4</v>
      </c>
      <c r="I440" s="16">
        <f>MyReg($B$3:B440,$D$3:D440)</f>
        <v>0.25395355059564173</v>
      </c>
      <c r="J440" s="17">
        <f>STDEV($D$3:D440)</f>
        <v>1.3401269906626434E-2</v>
      </c>
      <c r="K440" s="4">
        <f t="shared" si="100"/>
        <v>2.2144507815750909E-3</v>
      </c>
      <c r="L440">
        <f t="shared" si="103"/>
        <v>-0.5408311342165143</v>
      </c>
      <c r="M440">
        <f>RSQ($D$3:D440,$B$3:B440)</f>
        <v>5.7901972251166153E-2</v>
      </c>
      <c r="N440">
        <v>408</v>
      </c>
      <c r="O440" t="str">
        <f t="shared" si="101"/>
        <v/>
      </c>
      <c r="P440" t="str">
        <f t="shared" si="105"/>
        <v/>
      </c>
      <c r="Q440">
        <f t="shared" si="106"/>
        <v>0</v>
      </c>
      <c r="R440">
        <f t="shared" si="107"/>
        <v>0</v>
      </c>
      <c r="S440">
        <f t="shared" si="108"/>
        <v>0</v>
      </c>
      <c r="T440">
        <f t="shared" si="109"/>
        <v>0</v>
      </c>
      <c r="U440">
        <f t="shared" si="104"/>
        <v>0</v>
      </c>
      <c r="V440">
        <f t="shared" si="110"/>
        <v>0</v>
      </c>
      <c r="W440">
        <f t="shared" si="98"/>
        <v>0</v>
      </c>
      <c r="X440">
        <f>SUM($W$34:W440)</f>
        <v>139.21058210000001</v>
      </c>
      <c r="Y440">
        <f t="shared" si="111"/>
        <v>0</v>
      </c>
    </row>
    <row r="441" spans="1:25">
      <c r="A441">
        <v>114.4524026</v>
      </c>
      <c r="B441" s="2">
        <f t="shared" si="96"/>
        <v>1.3080489684060888E-2</v>
      </c>
      <c r="C441">
        <v>113.98577109999999</v>
      </c>
      <c r="D441" s="3">
        <f t="shared" si="97"/>
        <v>1.7367208765594045E-2</v>
      </c>
      <c r="E441" s="3">
        <f t="shared" si="99"/>
        <v>1.3724571140071584E-2</v>
      </c>
      <c r="F441" s="3">
        <f>STDEV($E$32:E441)</f>
        <v>1.3100708436962892E-2</v>
      </c>
      <c r="G441" s="14">
        <f t="shared" si="102"/>
        <v>1.0476205318292939</v>
      </c>
      <c r="H441" s="15">
        <f>yint($B$3:B441,$D$3:D441)</f>
        <v>2.8838925786392504E-4</v>
      </c>
      <c r="I441" s="16">
        <f>MyReg($B$3:B441,$D$3:D441)</f>
        <v>0.2564314065203403</v>
      </c>
      <c r="J441" s="17">
        <f>STDEV($D$3:D441)</f>
        <v>1.3410582318367366E-2</v>
      </c>
      <c r="K441" s="4">
        <f t="shared" si="100"/>
        <v>3.6426376255224604E-3</v>
      </c>
      <c r="L441">
        <f t="shared" si="103"/>
        <v>1.0476205318292939</v>
      </c>
      <c r="M441">
        <f>RSQ($D$3:D441,$B$3:B441)</f>
        <v>5.8955621536123687E-2</v>
      </c>
      <c r="N441">
        <v>409</v>
      </c>
      <c r="O441" t="str">
        <f t="shared" si="101"/>
        <v/>
      </c>
      <c r="P441" t="str">
        <f t="shared" si="105"/>
        <v/>
      </c>
      <c r="Q441">
        <f t="shared" si="106"/>
        <v>0</v>
      </c>
      <c r="R441">
        <f t="shared" si="107"/>
        <v>0</v>
      </c>
      <c r="S441">
        <f t="shared" si="108"/>
        <v>0</v>
      </c>
      <c r="T441">
        <f t="shared" si="109"/>
        <v>0</v>
      </c>
      <c r="U441">
        <f t="shared" si="104"/>
        <v>0</v>
      </c>
      <c r="V441">
        <f t="shared" si="110"/>
        <v>0</v>
      </c>
      <c r="W441">
        <f t="shared" si="98"/>
        <v>0</v>
      </c>
      <c r="X441">
        <f>SUM($W$34:W441)</f>
        <v>139.21058210000001</v>
      </c>
      <c r="Y441">
        <f t="shared" si="111"/>
        <v>0</v>
      </c>
    </row>
    <row r="442" spans="1:25">
      <c r="A442">
        <v>115.38087470000001</v>
      </c>
      <c r="B442" s="2">
        <f t="shared" si="96"/>
        <v>8.1122989024959759E-3</v>
      </c>
      <c r="C442">
        <v>115.3081857</v>
      </c>
      <c r="D442" s="3">
        <f t="shared" si="97"/>
        <v>1.1601576119881177E-2</v>
      </c>
      <c r="E442" s="3">
        <f t="shared" si="99"/>
        <v>9.2041965520915665E-3</v>
      </c>
      <c r="F442" s="3">
        <f>STDEV($E$32:E442)</f>
        <v>1.3092303733395495E-2</v>
      </c>
      <c r="G442" s="14">
        <f t="shared" si="102"/>
        <v>0.70302345099233765</v>
      </c>
      <c r="H442" s="15">
        <f>yint($B$3:B442,$D$3:D442)</f>
        <v>3.0896489264736331E-4</v>
      </c>
      <c r="I442" s="16">
        <f>MyReg($B$3:B442,$D$3:D442)</f>
        <v>0.25743808262534407</v>
      </c>
      <c r="J442" s="17">
        <f>STDEV($D$3:D442)</f>
        <v>1.3405962814650795E-2</v>
      </c>
      <c r="K442" s="4">
        <f t="shared" si="100"/>
        <v>2.3973795677896103E-3</v>
      </c>
      <c r="L442">
        <f t="shared" si="103"/>
        <v>0.70302345099233765</v>
      </c>
      <c r="M442">
        <f>RSQ($D$3:D442,$B$3:B442)</f>
        <v>5.9374932484292993E-2</v>
      </c>
      <c r="N442">
        <v>410</v>
      </c>
      <c r="O442" t="str">
        <f t="shared" si="101"/>
        <v/>
      </c>
      <c r="P442" t="str">
        <f t="shared" si="105"/>
        <v/>
      </c>
      <c r="Q442">
        <f t="shared" si="106"/>
        <v>0</v>
      </c>
      <c r="R442">
        <f t="shared" si="107"/>
        <v>0</v>
      </c>
      <c r="S442">
        <f t="shared" si="108"/>
        <v>0</v>
      </c>
      <c r="T442">
        <f t="shared" si="109"/>
        <v>0</v>
      </c>
      <c r="U442">
        <f t="shared" si="104"/>
        <v>0</v>
      </c>
      <c r="V442">
        <f t="shared" si="110"/>
        <v>0</v>
      </c>
      <c r="W442">
        <f t="shared" si="98"/>
        <v>0</v>
      </c>
      <c r="X442">
        <f>SUM($W$34:W442)</f>
        <v>139.21058210000001</v>
      </c>
      <c r="Y442">
        <f t="shared" si="111"/>
        <v>0</v>
      </c>
    </row>
    <row r="443" spans="1:25">
      <c r="A443">
        <v>116.0096626</v>
      </c>
      <c r="B443" s="2">
        <f t="shared" si="96"/>
        <v>5.4496718076968423E-3</v>
      </c>
      <c r="C443">
        <v>113.1244188</v>
      </c>
      <c r="D443" s="3">
        <f t="shared" si="97"/>
        <v>-1.8938524500607026E-2</v>
      </c>
      <c r="E443" s="3">
        <f t="shared" si="99"/>
        <v>-2.0596219243368439E-2</v>
      </c>
      <c r="F443" s="3">
        <f>STDEV($E$32:E443)</f>
        <v>1.3116422668017755E-2</v>
      </c>
      <c r="G443" s="14">
        <f t="shared" si="102"/>
        <v>-1.5702619353361447</v>
      </c>
      <c r="H443" s="15">
        <f>yint($B$3:B443,$D$3:D443)</f>
        <v>2.6275145584393159E-4</v>
      </c>
      <c r="I443" s="16">
        <f>MyReg($B$3:B443,$D$3:D443)</f>
        <v>0.25596831077925353</v>
      </c>
      <c r="J443" s="17">
        <f>STDEV($D$3:D443)</f>
        <v>1.3422391102676744E-2</v>
      </c>
      <c r="K443" s="4">
        <f t="shared" si="100"/>
        <v>1.6576947427614131E-3</v>
      </c>
      <c r="L443">
        <f t="shared" si="103"/>
        <v>-1.5702619353361447</v>
      </c>
      <c r="M443">
        <f>RSQ($D$3:D443,$B$3:B443)</f>
        <v>5.844319869231783E-2</v>
      </c>
      <c r="N443">
        <v>411</v>
      </c>
      <c r="O443" t="str">
        <f t="shared" si="101"/>
        <v>buyY</v>
      </c>
      <c r="P443" t="str">
        <f t="shared" si="105"/>
        <v/>
      </c>
      <c r="Q443">
        <f t="shared" si="106"/>
        <v>-10</v>
      </c>
      <c r="R443">
        <f t="shared" si="107"/>
        <v>0</v>
      </c>
      <c r="S443">
        <f t="shared" si="108"/>
        <v>10</v>
      </c>
      <c r="T443">
        <f t="shared" si="109"/>
        <v>0</v>
      </c>
      <c r="U443">
        <f t="shared" si="104"/>
        <v>20</v>
      </c>
      <c r="V443">
        <f t="shared" si="110"/>
        <v>-10</v>
      </c>
      <c r="W443">
        <f t="shared" si="98"/>
        <v>28.852437999999978</v>
      </c>
      <c r="X443">
        <f>SUM($W$34:W443)</f>
        <v>168.06302009999999</v>
      </c>
      <c r="Y443">
        <f t="shared" si="111"/>
        <v>0</v>
      </c>
    </row>
    <row r="444" spans="1:25">
      <c r="A444">
        <v>114.74136489999999</v>
      </c>
      <c r="B444" s="2">
        <f t="shared" si="96"/>
        <v>-1.093269018782583E-2</v>
      </c>
      <c r="C444">
        <v>112.91802970000001</v>
      </c>
      <c r="D444" s="3">
        <f t="shared" si="97"/>
        <v>-1.8244434065547265E-3</v>
      </c>
      <c r="E444" s="3">
        <f t="shared" si="99"/>
        <v>7.083307574356375E-4</v>
      </c>
      <c r="F444" s="3">
        <f>STDEV($E$32:E444)</f>
        <v>1.3100524416342045E-2</v>
      </c>
      <c r="G444" s="14">
        <f t="shared" si="102"/>
        <v>5.4068885712089614E-2</v>
      </c>
      <c r="H444" s="15">
        <f>yint($B$3:B444,$D$3:D444)</f>
        <v>2.6440506485764194E-4</v>
      </c>
      <c r="I444" s="16">
        <f>MyReg($B$3:B444,$D$3:D444)</f>
        <v>0.25585461407868521</v>
      </c>
      <c r="J444" s="17">
        <f>STDEV($D$3:D444)</f>
        <v>1.3407570456766545E-2</v>
      </c>
      <c r="K444" s="4">
        <f t="shared" si="100"/>
        <v>-2.532774163990364E-3</v>
      </c>
      <c r="L444">
        <f t="shared" si="103"/>
        <v>5.4068885712089614E-2</v>
      </c>
      <c r="M444">
        <f>RSQ($D$3:D444,$B$3:B444)</f>
        <v>5.8493883343964916E-2</v>
      </c>
      <c r="N444">
        <v>412</v>
      </c>
      <c r="O444" t="str">
        <f t="shared" si="101"/>
        <v/>
      </c>
      <c r="P444" t="str">
        <f t="shared" si="105"/>
        <v>close</v>
      </c>
      <c r="Q444">
        <f t="shared" si="106"/>
        <v>0</v>
      </c>
      <c r="R444">
        <f t="shared" si="107"/>
        <v>0</v>
      </c>
      <c r="S444">
        <f t="shared" si="108"/>
        <v>0</v>
      </c>
      <c r="T444">
        <f t="shared" si="109"/>
        <v>0</v>
      </c>
      <c r="U444">
        <f t="shared" si="104"/>
        <v>0</v>
      </c>
      <c r="V444">
        <f t="shared" si="110"/>
        <v>10</v>
      </c>
      <c r="W444">
        <f t="shared" si="98"/>
        <v>-18.233351999999883</v>
      </c>
      <c r="X444">
        <f>SUM($W$34:W444)</f>
        <v>149.82966810000011</v>
      </c>
      <c r="Y444">
        <f t="shared" si="111"/>
        <v>149.82966810000011</v>
      </c>
    </row>
    <row r="445" spans="1:25">
      <c r="A445">
        <v>114.25617200000001</v>
      </c>
      <c r="B445" s="2">
        <f t="shared" si="96"/>
        <v>-4.2285787729895398E-3</v>
      </c>
      <c r="C445">
        <v>114.4556237</v>
      </c>
      <c r="D445" s="3">
        <f t="shared" si="97"/>
        <v>1.3616904263075345E-2</v>
      </c>
      <c r="E445" s="3">
        <f t="shared" si="99"/>
        <v>1.4397488998639544E-2</v>
      </c>
      <c r="F445" s="3">
        <f>STDEV($E$32:E445)</f>
        <v>1.3103389115652288E-2</v>
      </c>
      <c r="G445" s="14">
        <f t="shared" si="102"/>
        <v>1.0987607001185231</v>
      </c>
      <c r="H445" s="15">
        <f>yint($B$3:B445,$D$3:D445)</f>
        <v>2.9734606050712582E-4</v>
      </c>
      <c r="I445" s="16">
        <f>MyReg($B$3:B445,$D$3:D445)</f>
        <v>0.25491562388685146</v>
      </c>
      <c r="J445" s="17">
        <f>STDEV($D$3:D445)</f>
        <v>1.3407187893073639E-2</v>
      </c>
      <c r="K445" s="4">
        <f t="shared" si="100"/>
        <v>-7.8058473556419958E-4</v>
      </c>
      <c r="L445">
        <f t="shared" si="103"/>
        <v>1.0987607001185231</v>
      </c>
      <c r="M445">
        <f>RSQ($D$3:D445,$B$3:B445)</f>
        <v>5.7954678692371475E-2</v>
      </c>
      <c r="N445">
        <v>413</v>
      </c>
      <c r="O445" t="str">
        <f t="shared" si="101"/>
        <v/>
      </c>
      <c r="P445" t="str">
        <f t="shared" si="105"/>
        <v/>
      </c>
      <c r="Q445">
        <f t="shared" si="106"/>
        <v>0</v>
      </c>
      <c r="R445">
        <f t="shared" si="107"/>
        <v>0</v>
      </c>
      <c r="S445">
        <f t="shared" si="108"/>
        <v>0</v>
      </c>
      <c r="T445">
        <f t="shared" si="109"/>
        <v>0</v>
      </c>
      <c r="U445">
        <f t="shared" si="104"/>
        <v>0</v>
      </c>
      <c r="V445">
        <f t="shared" si="110"/>
        <v>0</v>
      </c>
      <c r="W445">
        <f t="shared" si="98"/>
        <v>0</v>
      </c>
      <c r="X445">
        <f>SUM($W$34:W445)</f>
        <v>149.82966810000011</v>
      </c>
      <c r="Y445">
        <f t="shared" si="111"/>
        <v>0</v>
      </c>
    </row>
    <row r="446" spans="1:25">
      <c r="A446">
        <v>113.027508</v>
      </c>
      <c r="B446" s="2">
        <f t="shared" si="96"/>
        <v>-1.0753589749182293E-2</v>
      </c>
      <c r="C446">
        <v>113.88107909999999</v>
      </c>
      <c r="D446" s="3">
        <f t="shared" si="97"/>
        <v>-5.0198022729398663E-3</v>
      </c>
      <c r="E446" s="3">
        <f t="shared" si="99"/>
        <v>-2.5656099367858858E-3</v>
      </c>
      <c r="F446" s="3">
        <f>STDEV($E$32:E446)</f>
        <v>1.3088248155989758E-2</v>
      </c>
      <c r="G446" s="14">
        <f t="shared" si="102"/>
        <v>-0.19602393736794713</v>
      </c>
      <c r="H446" s="15">
        <f>yint($B$3:B446,$D$3:D446)</f>
        <v>2.9140103921666328E-4</v>
      </c>
      <c r="I446" s="16">
        <f>MyReg($B$3:B446,$D$3:D446)</f>
        <v>0.25531877627928101</v>
      </c>
      <c r="J446" s="17">
        <f>STDEV($D$3:D446)</f>
        <v>1.3394511854593293E-2</v>
      </c>
      <c r="K446" s="4">
        <f t="shared" si="100"/>
        <v>-2.4541923361539805E-3</v>
      </c>
      <c r="L446">
        <f t="shared" si="103"/>
        <v>-0.19602393736794713</v>
      </c>
      <c r="M446">
        <f>RSQ($D$3:D446,$B$3:B446)</f>
        <v>5.8218196098870627E-2</v>
      </c>
      <c r="N446">
        <v>414</v>
      </c>
      <c r="O446" t="str">
        <f t="shared" si="101"/>
        <v/>
      </c>
      <c r="P446" t="str">
        <f t="shared" si="105"/>
        <v/>
      </c>
      <c r="Q446">
        <f t="shared" si="106"/>
        <v>0</v>
      </c>
      <c r="R446">
        <f t="shared" si="107"/>
        <v>0</v>
      </c>
      <c r="S446">
        <f t="shared" si="108"/>
        <v>0</v>
      </c>
      <c r="T446">
        <f t="shared" si="109"/>
        <v>0</v>
      </c>
      <c r="U446">
        <f t="shared" si="104"/>
        <v>0</v>
      </c>
      <c r="V446">
        <f t="shared" si="110"/>
        <v>0</v>
      </c>
      <c r="W446">
        <f t="shared" si="98"/>
        <v>0</v>
      </c>
      <c r="X446">
        <f>SUM($W$34:W446)</f>
        <v>149.82966810000011</v>
      </c>
      <c r="Y446">
        <f t="shared" si="111"/>
        <v>0</v>
      </c>
    </row>
    <row r="447" spans="1:25">
      <c r="A447">
        <v>114.0314324</v>
      </c>
      <c r="B447" s="2">
        <f t="shared" si="96"/>
        <v>8.8821245178651777E-3</v>
      </c>
      <c r="C447">
        <v>111.5644411</v>
      </c>
      <c r="D447" s="3">
        <f t="shared" si="97"/>
        <v>-2.0342606676265661E-2</v>
      </c>
      <c r="E447" s="3">
        <f t="shared" si="99"/>
        <v>-2.28269903089625E-2</v>
      </c>
      <c r="F447" s="3">
        <f>STDEV($E$32:E447)</f>
        <v>1.3121019032900921E-2</v>
      </c>
      <c r="G447" s="14">
        <f t="shared" si="102"/>
        <v>-1.7397269413087415</v>
      </c>
      <c r="H447" s="15">
        <f>yint($B$3:B447,$D$3:D447)</f>
        <v>2.4096464786050475E-4</v>
      </c>
      <c r="I447" s="16">
        <f>MyReg($B$3:B447,$D$3:D447)</f>
        <v>0.2525768446866517</v>
      </c>
      <c r="J447" s="17">
        <f>STDEV($D$3:D447)</f>
        <v>1.3415441783387784E-2</v>
      </c>
      <c r="K447" s="4">
        <f t="shared" si="100"/>
        <v>2.4843836326968387E-3</v>
      </c>
      <c r="L447">
        <f t="shared" si="103"/>
        <v>-1.7397269413087415</v>
      </c>
      <c r="M447">
        <f>RSQ($D$3:D447,$B$3:B447)</f>
        <v>5.6726820588687533E-2</v>
      </c>
      <c r="N447">
        <v>415</v>
      </c>
      <c r="O447" t="str">
        <f t="shared" si="101"/>
        <v>buyY</v>
      </c>
      <c r="P447" t="str">
        <f t="shared" si="105"/>
        <v/>
      </c>
      <c r="Q447">
        <f t="shared" si="106"/>
        <v>-10</v>
      </c>
      <c r="R447">
        <f t="shared" si="107"/>
        <v>0</v>
      </c>
      <c r="S447">
        <f t="shared" si="108"/>
        <v>10</v>
      </c>
      <c r="T447">
        <f t="shared" si="109"/>
        <v>0</v>
      </c>
      <c r="U447">
        <f t="shared" si="104"/>
        <v>20</v>
      </c>
      <c r="V447">
        <f t="shared" si="110"/>
        <v>-10</v>
      </c>
      <c r="W447">
        <f t="shared" si="98"/>
        <v>24.669913000000037</v>
      </c>
      <c r="X447">
        <f>SUM($W$34:W447)</f>
        <v>174.49958110000014</v>
      </c>
      <c r="Y447">
        <f t="shared" si="111"/>
        <v>0</v>
      </c>
    </row>
    <row r="448" spans="1:25">
      <c r="A448">
        <v>114.3993456</v>
      </c>
      <c r="B448" s="2">
        <f t="shared" si="96"/>
        <v>3.226419174578428E-3</v>
      </c>
      <c r="C448">
        <v>109.7764155</v>
      </c>
      <c r="D448" s="3">
        <f t="shared" si="97"/>
        <v>-1.6026841369619852E-2</v>
      </c>
      <c r="E448" s="3">
        <f t="shared" si="99"/>
        <v>-1.7042477004799203E-2</v>
      </c>
      <c r="F448" s="3">
        <f>STDEV($E$32:E448)</f>
        <v>1.3132154887248016E-2</v>
      </c>
      <c r="G448" s="14">
        <f t="shared" si="102"/>
        <v>-1.2977669812094819</v>
      </c>
      <c r="H448" s="15">
        <f>yint($B$3:B448,$D$3:D448)</f>
        <v>2.0292342637567894E-4</v>
      </c>
      <c r="I448" s="16">
        <f>MyReg($B$3:B448,$D$3:D448)</f>
        <v>0.2518929391466514</v>
      </c>
      <c r="J448" s="17">
        <f>STDEV($D$3:D448)</f>
        <v>1.3422739615764781E-2</v>
      </c>
      <c r="K448" s="4">
        <f t="shared" si="100"/>
        <v>1.0156356351793522E-3</v>
      </c>
      <c r="L448">
        <f t="shared" si="103"/>
        <v>-1.2977669812094819</v>
      </c>
      <c r="M448">
        <f>RSQ($D$3:D448,$B$3:B448)</f>
        <v>5.6238474245933263E-2</v>
      </c>
      <c r="N448">
        <v>416</v>
      </c>
      <c r="O448" t="str">
        <f t="shared" si="101"/>
        <v/>
      </c>
      <c r="P448" t="str">
        <f t="shared" si="105"/>
        <v>buyhold</v>
      </c>
      <c r="Q448">
        <f t="shared" si="106"/>
        <v>-10</v>
      </c>
      <c r="R448">
        <f t="shared" si="107"/>
        <v>0</v>
      </c>
      <c r="S448">
        <f t="shared" si="108"/>
        <v>10</v>
      </c>
      <c r="T448">
        <f t="shared" si="109"/>
        <v>0</v>
      </c>
      <c r="U448">
        <f t="shared" si="104"/>
        <v>20</v>
      </c>
      <c r="V448">
        <f t="shared" si="110"/>
        <v>0</v>
      </c>
      <c r="W448">
        <f t="shared" si="98"/>
        <v>0</v>
      </c>
      <c r="X448">
        <f>SUM($W$34:W448)</f>
        <v>174.49958110000014</v>
      </c>
      <c r="Y448">
        <f t="shared" si="111"/>
        <v>0</v>
      </c>
    </row>
    <row r="449" spans="1:25">
      <c r="A449">
        <v>116.2018301</v>
      </c>
      <c r="B449" s="2">
        <f t="shared" si="96"/>
        <v>1.5756073520756149E-2</v>
      </c>
      <c r="C449">
        <v>110.442926</v>
      </c>
      <c r="D449" s="3">
        <f t="shared" si="97"/>
        <v>6.071527267166062E-3</v>
      </c>
      <c r="E449" s="3">
        <f t="shared" si="99"/>
        <v>1.8892399477748118E-3</v>
      </c>
      <c r="F449" s="3">
        <f>STDEV($E$32:E449)</f>
        <v>1.3116698968501815E-2</v>
      </c>
      <c r="G449" s="14">
        <f t="shared" si="102"/>
        <v>0.14403318642225424</v>
      </c>
      <c r="H449" s="15">
        <f>yint($B$3:B449,$D$3:D449)</f>
        <v>2.0700349013023597E-4</v>
      </c>
      <c r="I449" s="16">
        <f>MyReg($B$3:B449,$D$3:D449)</f>
        <v>0.25230168062012426</v>
      </c>
      <c r="J449" s="17">
        <f>STDEV($D$3:D449)</f>
        <v>1.34104629435245E-2</v>
      </c>
      <c r="K449" s="4">
        <f t="shared" si="100"/>
        <v>4.1822873193912502E-3</v>
      </c>
      <c r="L449">
        <f t="shared" si="103"/>
        <v>0.14403318642225424</v>
      </c>
      <c r="M449">
        <f>RSQ($D$3:D449,$B$3:B449)</f>
        <v>5.6584927701847823E-2</v>
      </c>
      <c r="N449">
        <v>417</v>
      </c>
      <c r="O449" t="str">
        <f t="shared" si="101"/>
        <v/>
      </c>
      <c r="P449" t="str">
        <f t="shared" si="105"/>
        <v>close</v>
      </c>
      <c r="Q449">
        <f t="shared" si="106"/>
        <v>0</v>
      </c>
      <c r="R449">
        <f t="shared" si="107"/>
        <v>0</v>
      </c>
      <c r="S449">
        <f t="shared" si="108"/>
        <v>0</v>
      </c>
      <c r="T449">
        <f t="shared" si="109"/>
        <v>0</v>
      </c>
      <c r="U449">
        <f t="shared" si="104"/>
        <v>0</v>
      </c>
      <c r="V449">
        <f t="shared" si="110"/>
        <v>10</v>
      </c>
      <c r="W449">
        <f t="shared" si="98"/>
        <v>-57.589040999999952</v>
      </c>
      <c r="X449">
        <f>SUM($W$34:W449)</f>
        <v>116.91054010000019</v>
      </c>
      <c r="Y449">
        <f t="shared" si="111"/>
        <v>116.91054010000019</v>
      </c>
    </row>
    <row r="450" spans="1:25">
      <c r="A450">
        <v>117.0419612</v>
      </c>
      <c r="B450" s="2">
        <f t="shared" si="96"/>
        <v>7.229930021558308E-3</v>
      </c>
      <c r="C450">
        <v>108.3178805</v>
      </c>
      <c r="D450" s="3">
        <f t="shared" si="97"/>
        <v>-1.9241119164119202E-2</v>
      </c>
      <c r="E450" s="3">
        <f t="shared" si="99"/>
        <v>-2.1210980992799396E-2</v>
      </c>
      <c r="F450" s="3">
        <f>STDEV($E$32:E450)</f>
        <v>1.3142229671635842E-2</v>
      </c>
      <c r="G450" s="14">
        <f t="shared" si="102"/>
        <v>-1.6139560426780473</v>
      </c>
      <c r="H450" s="15">
        <f>yint($B$3:B450,$D$3:D450)</f>
        <v>1.6039454474063751E-4</v>
      </c>
      <c r="I450" s="16">
        <f>MyReg($B$3:B450,$D$3:D450)</f>
        <v>0.25027452251184484</v>
      </c>
      <c r="J450" s="17">
        <f>STDEV($D$3:D450)</f>
        <v>1.3427270155799437E-2</v>
      </c>
      <c r="K450" s="4">
        <f t="shared" si="100"/>
        <v>1.969861828680195E-3</v>
      </c>
      <c r="L450">
        <f t="shared" si="103"/>
        <v>-1.6139560426780473</v>
      </c>
      <c r="M450">
        <f>RSQ($D$3:D450,$B$3:B450)</f>
        <v>5.5451754006292119E-2</v>
      </c>
      <c r="N450">
        <v>418</v>
      </c>
      <c r="O450" t="str">
        <f t="shared" si="101"/>
        <v>buyY</v>
      </c>
      <c r="P450" t="str">
        <f t="shared" si="105"/>
        <v/>
      </c>
      <c r="Q450">
        <f t="shared" si="106"/>
        <v>-10</v>
      </c>
      <c r="R450">
        <f t="shared" si="107"/>
        <v>0</v>
      </c>
      <c r="S450">
        <f t="shared" si="108"/>
        <v>10</v>
      </c>
      <c r="T450">
        <f t="shared" si="109"/>
        <v>0</v>
      </c>
      <c r="U450">
        <f t="shared" si="104"/>
        <v>20</v>
      </c>
      <c r="V450">
        <f t="shared" si="110"/>
        <v>-10</v>
      </c>
      <c r="W450">
        <f t="shared" si="98"/>
        <v>87.240807000000018</v>
      </c>
      <c r="X450">
        <f>SUM($W$34:W450)</f>
        <v>204.15134710000021</v>
      </c>
      <c r="Y450">
        <f t="shared" si="111"/>
        <v>0</v>
      </c>
    </row>
    <row r="451" spans="1:25">
      <c r="A451">
        <v>117.0312411</v>
      </c>
      <c r="B451" s="2">
        <f t="shared" si="96"/>
        <v>-9.1591937541801407E-5</v>
      </c>
      <c r="C451">
        <v>110.2272701</v>
      </c>
      <c r="D451" s="3">
        <f t="shared" si="97"/>
        <v>1.7627649204232695E-2</v>
      </c>
      <c r="E451" s="3">
        <f t="shared" si="99"/>
        <v>1.7451157504823997E-2</v>
      </c>
      <c r="F451" s="3">
        <f>STDEV($E$32:E451)</f>
        <v>1.3154031991471004E-2</v>
      </c>
      <c r="G451" s="14">
        <f t="shared" si="102"/>
        <v>1.3266774412696596</v>
      </c>
      <c r="H451" s="15">
        <f>yint($B$3:B451,$D$3:D451)</f>
        <v>1.9940311947587002E-4</v>
      </c>
      <c r="I451" s="16">
        <f>MyReg($B$3:B451,$D$3:D451)</f>
        <v>0.25014669065948802</v>
      </c>
      <c r="J451" s="17">
        <f>STDEV($D$3:D451)</f>
        <v>1.3437272833314372E-2</v>
      </c>
      <c r="K451" s="4">
        <f t="shared" si="100"/>
        <v>1.7649169940869787E-4</v>
      </c>
      <c r="L451">
        <f t="shared" si="103"/>
        <v>1.3266774412696596</v>
      </c>
      <c r="M451">
        <f>RSQ($D$3:D451,$B$3:B451)</f>
        <v>5.5189426341067001E-2</v>
      </c>
      <c r="N451">
        <v>419</v>
      </c>
      <c r="O451" t="str">
        <f t="shared" si="101"/>
        <v/>
      </c>
      <c r="P451" t="str">
        <f t="shared" si="105"/>
        <v>close</v>
      </c>
      <c r="Q451">
        <f t="shared" si="106"/>
        <v>0</v>
      </c>
      <c r="R451">
        <f t="shared" si="107"/>
        <v>0</v>
      </c>
      <c r="S451">
        <f t="shared" si="108"/>
        <v>0</v>
      </c>
      <c r="T451">
        <f t="shared" si="109"/>
        <v>0</v>
      </c>
      <c r="U451">
        <f t="shared" si="104"/>
        <v>0</v>
      </c>
      <c r="V451">
        <f t="shared" si="110"/>
        <v>10</v>
      </c>
      <c r="W451">
        <f t="shared" si="98"/>
        <v>-68.039710000000042</v>
      </c>
      <c r="X451">
        <f>SUM($W$34:W451)</f>
        <v>136.11163710000017</v>
      </c>
      <c r="Y451">
        <f t="shared" si="111"/>
        <v>136.11163710000017</v>
      </c>
    </row>
    <row r="452" spans="1:25">
      <c r="A452">
        <v>116.67931799999999</v>
      </c>
      <c r="B452" s="2">
        <f t="shared" ref="B452:B515" si="112">(A452-A451)/A451</f>
        <v>-3.007086797441539E-3</v>
      </c>
      <c r="C452">
        <v>109.10308569999999</v>
      </c>
      <c r="D452" s="3">
        <f t="shared" ref="D452:D515" si="113">(C452-C451)/C451</f>
        <v>-1.0198786552366992E-2</v>
      </c>
      <c r="E452" s="3">
        <f t="shared" si="99"/>
        <v>-9.6229516381749255E-3</v>
      </c>
      <c r="F452" s="3">
        <f>STDEV($E$32:E452)</f>
        <v>1.3146856721091759E-2</v>
      </c>
      <c r="G452" s="14">
        <f t="shared" si="102"/>
        <v>-0.73195835645920104</v>
      </c>
      <c r="H452" s="15">
        <f>yint($B$3:B452,$D$3:D452)</f>
        <v>1.7777188785170352E-4</v>
      </c>
      <c r="I452" s="16">
        <f>MyReg($B$3:B452,$D$3:D452)</f>
        <v>0.2506102592997802</v>
      </c>
      <c r="J452" s="17">
        <f>STDEV($D$3:D452)</f>
        <v>1.3431434372484998E-2</v>
      </c>
      <c r="K452" s="4">
        <f t="shared" si="100"/>
        <v>-5.7583491419206613E-4</v>
      </c>
      <c r="L452">
        <f t="shared" si="103"/>
        <v>-0.73195835645920104</v>
      </c>
      <c r="M452">
        <f>RSQ($D$3:D452,$B$3:B452)</f>
        <v>5.5327996317578981E-2</v>
      </c>
      <c r="N452">
        <v>420</v>
      </c>
      <c r="O452" t="str">
        <f t="shared" si="101"/>
        <v/>
      </c>
      <c r="P452" t="str">
        <f t="shared" si="105"/>
        <v/>
      </c>
      <c r="Q452">
        <f t="shared" si="106"/>
        <v>0</v>
      </c>
      <c r="R452">
        <f t="shared" si="107"/>
        <v>0</v>
      </c>
      <c r="S452">
        <f t="shared" si="108"/>
        <v>0</v>
      </c>
      <c r="T452">
        <f t="shared" si="109"/>
        <v>0</v>
      </c>
      <c r="U452">
        <f t="shared" si="104"/>
        <v>0</v>
      </c>
      <c r="V452">
        <f t="shared" si="110"/>
        <v>0</v>
      </c>
      <c r="W452">
        <f t="shared" si="98"/>
        <v>0</v>
      </c>
      <c r="X452">
        <f>SUM($W$34:W452)</f>
        <v>136.11163710000017</v>
      </c>
      <c r="Y452">
        <f t="shared" si="111"/>
        <v>0</v>
      </c>
    </row>
    <row r="453" spans="1:25">
      <c r="A453">
        <v>116.882537</v>
      </c>
      <c r="B453" s="2">
        <f t="shared" si="112"/>
        <v>1.7416882741807273E-3</v>
      </c>
      <c r="C453">
        <v>108.6542876</v>
      </c>
      <c r="D453" s="3">
        <f t="shared" si="113"/>
        <v>-4.1135234363036035E-3</v>
      </c>
      <c r="E453" s="3">
        <f t="shared" si="99"/>
        <v>-4.7171825548696679E-3</v>
      </c>
      <c r="F453" s="3">
        <f>STDEV($E$32:E453)</f>
        <v>1.3133283080524569E-2</v>
      </c>
      <c r="G453" s="14">
        <f t="shared" si="102"/>
        <v>-0.35917771100699175</v>
      </c>
      <c r="H453" s="15">
        <f>yint($B$3:B453,$D$3:D453)</f>
        <v>1.6732608822541279E-4</v>
      </c>
      <c r="I453" s="16">
        <f>MyReg($B$3:B453,$D$3:D453)</f>
        <v>0.25052303377646523</v>
      </c>
      <c r="J453" s="17">
        <f>STDEV($D$3:D453)</f>
        <v>1.3418099835902331E-2</v>
      </c>
      <c r="K453" s="4">
        <f t="shared" si="100"/>
        <v>6.0365911856606462E-4</v>
      </c>
      <c r="L453">
        <f t="shared" si="103"/>
        <v>-0.35917771100699175</v>
      </c>
      <c r="M453">
        <f>RSQ($D$3:D453,$B$3:B453)</f>
        <v>5.5277669667249188E-2</v>
      </c>
      <c r="N453">
        <v>421</v>
      </c>
      <c r="O453" t="str">
        <f t="shared" si="101"/>
        <v/>
      </c>
      <c r="P453" t="str">
        <f t="shared" si="105"/>
        <v/>
      </c>
      <c r="Q453">
        <f t="shared" si="106"/>
        <v>0</v>
      </c>
      <c r="R453">
        <f t="shared" si="107"/>
        <v>0</v>
      </c>
      <c r="S453">
        <f t="shared" si="108"/>
        <v>0</v>
      </c>
      <c r="T453">
        <f t="shared" si="109"/>
        <v>0</v>
      </c>
      <c r="U453">
        <f t="shared" si="104"/>
        <v>0</v>
      </c>
      <c r="V453">
        <f t="shared" si="110"/>
        <v>0</v>
      </c>
      <c r="W453">
        <f t="shared" si="98"/>
        <v>0</v>
      </c>
      <c r="X453">
        <f>SUM($W$34:W453)</f>
        <v>136.11163710000017</v>
      </c>
      <c r="Y453">
        <f t="shared" si="111"/>
        <v>0</v>
      </c>
    </row>
    <row r="454" spans="1:25">
      <c r="A454">
        <v>118.4743938</v>
      </c>
      <c r="B454" s="2">
        <f t="shared" si="112"/>
        <v>1.3619286857197514E-2</v>
      </c>
      <c r="C454">
        <v>107.712149</v>
      </c>
      <c r="D454" s="3">
        <f t="shared" si="113"/>
        <v>-8.6709748948738848E-3</v>
      </c>
      <c r="E454" s="3">
        <f t="shared" si="99"/>
        <v>-1.2193462730110646E-2</v>
      </c>
      <c r="F454" s="3">
        <f>STDEV($E$32:E454)</f>
        <v>1.3131186539158337E-2</v>
      </c>
      <c r="G454" s="14">
        <f t="shared" si="102"/>
        <v>-0.92858803686541824</v>
      </c>
      <c r="H454" s="15">
        <f>yint($B$3:B454,$D$3:D454)</f>
        <v>1.4124809403528733E-4</v>
      </c>
      <c r="I454" s="16">
        <f>MyReg($B$3:B454,$D$3:D454)</f>
        <v>0.24826848693729933</v>
      </c>
      <c r="J454" s="17">
        <f>STDEV($D$3:D454)</f>
        <v>1.3409817369350815E-2</v>
      </c>
      <c r="K454" s="4">
        <f t="shared" si="100"/>
        <v>3.5224878352367608E-3</v>
      </c>
      <c r="L454">
        <f t="shared" si="103"/>
        <v>-0.92858803686541824</v>
      </c>
      <c r="M454">
        <f>RSQ($D$3:D454,$B$3:B454)</f>
        <v>5.4365795026311989E-2</v>
      </c>
      <c r="N454">
        <v>422</v>
      </c>
      <c r="O454" t="str">
        <f t="shared" si="101"/>
        <v/>
      </c>
      <c r="P454" t="str">
        <f t="shared" si="105"/>
        <v/>
      </c>
      <c r="Q454">
        <f t="shared" si="106"/>
        <v>0</v>
      </c>
      <c r="R454">
        <f t="shared" si="107"/>
        <v>0</v>
      </c>
      <c r="S454">
        <f t="shared" si="108"/>
        <v>0</v>
      </c>
      <c r="T454">
        <f t="shared" si="109"/>
        <v>0</v>
      </c>
      <c r="U454">
        <f t="shared" si="104"/>
        <v>0</v>
      </c>
      <c r="V454">
        <f t="shared" si="110"/>
        <v>0</v>
      </c>
      <c r="W454">
        <f t="shared" si="98"/>
        <v>0</v>
      </c>
      <c r="X454">
        <f>SUM($W$34:W454)</f>
        <v>136.11163710000017</v>
      </c>
      <c r="Y454">
        <f t="shared" si="111"/>
        <v>0</v>
      </c>
    </row>
    <row r="455" spans="1:25">
      <c r="A455">
        <v>118.5278014</v>
      </c>
      <c r="B455" s="2">
        <f t="shared" si="112"/>
        <v>4.5079445681873482E-4</v>
      </c>
      <c r="C455">
        <v>108.51072689999999</v>
      </c>
      <c r="D455" s="3">
        <f t="shared" si="113"/>
        <v>7.4140002535832607E-3</v>
      </c>
      <c r="E455" s="3">
        <f t="shared" si="99"/>
        <v>7.1450265197856126E-3</v>
      </c>
      <c r="F455" s="3">
        <f>STDEV($E$32:E455)</f>
        <v>1.312023396916632E-2</v>
      </c>
      <c r="G455" s="14">
        <f t="shared" si="102"/>
        <v>0.54458072444264638</v>
      </c>
      <c r="H455" s="15">
        <f>yint($B$3:B455,$D$3:D455)</f>
        <v>1.5705583551583021E-4</v>
      </c>
      <c r="I455" s="16">
        <f>MyReg($B$3:B455,$D$3:D455)</f>
        <v>0.24826813326770761</v>
      </c>
      <c r="J455" s="17">
        <f>STDEV($D$3:D455)</f>
        <v>1.339919887943871E-2</v>
      </c>
      <c r="K455" s="4">
        <f t="shared" si="100"/>
        <v>2.6897373379764774E-4</v>
      </c>
      <c r="L455">
        <f t="shared" si="103"/>
        <v>0.54458072444264638</v>
      </c>
      <c r="M455">
        <f>RSQ($D$3:D455,$B$3:B455)</f>
        <v>5.4331372105848895E-2</v>
      </c>
      <c r="N455">
        <v>423</v>
      </c>
      <c r="O455" t="str">
        <f t="shared" si="101"/>
        <v/>
      </c>
      <c r="P455" t="str">
        <f t="shared" si="105"/>
        <v/>
      </c>
      <c r="Q455">
        <f t="shared" si="106"/>
        <v>0</v>
      </c>
      <c r="R455">
        <f t="shared" si="107"/>
        <v>0</v>
      </c>
      <c r="S455">
        <f t="shared" si="108"/>
        <v>0</v>
      </c>
      <c r="T455">
        <f t="shared" si="109"/>
        <v>0</v>
      </c>
      <c r="U455">
        <f t="shared" si="104"/>
        <v>0</v>
      </c>
      <c r="V455">
        <f t="shared" si="110"/>
        <v>0</v>
      </c>
      <c r="W455">
        <f t="shared" si="98"/>
        <v>0</v>
      </c>
      <c r="X455">
        <f>SUM($W$34:W455)</f>
        <v>136.11163710000017</v>
      </c>
      <c r="Y455">
        <f t="shared" si="111"/>
        <v>0</v>
      </c>
    </row>
    <row r="456" spans="1:25">
      <c r="A456">
        <v>117.6785763</v>
      </c>
      <c r="B456" s="2">
        <f t="shared" si="112"/>
        <v>-7.1647756051264966E-3</v>
      </c>
      <c r="C456">
        <v>109.4719176</v>
      </c>
      <c r="D456" s="3">
        <f t="shared" si="113"/>
        <v>8.8580247083387947E-3</v>
      </c>
      <c r="E456" s="3">
        <f t="shared" si="99"/>
        <v>1.0448210851186815E-2</v>
      </c>
      <c r="F456" s="3">
        <f>STDEV($E$32:E456)</f>
        <v>1.3114501603499985E-2</v>
      </c>
      <c r="G456" s="14">
        <f t="shared" si="102"/>
        <v>0.79669141589020864</v>
      </c>
      <c r="H456" s="15">
        <f>yint($B$3:B456,$D$3:D456)</f>
        <v>1.8062592193671015E-4</v>
      </c>
      <c r="I456" s="16">
        <f>MyReg($B$3:B456,$D$3:D456)</f>
        <v>0.24715527217875322</v>
      </c>
      <c r="J456" s="17">
        <f>STDEV($D$3:D456)</f>
        <v>1.3390468926500747E-2</v>
      </c>
      <c r="K456" s="4">
        <f t="shared" si="100"/>
        <v>-1.5901861428480205E-3</v>
      </c>
      <c r="L456">
        <f t="shared" si="103"/>
        <v>0.79669141589020864</v>
      </c>
      <c r="M456">
        <f>RSQ($D$3:D456,$B$3:B456)</f>
        <v>5.3840157758732313E-2</v>
      </c>
      <c r="N456">
        <v>424</v>
      </c>
      <c r="O456" t="str">
        <f t="shared" si="101"/>
        <v/>
      </c>
      <c r="P456" t="str">
        <f t="shared" si="105"/>
        <v/>
      </c>
      <c r="Q456">
        <f t="shared" si="106"/>
        <v>0</v>
      </c>
      <c r="R456">
        <f t="shared" si="107"/>
        <v>0</v>
      </c>
      <c r="S456">
        <f t="shared" si="108"/>
        <v>0</v>
      </c>
      <c r="T456">
        <f t="shared" si="109"/>
        <v>0</v>
      </c>
      <c r="U456">
        <f t="shared" si="104"/>
        <v>0</v>
      </c>
      <c r="V456">
        <f t="shared" si="110"/>
        <v>0</v>
      </c>
      <c r="W456">
        <f t="shared" si="98"/>
        <v>0</v>
      </c>
      <c r="X456">
        <f>SUM($W$34:W456)</f>
        <v>136.11163710000017</v>
      </c>
      <c r="Y456">
        <f t="shared" si="111"/>
        <v>0</v>
      </c>
    </row>
    <row r="457" spans="1:25">
      <c r="A457">
        <v>119.1343115</v>
      </c>
      <c r="B457" s="2">
        <f t="shared" si="112"/>
        <v>1.2370435178352785E-2</v>
      </c>
      <c r="C457">
        <v>108.55085870000001</v>
      </c>
      <c r="D457" s="3">
        <f t="shared" si="113"/>
        <v>-8.4136545718094865E-3</v>
      </c>
      <c r="E457" s="3">
        <f t="shared" si="99"/>
        <v>-1.1603062860247516E-2</v>
      </c>
      <c r="F457" s="3">
        <f>STDEV($E$32:E457)</f>
        <v>1.3111225655727886E-2</v>
      </c>
      <c r="G457" s="14">
        <f t="shared" si="102"/>
        <v>-0.88497163918298516</v>
      </c>
      <c r="H457" s="15">
        <f>yint($B$3:B457,$D$3:D457)</f>
        <v>1.559147379336339E-4</v>
      </c>
      <c r="I457" s="16">
        <f>MyReg($B$3:B457,$D$3:D457)</f>
        <v>0.24522124781937774</v>
      </c>
      <c r="J457" s="17">
        <f>STDEV($D$3:D457)</f>
        <v>1.3381934022322566E-2</v>
      </c>
      <c r="K457" s="4">
        <f t="shared" si="100"/>
        <v>3.1894082884380303E-3</v>
      </c>
      <c r="L457">
        <f t="shared" si="103"/>
        <v>-0.88497163918298516</v>
      </c>
      <c r="M457">
        <f>RSQ($D$3:D457,$B$3:B457)</f>
        <v>5.3056668148185125E-2</v>
      </c>
      <c r="N457">
        <v>425</v>
      </c>
      <c r="O457" t="str">
        <f t="shared" si="101"/>
        <v/>
      </c>
      <c r="P457" t="str">
        <f t="shared" si="105"/>
        <v/>
      </c>
      <c r="Q457">
        <f t="shared" si="106"/>
        <v>0</v>
      </c>
      <c r="R457">
        <f t="shared" si="107"/>
        <v>0</v>
      </c>
      <c r="S457">
        <f t="shared" si="108"/>
        <v>0</v>
      </c>
      <c r="T457">
        <f t="shared" si="109"/>
        <v>0</v>
      </c>
      <c r="U457">
        <f t="shared" si="104"/>
        <v>0</v>
      </c>
      <c r="V457">
        <f t="shared" si="110"/>
        <v>0</v>
      </c>
      <c r="W457">
        <f t="shared" si="98"/>
        <v>0</v>
      </c>
      <c r="X457">
        <f>SUM($W$34:W457)</f>
        <v>136.11163710000017</v>
      </c>
      <c r="Y457">
        <f t="shared" si="111"/>
        <v>0</v>
      </c>
    </row>
    <row r="458" spans="1:25">
      <c r="A458">
        <v>117.9920927</v>
      </c>
      <c r="B458" s="2">
        <f t="shared" si="112"/>
        <v>-9.5876560297240218E-3</v>
      </c>
      <c r="C458">
        <v>109.8261815</v>
      </c>
      <c r="D458" s="3">
        <f t="shared" si="113"/>
        <v>1.1748620096360397E-2</v>
      </c>
      <c r="E458" s="3">
        <f t="shared" si="99"/>
        <v>1.3893698304672523E-2</v>
      </c>
      <c r="F458" s="3">
        <f>STDEV($E$32:E458)</f>
        <v>1.3113020346155455E-2</v>
      </c>
      <c r="G458" s="14">
        <f t="shared" si="102"/>
        <v>1.0595345647233707</v>
      </c>
      <c r="H458" s="15">
        <f>yint($B$3:B458,$D$3:D458)</f>
        <v>1.8735322301414276E-4</v>
      </c>
      <c r="I458" s="16">
        <f>MyReg($B$3:B458,$D$3:D458)</f>
        <v>0.24327441703114663</v>
      </c>
      <c r="J458" s="17">
        <f>STDEV($D$3:D458)</f>
        <v>1.3378024772770373E-2</v>
      </c>
      <c r="K458" s="4">
        <f t="shared" si="100"/>
        <v>-2.1450782083121266E-3</v>
      </c>
      <c r="L458">
        <f t="shared" si="103"/>
        <v>1.0595345647233707</v>
      </c>
      <c r="M458">
        <f>RSQ($D$3:D458,$B$3:B458)</f>
        <v>5.2206526552040569E-2</v>
      </c>
      <c r="N458">
        <v>426</v>
      </c>
      <c r="O458" t="str">
        <f t="shared" si="101"/>
        <v/>
      </c>
      <c r="P458" t="str">
        <f t="shared" si="105"/>
        <v/>
      </c>
      <c r="Q458">
        <f t="shared" si="106"/>
        <v>0</v>
      </c>
      <c r="R458">
        <f t="shared" si="107"/>
        <v>0</v>
      </c>
      <c r="S458">
        <f t="shared" si="108"/>
        <v>0</v>
      </c>
      <c r="T458">
        <f t="shared" si="109"/>
        <v>0</v>
      </c>
      <c r="U458">
        <f t="shared" si="104"/>
        <v>0</v>
      </c>
      <c r="V458">
        <f t="shared" si="110"/>
        <v>0</v>
      </c>
      <c r="W458">
        <f t="shared" si="98"/>
        <v>0</v>
      </c>
      <c r="X458">
        <f>SUM($W$34:W458)</f>
        <v>136.11163710000017</v>
      </c>
      <c r="Y458">
        <f t="shared" si="111"/>
        <v>0</v>
      </c>
    </row>
    <row r="459" spans="1:25">
      <c r="A459">
        <v>118.0385287</v>
      </c>
      <c r="B459" s="2">
        <f t="shared" si="112"/>
        <v>3.9355179603488738E-4</v>
      </c>
      <c r="C459">
        <v>109.94138529999999</v>
      </c>
      <c r="D459" s="3">
        <f t="shared" si="113"/>
        <v>1.0489648135493912E-3</v>
      </c>
      <c r="E459" s="3">
        <f t="shared" si="99"/>
        <v>7.6419461670381296E-4</v>
      </c>
      <c r="F459" s="3">
        <f>STDEV($E$32:E459)</f>
        <v>1.309770135641899E-2</v>
      </c>
      <c r="G459" s="14">
        <f t="shared" si="102"/>
        <v>5.834570478500737E-2</v>
      </c>
      <c r="H459" s="15">
        <f>yint($B$3:B459,$D$3:D459)</f>
        <v>1.8902931479933564E-4</v>
      </c>
      <c r="I459" s="16">
        <f>MyReg($B$3:B459,$D$3:D459)</f>
        <v>0.24327390450469541</v>
      </c>
      <c r="J459" s="17">
        <f>STDEV($D$3:D459)</f>
        <v>1.336339439932735E-2</v>
      </c>
      <c r="K459" s="4">
        <f t="shared" si="100"/>
        <v>2.8477019684557819E-4</v>
      </c>
      <c r="L459">
        <f t="shared" si="103"/>
        <v>5.834570478500737E-2</v>
      </c>
      <c r="M459">
        <f>RSQ($D$3:D459,$B$3:B459)</f>
        <v>5.2205944437721717E-2</v>
      </c>
      <c r="N459">
        <v>427</v>
      </c>
      <c r="O459" t="str">
        <f t="shared" si="101"/>
        <v/>
      </c>
      <c r="P459" t="str">
        <f t="shared" si="105"/>
        <v/>
      </c>
      <c r="Q459">
        <f t="shared" si="106"/>
        <v>0</v>
      </c>
      <c r="R459">
        <f t="shared" si="107"/>
        <v>0</v>
      </c>
      <c r="S459">
        <f t="shared" si="108"/>
        <v>0</v>
      </c>
      <c r="T459">
        <f t="shared" si="109"/>
        <v>0</v>
      </c>
      <c r="U459">
        <f t="shared" si="104"/>
        <v>0</v>
      </c>
      <c r="V459">
        <f t="shared" si="110"/>
        <v>0</v>
      </c>
      <c r="W459">
        <f t="shared" si="98"/>
        <v>0</v>
      </c>
      <c r="X459">
        <f>SUM($W$34:W459)</f>
        <v>136.11163710000017</v>
      </c>
      <c r="Y459">
        <f t="shared" si="111"/>
        <v>0</v>
      </c>
    </row>
    <row r="460" spans="1:25">
      <c r="A460">
        <v>118.2053992</v>
      </c>
      <c r="B460" s="2">
        <f t="shared" si="112"/>
        <v>1.4136951878154144E-3</v>
      </c>
      <c r="C460">
        <v>112.8692224</v>
      </c>
      <c r="D460" s="3">
        <f t="shared" si="113"/>
        <v>2.663089147012963E-2</v>
      </c>
      <c r="E460" s="3">
        <f t="shared" si="99"/>
        <v>2.6040622790619136E-2</v>
      </c>
      <c r="F460" s="3">
        <f>STDEV($E$32:E460)</f>
        <v>1.3142402918454707E-2</v>
      </c>
      <c r="G460" s="14">
        <f t="shared" si="102"/>
        <v>1.9814202130458658</v>
      </c>
      <c r="H460" s="15">
        <f>yint($B$3:B460,$D$3:D460)</f>
        <v>2.4585536068969275E-4</v>
      </c>
      <c r="I460" s="16">
        <f>MyReg($B$3:B460,$D$3:D460)</f>
        <v>0.24362629355273122</v>
      </c>
      <c r="J460" s="17">
        <f>STDEV($D$3:D460)</f>
        <v>1.3405362356260395E-2</v>
      </c>
      <c r="K460" s="4">
        <f t="shared" si="100"/>
        <v>5.9026867951049444E-4</v>
      </c>
      <c r="L460">
        <f t="shared" si="103"/>
        <v>1.9814202130458658</v>
      </c>
      <c r="M460">
        <f>RSQ($D$3:D460,$B$3:B460)</f>
        <v>5.1916812612391616E-2</v>
      </c>
      <c r="N460">
        <v>428</v>
      </c>
      <c r="O460" t="str">
        <f t="shared" si="101"/>
        <v>sellY</v>
      </c>
      <c r="P460" t="str">
        <f t="shared" si="105"/>
        <v/>
      </c>
      <c r="Q460">
        <f t="shared" si="106"/>
        <v>10</v>
      </c>
      <c r="R460">
        <f t="shared" si="107"/>
        <v>0</v>
      </c>
      <c r="S460">
        <f t="shared" si="108"/>
        <v>-10</v>
      </c>
      <c r="T460">
        <f t="shared" si="109"/>
        <v>0</v>
      </c>
      <c r="U460">
        <f t="shared" si="104"/>
        <v>20</v>
      </c>
      <c r="V460">
        <f t="shared" si="110"/>
        <v>10</v>
      </c>
      <c r="W460">
        <f t="shared" ref="W460:W523" si="114">IF(ABS(V460)&gt;0,V460*(C460-A460),0)</f>
        <v>-53.361768000000041</v>
      </c>
      <c r="X460">
        <f>SUM($W$34:W460)</f>
        <v>82.749869100000126</v>
      </c>
      <c r="Y460">
        <f t="shared" si="111"/>
        <v>0</v>
      </c>
    </row>
    <row r="461" spans="1:25">
      <c r="A461">
        <v>116.942874</v>
      </c>
      <c r="B461" s="2">
        <f t="shared" si="112"/>
        <v>-1.0680774385473239E-2</v>
      </c>
      <c r="C461">
        <v>112.0555995</v>
      </c>
      <c r="D461" s="3">
        <f t="shared" si="113"/>
        <v>-7.2085452765553795E-3</v>
      </c>
      <c r="E461" s="3">
        <f t="shared" si="99"/>
        <v>-4.8334029948876381E-3</v>
      </c>
      <c r="F461" s="3">
        <f>STDEV($E$32:E461)</f>
        <v>1.312924745990017E-2</v>
      </c>
      <c r="G461" s="14">
        <f t="shared" si="102"/>
        <v>-0.36814013976429305</v>
      </c>
      <c r="H461" s="15">
        <f>yint($B$3:B461,$D$3:D461)</f>
        <v>2.3496992807685204E-4</v>
      </c>
      <c r="I461" s="16">
        <f>MyReg($B$3:B461,$D$3:D461)</f>
        <v>0.24437480987282795</v>
      </c>
      <c r="J461" s="17">
        <f>STDEV($D$3:D461)</f>
        <v>1.3395371363318597E-2</v>
      </c>
      <c r="K461" s="4">
        <f t="shared" si="100"/>
        <v>-2.3751422816677414E-3</v>
      </c>
      <c r="L461">
        <f t="shared" si="103"/>
        <v>-0.36814013976429305</v>
      </c>
      <c r="M461">
        <f>RSQ($D$3:D461,$B$3:B461)</f>
        <v>5.2289780975465154E-2</v>
      </c>
      <c r="N461">
        <v>429</v>
      </c>
      <c r="O461" t="str">
        <f t="shared" si="101"/>
        <v/>
      </c>
      <c r="P461" t="str">
        <f t="shared" si="105"/>
        <v>close</v>
      </c>
      <c r="Q461">
        <f t="shared" si="106"/>
        <v>0</v>
      </c>
      <c r="R461">
        <f t="shared" si="107"/>
        <v>0</v>
      </c>
      <c r="S461">
        <f t="shared" si="108"/>
        <v>0</v>
      </c>
      <c r="T461">
        <f t="shared" si="109"/>
        <v>0</v>
      </c>
      <c r="U461">
        <f t="shared" si="104"/>
        <v>0</v>
      </c>
      <c r="V461">
        <f t="shared" si="110"/>
        <v>-10</v>
      </c>
      <c r="W461">
        <f t="shared" si="114"/>
        <v>48.872745000000037</v>
      </c>
      <c r="X461">
        <f>SUM($W$34:W461)</f>
        <v>131.62261410000016</v>
      </c>
      <c r="Y461">
        <f t="shared" si="111"/>
        <v>131.62261410000016</v>
      </c>
    </row>
    <row r="462" spans="1:25">
      <c r="A462">
        <v>118.6155327</v>
      </c>
      <c r="B462" s="2">
        <f t="shared" si="112"/>
        <v>1.4303211839996334E-2</v>
      </c>
      <c r="C462">
        <v>112.4492398</v>
      </c>
      <c r="D462" s="3">
        <f t="shared" si="113"/>
        <v>3.5129016466508779E-3</v>
      </c>
      <c r="E462" s="3">
        <f t="shared" si="99"/>
        <v>-2.1636199949266483E-4</v>
      </c>
      <c r="F462" s="3">
        <f>STDEV($E$32:E462)</f>
        <v>1.3113981194335943E-2</v>
      </c>
      <c r="G462" s="14">
        <f t="shared" si="102"/>
        <v>-1.6498574787198392E-2</v>
      </c>
      <c r="H462" s="15">
        <f>yint($B$3:B462,$D$3:D462)</f>
        <v>2.3451606370588458E-4</v>
      </c>
      <c r="I462" s="16">
        <f>MyReg($B$3:B462,$D$3:D462)</f>
        <v>0.24433306459638887</v>
      </c>
      <c r="J462" s="17">
        <f>STDEV($D$3:D462)</f>
        <v>1.3381590564415484E-2</v>
      </c>
      <c r="K462" s="4">
        <f t="shared" si="100"/>
        <v>3.7292636461435428E-3</v>
      </c>
      <c r="L462">
        <f t="shared" si="103"/>
        <v>-1.6498574787198392E-2</v>
      </c>
      <c r="M462">
        <f>RSQ($D$3:D462,$B$3:B462)</f>
        <v>5.2405220685013715E-2</v>
      </c>
      <c r="N462">
        <v>430</v>
      </c>
      <c r="O462" t="str">
        <f t="shared" si="101"/>
        <v/>
      </c>
      <c r="P462" t="str">
        <f t="shared" si="105"/>
        <v/>
      </c>
      <c r="Q462">
        <f t="shared" si="106"/>
        <v>0</v>
      </c>
      <c r="R462">
        <f t="shared" si="107"/>
        <v>0</v>
      </c>
      <c r="S462">
        <f t="shared" si="108"/>
        <v>0</v>
      </c>
      <c r="T462">
        <f t="shared" si="109"/>
        <v>0</v>
      </c>
      <c r="U462">
        <f t="shared" si="104"/>
        <v>0</v>
      </c>
      <c r="V462">
        <f t="shared" si="110"/>
        <v>0</v>
      </c>
      <c r="W462">
        <f t="shared" si="114"/>
        <v>0</v>
      </c>
      <c r="X462">
        <f>SUM($W$34:W462)</f>
        <v>131.62261410000016</v>
      </c>
      <c r="Y462">
        <f t="shared" si="111"/>
        <v>0</v>
      </c>
    </row>
    <row r="463" spans="1:25">
      <c r="A463">
        <v>118.47523</v>
      </c>
      <c r="B463" s="2">
        <f t="shared" si="112"/>
        <v>-1.1828358125310391E-3</v>
      </c>
      <c r="C463">
        <v>111.7075128</v>
      </c>
      <c r="D463" s="3">
        <f t="shared" si="113"/>
        <v>-6.5961050632197989E-3</v>
      </c>
      <c r="E463" s="3">
        <f t="shared" si="99"/>
        <v>-6.527184589960904E-3</v>
      </c>
      <c r="F463" s="3">
        <f>STDEV($E$32:E463)</f>
        <v>1.3102645130570323E-2</v>
      </c>
      <c r="G463" s="14">
        <f t="shared" si="102"/>
        <v>-0.49815777844216047</v>
      </c>
      <c r="H463" s="15">
        <f>yint($B$3:B463,$D$3:D463)</f>
        <v>2.2026011753854745E-4</v>
      </c>
      <c r="I463" s="16">
        <f>MyReg($B$3:B463,$D$3:D463)</f>
        <v>0.24448075357022875</v>
      </c>
      <c r="J463" s="17">
        <f>STDEV($D$3:D463)</f>
        <v>1.3370945415270705E-2</v>
      </c>
      <c r="K463" s="4">
        <f t="shared" si="100"/>
        <v>-6.8920473258894812E-5</v>
      </c>
      <c r="L463">
        <f t="shared" si="103"/>
        <v>-0.49815777844216047</v>
      </c>
      <c r="M463">
        <f>RSQ($D$3:D463,$B$3:B463)</f>
        <v>5.243986022428293E-2</v>
      </c>
      <c r="N463">
        <v>431</v>
      </c>
      <c r="O463" t="str">
        <f t="shared" si="101"/>
        <v/>
      </c>
      <c r="P463" t="str">
        <f t="shared" si="105"/>
        <v/>
      </c>
      <c r="Q463">
        <f t="shared" si="106"/>
        <v>0</v>
      </c>
      <c r="R463">
        <f t="shared" si="107"/>
        <v>0</v>
      </c>
      <c r="S463">
        <f t="shared" si="108"/>
        <v>0</v>
      </c>
      <c r="T463">
        <f t="shared" si="109"/>
        <v>0</v>
      </c>
      <c r="U463">
        <f t="shared" si="104"/>
        <v>0</v>
      </c>
      <c r="V463">
        <f t="shared" si="110"/>
        <v>0</v>
      </c>
      <c r="W463">
        <f t="shared" si="114"/>
        <v>0</v>
      </c>
      <c r="X463">
        <f>SUM($W$34:W463)</f>
        <v>131.62261410000016</v>
      </c>
      <c r="Y463">
        <f t="shared" si="111"/>
        <v>0</v>
      </c>
    </row>
    <row r="464" spans="1:25">
      <c r="A464">
        <v>117.9333833</v>
      </c>
      <c r="B464" s="2">
        <f t="shared" si="112"/>
        <v>-4.5735019885590738E-3</v>
      </c>
      <c r="C464">
        <v>111.8084382</v>
      </c>
      <c r="D464" s="3">
        <f t="shared" si="113"/>
        <v>9.0347907200019736E-4</v>
      </c>
      <c r="E464" s="3">
        <f t="shared" si="99"/>
        <v>1.7968270155066654E-3</v>
      </c>
      <c r="F464" s="3">
        <f>STDEV($E$32:E464)</f>
        <v>1.3087728344054578E-2</v>
      </c>
      <c r="G464" s="14">
        <f t="shared" si="102"/>
        <v>0.13729097733931175</v>
      </c>
      <c r="H464" s="15">
        <f>yint($B$3:B464,$D$3:D464)</f>
        <v>2.2421356078676147E-4</v>
      </c>
      <c r="I464" s="16">
        <f>MyReg($B$3:B464,$D$3:D464)</f>
        <v>0.24435574907125554</v>
      </c>
      <c r="J464" s="17">
        <f>STDEV($D$3:D464)</f>
        <v>1.3356462142531202E-2</v>
      </c>
      <c r="K464" s="4">
        <f t="shared" si="100"/>
        <v>-8.933479435064679E-4</v>
      </c>
      <c r="L464">
        <f t="shared" si="103"/>
        <v>0.13729097733931175</v>
      </c>
      <c r="M464">
        <f>RSQ($D$3:D464,$B$3:B464)</f>
        <v>5.2404293166940105E-2</v>
      </c>
      <c r="N464">
        <v>432</v>
      </c>
      <c r="O464" t="str">
        <f t="shared" si="101"/>
        <v/>
      </c>
      <c r="P464" t="str">
        <f t="shared" si="105"/>
        <v/>
      </c>
      <c r="Q464">
        <f t="shared" si="106"/>
        <v>0</v>
      </c>
      <c r="R464">
        <f t="shared" si="107"/>
        <v>0</v>
      </c>
      <c r="S464">
        <f t="shared" si="108"/>
        <v>0</v>
      </c>
      <c r="T464">
        <f t="shared" si="109"/>
        <v>0</v>
      </c>
      <c r="U464">
        <f t="shared" si="104"/>
        <v>0</v>
      </c>
      <c r="V464">
        <f t="shared" si="110"/>
        <v>0</v>
      </c>
      <c r="W464">
        <f t="shared" si="114"/>
        <v>0</v>
      </c>
      <c r="X464">
        <f>SUM($W$34:W464)</f>
        <v>131.62261410000016</v>
      </c>
      <c r="Y464">
        <f t="shared" si="111"/>
        <v>0</v>
      </c>
    </row>
    <row r="465" spans="1:25">
      <c r="A465">
        <v>117.9433811</v>
      </c>
      <c r="B465" s="2">
        <f t="shared" si="112"/>
        <v>8.4774978214278174E-5</v>
      </c>
      <c r="C465">
        <v>111.9502737</v>
      </c>
      <c r="D465" s="3">
        <f t="shared" si="113"/>
        <v>1.2685581006532576E-3</v>
      </c>
      <c r="E465" s="3">
        <f t="shared" si="99"/>
        <v>1.0214166893330802E-3</v>
      </c>
      <c r="F465" s="3">
        <f>STDEV($E$32:E465)</f>
        <v>1.3072682598506141E-2</v>
      </c>
      <c r="G465" s="14">
        <f t="shared" si="102"/>
        <v>7.8133671619151898E-2</v>
      </c>
      <c r="H465" s="15">
        <f>yint($B$3:B465,$D$3:D465)</f>
        <v>2.264265785156758E-4</v>
      </c>
      <c r="I465" s="16">
        <f>MyReg($B$3:B465,$D$3:D465)</f>
        <v>0.24435078888658085</v>
      </c>
      <c r="J465" s="17">
        <f>STDEV($D$3:D465)</f>
        <v>1.3342070478623624E-2</v>
      </c>
      <c r="K465" s="4">
        <f t="shared" si="100"/>
        <v>2.4714141132017739E-4</v>
      </c>
      <c r="L465">
        <f t="shared" si="103"/>
        <v>7.8133671619151898E-2</v>
      </c>
      <c r="M465">
        <f>RSQ($D$3:D465,$B$3:B465)</f>
        <v>5.2401695295375771E-2</v>
      </c>
      <c r="N465">
        <v>433</v>
      </c>
      <c r="O465" t="str">
        <f t="shared" si="101"/>
        <v/>
      </c>
      <c r="P465" t="str">
        <f t="shared" si="105"/>
        <v/>
      </c>
      <c r="Q465">
        <f t="shared" si="106"/>
        <v>0</v>
      </c>
      <c r="R465">
        <f t="shared" si="107"/>
        <v>0</v>
      </c>
      <c r="S465">
        <f t="shared" si="108"/>
        <v>0</v>
      </c>
      <c r="T465">
        <f t="shared" si="109"/>
        <v>0</v>
      </c>
      <c r="U465">
        <f t="shared" si="104"/>
        <v>0</v>
      </c>
      <c r="V465">
        <f t="shared" si="110"/>
        <v>0</v>
      </c>
      <c r="W465">
        <f t="shared" si="114"/>
        <v>0</v>
      </c>
      <c r="X465">
        <f>SUM($W$34:W465)</f>
        <v>131.62261410000016</v>
      </c>
      <c r="Y465">
        <f t="shared" si="111"/>
        <v>0</v>
      </c>
    </row>
    <row r="466" spans="1:25">
      <c r="A466">
        <v>119.5778425</v>
      </c>
      <c r="B466" s="2">
        <f t="shared" si="112"/>
        <v>1.3858017166848938E-2</v>
      </c>
      <c r="C466">
        <v>114.1064721</v>
      </c>
      <c r="D466" s="3">
        <f t="shared" si="113"/>
        <v>1.9260322719514781E-2</v>
      </c>
      <c r="E466" s="3">
        <f t="shared" si="99"/>
        <v>1.5575156317941159E-2</v>
      </c>
      <c r="F466" s="3">
        <f>STDEV($E$32:E466)</f>
        <v>1.3078688215726679E-2</v>
      </c>
      <c r="G466" s="14">
        <f t="shared" si="102"/>
        <v>1.1908806189914798</v>
      </c>
      <c r="H466" s="15">
        <f>yint($B$3:B466,$D$3:D466)</f>
        <v>2.5880756253988035E-4</v>
      </c>
      <c r="I466" s="16">
        <f>MyReg($B$3:B466,$D$3:D466)</f>
        <v>0.24724740904710782</v>
      </c>
      <c r="J466" s="17">
        <f>STDEV($D$3:D466)</f>
        <v>1.3356589419366802E-2</v>
      </c>
      <c r="K466" s="4">
        <f t="shared" si="100"/>
        <v>3.6851664015736217E-3</v>
      </c>
      <c r="L466">
        <f t="shared" si="103"/>
        <v>1.1908806189914798</v>
      </c>
      <c r="M466">
        <f>RSQ($D$3:D466,$B$3:B466)</f>
        <v>5.3552303359526501E-2</v>
      </c>
      <c r="N466">
        <v>434</v>
      </c>
      <c r="O466" t="str">
        <f t="shared" si="101"/>
        <v/>
      </c>
      <c r="P466" t="str">
        <f t="shared" si="105"/>
        <v/>
      </c>
      <c r="Q466">
        <f t="shared" si="106"/>
        <v>0</v>
      </c>
      <c r="R466">
        <f t="shared" si="107"/>
        <v>0</v>
      </c>
      <c r="S466">
        <f t="shared" si="108"/>
        <v>0</v>
      </c>
      <c r="T466">
        <f t="shared" si="109"/>
        <v>0</v>
      </c>
      <c r="U466">
        <f t="shared" si="104"/>
        <v>0</v>
      </c>
      <c r="V466">
        <f t="shared" si="110"/>
        <v>0</v>
      </c>
      <c r="W466">
        <f t="shared" si="114"/>
        <v>0</v>
      </c>
      <c r="X466">
        <f>SUM($W$34:W466)</f>
        <v>131.62261410000016</v>
      </c>
      <c r="Y466">
        <f t="shared" si="111"/>
        <v>0</v>
      </c>
    </row>
    <row r="467" spans="1:25">
      <c r="A467">
        <v>119.9383091</v>
      </c>
      <c r="B467" s="2">
        <f t="shared" si="112"/>
        <v>3.014493257812334E-3</v>
      </c>
      <c r="C467">
        <v>115.88704300000001</v>
      </c>
      <c r="D467" s="3">
        <f t="shared" si="113"/>
        <v>1.5604468942301133E-2</v>
      </c>
      <c r="E467" s="3">
        <f t="shared" si="99"/>
        <v>1.4567629785993023E-2</v>
      </c>
      <c r="F467" s="3">
        <f>STDEV($E$32:E467)</f>
        <v>1.3081928375371516E-2</v>
      </c>
      <c r="G467" s="14">
        <f t="shared" si="102"/>
        <v>1.113568991358991</v>
      </c>
      <c r="H467" s="15">
        <f>yint($B$3:B467,$D$3:D467)</f>
        <v>2.8996528794407396E-4</v>
      </c>
      <c r="I467" s="16">
        <f>MyReg($B$3:B467,$D$3:D467)</f>
        <v>0.2477610014314825</v>
      </c>
      <c r="J467" s="17">
        <f>STDEV($D$3:D467)</f>
        <v>1.3360871795592864E-2</v>
      </c>
      <c r="K467" s="4">
        <f t="shared" si="100"/>
        <v>1.03683915630811E-3</v>
      </c>
      <c r="L467">
        <f t="shared" si="103"/>
        <v>1.113568991358991</v>
      </c>
      <c r="M467">
        <f>RSQ($D$3:D467,$B$3:B467)</f>
        <v>5.3629542886855598E-2</v>
      </c>
      <c r="N467">
        <v>435</v>
      </c>
      <c r="O467" t="str">
        <f t="shared" si="101"/>
        <v/>
      </c>
      <c r="P467" t="str">
        <f t="shared" si="105"/>
        <v/>
      </c>
      <c r="Q467">
        <f t="shared" si="106"/>
        <v>0</v>
      </c>
      <c r="R467">
        <f t="shared" si="107"/>
        <v>0</v>
      </c>
      <c r="S467">
        <f t="shared" si="108"/>
        <v>0</v>
      </c>
      <c r="T467">
        <f t="shared" si="109"/>
        <v>0</v>
      </c>
      <c r="U467">
        <f t="shared" si="104"/>
        <v>0</v>
      </c>
      <c r="V467">
        <f t="shared" si="110"/>
        <v>0</v>
      </c>
      <c r="W467">
        <f t="shared" si="114"/>
        <v>0</v>
      </c>
      <c r="X467">
        <f>SUM($W$34:W467)</f>
        <v>131.62261410000016</v>
      </c>
      <c r="Y467">
        <f t="shared" si="111"/>
        <v>0</v>
      </c>
    </row>
    <row r="468" spans="1:25">
      <c r="A468">
        <v>118.836985</v>
      </c>
      <c r="B468" s="2">
        <f t="shared" si="112"/>
        <v>-9.1824214320193331E-3</v>
      </c>
      <c r="C468">
        <v>114.4037886</v>
      </c>
      <c r="D468" s="3">
        <f t="shared" si="113"/>
        <v>-1.2799139244583252E-2</v>
      </c>
      <c r="E468" s="3">
        <f t="shared" si="99"/>
        <v>-1.0777009887974864E-2</v>
      </c>
      <c r="F468" s="3">
        <f>STDEV($E$32:E468)</f>
        <v>1.3077396129763141E-2</v>
      </c>
      <c r="G468" s="14">
        <f t="shared" si="102"/>
        <v>-0.82409447423919691</v>
      </c>
      <c r="H468" s="15">
        <f>yint($B$3:B468,$D$3:D468)</f>
        <v>2.6611488791260663E-4</v>
      </c>
      <c r="I468" s="16">
        <f>MyReg($B$3:B468,$D$3:D468)</f>
        <v>0.24919834724006773</v>
      </c>
      <c r="J468" s="17">
        <f>STDEV($D$3:D468)</f>
        <v>1.3360509039761041E-2</v>
      </c>
      <c r="K468" s="4">
        <f t="shared" si="100"/>
        <v>-2.022129356608387E-3</v>
      </c>
      <c r="L468">
        <f t="shared" si="103"/>
        <v>-0.82409447423919691</v>
      </c>
      <c r="M468">
        <f>RSQ($D$3:D468,$B$3:B468)</f>
        <v>5.4209399863117853E-2</v>
      </c>
      <c r="N468">
        <v>436</v>
      </c>
      <c r="O468" t="str">
        <f t="shared" si="101"/>
        <v/>
      </c>
      <c r="P468" t="str">
        <f t="shared" si="105"/>
        <v/>
      </c>
      <c r="Q468">
        <f t="shared" si="106"/>
        <v>0</v>
      </c>
      <c r="R468">
        <f t="shared" si="107"/>
        <v>0</v>
      </c>
      <c r="S468">
        <f t="shared" si="108"/>
        <v>0</v>
      </c>
      <c r="T468">
        <f t="shared" si="109"/>
        <v>0</v>
      </c>
      <c r="U468">
        <f t="shared" si="104"/>
        <v>0</v>
      </c>
      <c r="V468">
        <f t="shared" si="110"/>
        <v>0</v>
      </c>
      <c r="W468">
        <f t="shared" si="114"/>
        <v>0</v>
      </c>
      <c r="X468">
        <f>SUM($W$34:W468)</f>
        <v>131.62261410000016</v>
      </c>
      <c r="Y468">
        <f t="shared" si="111"/>
        <v>0</v>
      </c>
    </row>
    <row r="469" spans="1:25">
      <c r="A469">
        <v>118.111096</v>
      </c>
      <c r="B469" s="2">
        <f t="shared" si="112"/>
        <v>-6.1082751300026265E-3</v>
      </c>
      <c r="C469">
        <v>116.48834429999999</v>
      </c>
      <c r="D469" s="3">
        <f t="shared" si="113"/>
        <v>1.8221037305752266E-2</v>
      </c>
      <c r="E469" s="3">
        <f t="shared" si="99"/>
        <v>1.9423888456665629E-2</v>
      </c>
      <c r="F469" s="3">
        <f>STDEV($E$32:E469)</f>
        <v>1.3094884420500608E-2</v>
      </c>
      <c r="G469" s="14">
        <f t="shared" si="102"/>
        <v>1.4833188161826532</v>
      </c>
      <c r="H469" s="15">
        <f>yint($B$3:B469,$D$3:D469)</f>
        <v>3.085848760847438E-4</v>
      </c>
      <c r="I469" s="16">
        <f>MyReg($B$3:B469,$D$3:D469)</f>
        <v>0.2474407250541539</v>
      </c>
      <c r="J469" s="17">
        <f>STDEV($D$3:D469)</f>
        <v>1.3371682951241132E-2</v>
      </c>
      <c r="K469" s="4">
        <f t="shared" si="100"/>
        <v>-1.2028511509133623E-3</v>
      </c>
      <c r="L469">
        <f t="shared" si="103"/>
        <v>1.4833188161826532</v>
      </c>
      <c r="M469">
        <f>RSQ($D$3:D469,$B$3:B469)</f>
        <v>5.327513761316479E-2</v>
      </c>
      <c r="N469">
        <v>437</v>
      </c>
      <c r="O469" t="str">
        <f t="shared" si="101"/>
        <v/>
      </c>
      <c r="P469" t="str">
        <f t="shared" si="105"/>
        <v/>
      </c>
      <c r="Q469">
        <f t="shared" si="106"/>
        <v>0</v>
      </c>
      <c r="R469">
        <f t="shared" si="107"/>
        <v>0</v>
      </c>
      <c r="S469">
        <f t="shared" si="108"/>
        <v>0</v>
      </c>
      <c r="T469">
        <f t="shared" si="109"/>
        <v>0</v>
      </c>
      <c r="U469">
        <f t="shared" si="104"/>
        <v>0</v>
      </c>
      <c r="V469">
        <f t="shared" si="110"/>
        <v>0</v>
      </c>
      <c r="W469">
        <f t="shared" si="114"/>
        <v>0</v>
      </c>
      <c r="X469">
        <f>SUM($W$34:W469)</f>
        <v>131.62261410000016</v>
      </c>
      <c r="Y469">
        <f t="shared" si="111"/>
        <v>0</v>
      </c>
    </row>
    <row r="470" spans="1:25">
      <c r="A470">
        <v>117.9437818</v>
      </c>
      <c r="B470" s="2">
        <f t="shared" si="112"/>
        <v>-1.4165832480295243E-3</v>
      </c>
      <c r="C470">
        <v>117.4372484</v>
      </c>
      <c r="D470" s="3">
        <f t="shared" si="113"/>
        <v>8.1459145608270712E-3</v>
      </c>
      <c r="E470" s="3">
        <f t="shared" si="99"/>
        <v>8.1699694886640563E-3</v>
      </c>
      <c r="F470" s="3">
        <f>STDEV($E$32:E470)</f>
        <v>1.3085480151635253E-2</v>
      </c>
      <c r="G470" s="14">
        <f t="shared" si="102"/>
        <v>0.62435381766584086</v>
      </c>
      <c r="H470" s="15">
        <f>yint($B$3:B470,$D$3:D470)</f>
        <v>3.2617001343082912E-4</v>
      </c>
      <c r="I470" s="16">
        <f>MyReg($B$3:B470,$D$3:D470)</f>
        <v>0.24723216355620473</v>
      </c>
      <c r="J470" s="17">
        <f>STDEV($D$3:D470)</f>
        <v>1.3362136995212149E-2</v>
      </c>
      <c r="K470" s="4">
        <f t="shared" si="100"/>
        <v>-2.4054927836985977E-5</v>
      </c>
      <c r="L470">
        <f t="shared" si="103"/>
        <v>0.62435381766584086</v>
      </c>
      <c r="M470">
        <f>RSQ($D$3:D470,$B$3:B470)</f>
        <v>5.3149841273150041E-2</v>
      </c>
      <c r="N470">
        <v>438</v>
      </c>
      <c r="O470" t="str">
        <f t="shared" si="101"/>
        <v/>
      </c>
      <c r="P470" t="str">
        <f t="shared" si="105"/>
        <v/>
      </c>
      <c r="Q470">
        <f t="shared" si="106"/>
        <v>0</v>
      </c>
      <c r="R470">
        <f t="shared" si="107"/>
        <v>0</v>
      </c>
      <c r="S470">
        <f t="shared" si="108"/>
        <v>0</v>
      </c>
      <c r="T470">
        <f t="shared" si="109"/>
        <v>0</v>
      </c>
      <c r="U470">
        <f t="shared" si="104"/>
        <v>0</v>
      </c>
      <c r="V470">
        <f t="shared" si="110"/>
        <v>0</v>
      </c>
      <c r="W470">
        <f t="shared" si="114"/>
        <v>0</v>
      </c>
      <c r="X470">
        <f>SUM($W$34:W470)</f>
        <v>131.62261410000016</v>
      </c>
      <c r="Y470">
        <f t="shared" si="111"/>
        <v>0</v>
      </c>
    </row>
    <row r="471" spans="1:25">
      <c r="A471">
        <v>116.46106210000001</v>
      </c>
      <c r="B471" s="2">
        <f t="shared" si="112"/>
        <v>-1.2571410526027324E-2</v>
      </c>
      <c r="C471">
        <v>115.0034356</v>
      </c>
      <c r="D471" s="3">
        <f t="shared" si="113"/>
        <v>-2.0724368402350937E-2</v>
      </c>
      <c r="E471" s="3">
        <f t="shared" si="99"/>
        <v>-1.7862666426827795E-2</v>
      </c>
      <c r="F471" s="3">
        <f>STDEV($E$32:E471)</f>
        <v>1.3098907985475769E-2</v>
      </c>
      <c r="G471" s="14">
        <f t="shared" si="102"/>
        <v>-1.3636759985362246</v>
      </c>
      <c r="H471" s="15">
        <f>yint($B$3:B471,$D$3:D471)</f>
        <v>2.8662378266296445E-4</v>
      </c>
      <c r="I471" s="16">
        <f>MyReg($B$3:B471,$D$3:D471)</f>
        <v>0.25043536297442065</v>
      </c>
      <c r="J471" s="17">
        <f>STDEV($D$3:D471)</f>
        <v>1.3383556979439368E-2</v>
      </c>
      <c r="K471" s="4">
        <f t="shared" si="100"/>
        <v>-2.8617019755231409E-3</v>
      </c>
      <c r="L471">
        <f t="shared" si="103"/>
        <v>-1.3636759985362246</v>
      </c>
      <c r="M471">
        <f>RSQ($D$3:D471,$B$3:B471)</f>
        <v>5.4371627205854388E-2</v>
      </c>
      <c r="N471">
        <v>439</v>
      </c>
      <c r="O471" t="str">
        <f t="shared" si="101"/>
        <v/>
      </c>
      <c r="P471" t="str">
        <f t="shared" si="105"/>
        <v/>
      </c>
      <c r="Q471">
        <f t="shared" si="106"/>
        <v>0</v>
      </c>
      <c r="R471">
        <f t="shared" si="107"/>
        <v>0</v>
      </c>
      <c r="S471">
        <f t="shared" si="108"/>
        <v>0</v>
      </c>
      <c r="T471">
        <f t="shared" si="109"/>
        <v>0</v>
      </c>
      <c r="U471">
        <f t="shared" si="104"/>
        <v>0</v>
      </c>
      <c r="V471">
        <f t="shared" si="110"/>
        <v>0</v>
      </c>
      <c r="W471">
        <f t="shared" si="114"/>
        <v>0</v>
      </c>
      <c r="X471">
        <f>SUM($W$34:W471)</f>
        <v>131.62261410000016</v>
      </c>
      <c r="Y471">
        <f t="shared" si="111"/>
        <v>0</v>
      </c>
    </row>
    <row r="472" spans="1:25">
      <c r="A472">
        <v>116.20459320000001</v>
      </c>
      <c r="B472" s="2">
        <f t="shared" si="112"/>
        <v>-2.2021858239604833E-3</v>
      </c>
      <c r="C472">
        <v>116.3541522</v>
      </c>
      <c r="D472" s="3">
        <f t="shared" si="113"/>
        <v>1.1745010859484257E-2</v>
      </c>
      <c r="E472" s="3">
        <f t="shared" si="99"/>
        <v>1.1983222984859227E-2</v>
      </c>
      <c r="F472" s="3">
        <f>STDEV($E$32:E472)</f>
        <v>1.3096120633503667E-2</v>
      </c>
      <c r="G472" s="14">
        <f t="shared" si="102"/>
        <v>0.91502081572176985</v>
      </c>
      <c r="H472" s="15">
        <f>yint($B$3:B472,$D$3:D472)</f>
        <v>3.1234724502448978E-4</v>
      </c>
      <c r="I472" s="16">
        <f>MyReg($B$3:B472,$D$3:D472)</f>
        <v>0.25000586435949201</v>
      </c>
      <c r="J472" s="17">
        <f>STDEV($D$3:D472)</f>
        <v>1.3379541699165245E-2</v>
      </c>
      <c r="K472" s="4">
        <f t="shared" si="100"/>
        <v>-2.3821212537497095E-4</v>
      </c>
      <c r="L472">
        <f t="shared" si="103"/>
        <v>0.91502081572176985</v>
      </c>
      <c r="M472">
        <f>RSQ($D$3:D472,$B$3:B472)</f>
        <v>5.4107256170196377E-2</v>
      </c>
      <c r="N472">
        <v>440</v>
      </c>
      <c r="O472" t="str">
        <f t="shared" si="101"/>
        <v/>
      </c>
      <c r="P472" t="str">
        <f t="shared" si="105"/>
        <v/>
      </c>
      <c r="Q472">
        <f t="shared" si="106"/>
        <v>0</v>
      </c>
      <c r="R472">
        <f t="shared" si="107"/>
        <v>0</v>
      </c>
      <c r="S472">
        <f t="shared" si="108"/>
        <v>0</v>
      </c>
      <c r="T472">
        <f t="shared" si="109"/>
        <v>0</v>
      </c>
      <c r="U472">
        <f t="shared" si="104"/>
        <v>0</v>
      </c>
      <c r="V472">
        <f t="shared" si="110"/>
        <v>0</v>
      </c>
      <c r="W472">
        <f t="shared" si="114"/>
        <v>0</v>
      </c>
      <c r="X472">
        <f>SUM($W$34:W472)</f>
        <v>131.62261410000016</v>
      </c>
      <c r="Y472">
        <f t="shared" si="111"/>
        <v>0</v>
      </c>
    </row>
    <row r="473" spans="1:25">
      <c r="A473">
        <v>115.4280242</v>
      </c>
      <c r="B473" s="2">
        <f t="shared" si="112"/>
        <v>-6.6827737064012122E-3</v>
      </c>
      <c r="C473">
        <v>117.6810863</v>
      </c>
      <c r="D473" s="3">
        <f t="shared" si="113"/>
        <v>1.140426942150847E-2</v>
      </c>
      <c r="E473" s="3">
        <f t="shared" si="99"/>
        <v>1.2726799530561876E-2</v>
      </c>
      <c r="F473" s="3">
        <f>STDEV($E$32:E473)</f>
        <v>1.3094853946613172E-2</v>
      </c>
      <c r="G473" s="14">
        <f t="shared" si="102"/>
        <v>0.97189320189810224</v>
      </c>
      <c r="H473" s="15">
        <f>yint($B$3:B473,$D$3:D473)</f>
        <v>3.3991768267316742E-4</v>
      </c>
      <c r="I473" s="16">
        <f>MyReg($B$3:B473,$D$3:D473)</f>
        <v>0.24876613585376509</v>
      </c>
      <c r="J473" s="17">
        <f>STDEV($D$3:D473)</f>
        <v>1.337489504376691E-2</v>
      </c>
      <c r="K473" s="4">
        <f t="shared" si="100"/>
        <v>-1.3225301090534058E-3</v>
      </c>
      <c r="L473">
        <f t="shared" si="103"/>
        <v>0.97189320189810224</v>
      </c>
      <c r="M473">
        <f>RSQ($D$3:D473,$B$3:B473)</f>
        <v>5.3531954946332498E-2</v>
      </c>
      <c r="N473">
        <v>441</v>
      </c>
      <c r="O473" t="str">
        <f t="shared" si="101"/>
        <v/>
      </c>
      <c r="P473" t="str">
        <f t="shared" si="105"/>
        <v/>
      </c>
      <c r="Q473">
        <f t="shared" si="106"/>
        <v>0</v>
      </c>
      <c r="R473">
        <f t="shared" si="107"/>
        <v>0</v>
      </c>
      <c r="S473">
        <f t="shared" si="108"/>
        <v>0</v>
      </c>
      <c r="T473">
        <f t="shared" si="109"/>
        <v>0</v>
      </c>
      <c r="U473">
        <f t="shared" si="104"/>
        <v>0</v>
      </c>
      <c r="V473">
        <f t="shared" si="110"/>
        <v>0</v>
      </c>
      <c r="W473">
        <f t="shared" si="114"/>
        <v>0</v>
      </c>
      <c r="X473">
        <f>SUM($W$34:W473)</f>
        <v>131.62261410000016</v>
      </c>
      <c r="Y473">
        <f t="shared" si="111"/>
        <v>0</v>
      </c>
    </row>
    <row r="474" spans="1:25">
      <c r="A474">
        <v>116.9273226</v>
      </c>
      <c r="B474" s="2">
        <f t="shared" si="112"/>
        <v>1.2989032866075868E-2</v>
      </c>
      <c r="C474">
        <v>116.8819367</v>
      </c>
      <c r="D474" s="3">
        <f t="shared" si="113"/>
        <v>-6.7908074706479566E-3</v>
      </c>
      <c r="E474" s="3">
        <f t="shared" si="99"/>
        <v>-1.0317503810417768E-2</v>
      </c>
      <c r="F474" s="3">
        <f>STDEV($E$32:E474)</f>
        <v>1.3089602883331095E-2</v>
      </c>
      <c r="G474" s="14">
        <f t="shared" si="102"/>
        <v>-0.78822130070550533</v>
      </c>
      <c r="H474" s="15">
        <f>yint($B$3:B474,$D$3:D474)</f>
        <v>3.1869524640468992E-4</v>
      </c>
      <c r="I474" s="16">
        <f>MyReg($B$3:B474,$D$3:D474)</f>
        <v>0.24697767158197165</v>
      </c>
      <c r="J474" s="17">
        <f>STDEV($D$3:D474)</f>
        <v>1.3364828107393683E-2</v>
      </c>
      <c r="K474" s="4">
        <f t="shared" si="100"/>
        <v>3.5266963397698118E-3</v>
      </c>
      <c r="L474">
        <f t="shared" si="103"/>
        <v>-0.78822130070550533</v>
      </c>
      <c r="M474">
        <f>RSQ($D$3:D474,$B$3:B474)</f>
        <v>5.2847320330047104E-2</v>
      </c>
      <c r="N474">
        <v>442</v>
      </c>
      <c r="O474" t="str">
        <f t="shared" si="101"/>
        <v/>
      </c>
      <c r="P474" t="str">
        <f t="shared" si="105"/>
        <v/>
      </c>
      <c r="Q474">
        <f t="shared" si="106"/>
        <v>0</v>
      </c>
      <c r="R474">
        <f t="shared" si="107"/>
        <v>0</v>
      </c>
      <c r="S474">
        <f t="shared" si="108"/>
        <v>0</v>
      </c>
      <c r="T474">
        <f t="shared" si="109"/>
        <v>0</v>
      </c>
      <c r="U474">
        <f t="shared" si="104"/>
        <v>0</v>
      </c>
      <c r="V474">
        <f t="shared" si="110"/>
        <v>0</v>
      </c>
      <c r="W474">
        <f t="shared" si="114"/>
        <v>0</v>
      </c>
      <c r="X474">
        <f>SUM($W$34:W474)</f>
        <v>131.62261410000016</v>
      </c>
      <c r="Y474">
        <f t="shared" si="111"/>
        <v>0</v>
      </c>
    </row>
    <row r="475" spans="1:25">
      <c r="A475">
        <v>118.7159989</v>
      </c>
      <c r="B475" s="2">
        <f t="shared" si="112"/>
        <v>1.5297333935533097E-2</v>
      </c>
      <c r="C475">
        <v>117.5889624</v>
      </c>
      <c r="D475" s="3">
        <f t="shared" si="113"/>
        <v>6.0490587336409409E-3</v>
      </c>
      <c r="E475" s="3">
        <f t="shared" si="99"/>
        <v>1.9422417399727132E-3</v>
      </c>
      <c r="F475" s="3">
        <f>STDEV($E$32:E475)</f>
        <v>1.3075084526818348E-2</v>
      </c>
      <c r="G475" s="14">
        <f t="shared" si="102"/>
        <v>0.14854525307189984</v>
      </c>
      <c r="H475" s="15">
        <f>yint($B$3:B475,$D$3:D475)</f>
        <v>3.2264803689991084E-4</v>
      </c>
      <c r="I475" s="16">
        <f>MyReg($B$3:B475,$D$3:D475)</f>
        <v>0.24737440999299476</v>
      </c>
      <c r="J475" s="17">
        <f>STDEV($D$3:D475)</f>
        <v>1.3353171910406027E-2</v>
      </c>
      <c r="K475" s="4">
        <f t="shared" si="100"/>
        <v>4.1068169936682277E-3</v>
      </c>
      <c r="L475">
        <f t="shared" si="103"/>
        <v>0.14854525307189984</v>
      </c>
      <c r="M475">
        <f>RSQ($D$3:D475,$B$3:B475)</f>
        <v>5.3158159739038834E-2</v>
      </c>
      <c r="N475">
        <v>443</v>
      </c>
      <c r="O475" t="str">
        <f t="shared" si="101"/>
        <v/>
      </c>
      <c r="P475" t="str">
        <f t="shared" si="105"/>
        <v/>
      </c>
      <c r="Q475">
        <f t="shared" si="106"/>
        <v>0</v>
      </c>
      <c r="R475">
        <f t="shared" si="107"/>
        <v>0</v>
      </c>
      <c r="S475">
        <f t="shared" si="108"/>
        <v>0</v>
      </c>
      <c r="T475">
        <f t="shared" si="109"/>
        <v>0</v>
      </c>
      <c r="U475">
        <f t="shared" si="104"/>
        <v>0</v>
      </c>
      <c r="V475">
        <f t="shared" si="110"/>
        <v>0</v>
      </c>
      <c r="W475">
        <f t="shared" si="114"/>
        <v>0</v>
      </c>
      <c r="X475">
        <f>SUM($W$34:W475)</f>
        <v>131.62261410000016</v>
      </c>
      <c r="Y475">
        <f t="shared" si="111"/>
        <v>0</v>
      </c>
    </row>
    <row r="476" spans="1:25">
      <c r="A476">
        <v>116.368362</v>
      </c>
      <c r="B476" s="2">
        <f t="shared" si="112"/>
        <v>-1.9775236040236847E-2</v>
      </c>
      <c r="C476">
        <v>116.6079652</v>
      </c>
      <c r="D476" s="3">
        <f t="shared" si="113"/>
        <v>-8.3425959373888015E-3</v>
      </c>
      <c r="E476" s="3">
        <f t="shared" si="99"/>
        <v>-3.7445092660065692E-3</v>
      </c>
      <c r="F476" s="3">
        <f>STDEV($E$32:E476)</f>
        <v>1.3061687855439472E-2</v>
      </c>
      <c r="G476" s="14">
        <f t="shared" si="102"/>
        <v>-0.28667882033692821</v>
      </c>
      <c r="H476" s="15">
        <f>yint($B$3:B476,$D$3:D476)</f>
        <v>3.1427581887166875E-4</v>
      </c>
      <c r="I476" s="16">
        <f>MyReg($B$3:B476,$D$3:D476)</f>
        <v>0.24840980306170168</v>
      </c>
      <c r="J476" s="17">
        <f>STDEV($D$3:D476)</f>
        <v>1.3345135640950582E-2</v>
      </c>
      <c r="K476" s="4">
        <f t="shared" si="100"/>
        <v>-4.5980866713822323E-3</v>
      </c>
      <c r="L476">
        <f t="shared" si="103"/>
        <v>-0.28667882033692821</v>
      </c>
      <c r="M476">
        <f>RSQ($D$3:D476,$B$3:B476)</f>
        <v>5.385392388981558E-2</v>
      </c>
      <c r="N476">
        <v>444</v>
      </c>
      <c r="O476" t="str">
        <f t="shared" si="101"/>
        <v/>
      </c>
      <c r="P476" t="str">
        <f t="shared" si="105"/>
        <v/>
      </c>
      <c r="Q476">
        <f t="shared" si="106"/>
        <v>0</v>
      </c>
      <c r="R476">
        <f t="shared" si="107"/>
        <v>0</v>
      </c>
      <c r="S476">
        <f t="shared" si="108"/>
        <v>0</v>
      </c>
      <c r="T476">
        <f t="shared" si="109"/>
        <v>0</v>
      </c>
      <c r="U476">
        <f t="shared" si="104"/>
        <v>0</v>
      </c>
      <c r="V476">
        <f t="shared" si="110"/>
        <v>0</v>
      </c>
      <c r="W476">
        <f t="shared" si="114"/>
        <v>0</v>
      </c>
      <c r="X476">
        <f>SUM($W$34:W476)</f>
        <v>131.62261410000016</v>
      </c>
      <c r="Y476">
        <f t="shared" si="111"/>
        <v>0</v>
      </c>
    </row>
    <row r="477" spans="1:25">
      <c r="A477">
        <v>115.7587303</v>
      </c>
      <c r="B477" s="2">
        <f t="shared" si="112"/>
        <v>-5.2388096689030342E-3</v>
      </c>
      <c r="C477">
        <v>118.1549119</v>
      </c>
      <c r="D477" s="3">
        <f t="shared" si="113"/>
        <v>1.3266218112517126E-2</v>
      </c>
      <c r="E477" s="3">
        <f t="shared" si="99"/>
        <v>1.4217176465621843E-2</v>
      </c>
      <c r="F477" s="3">
        <f>STDEV($E$32:E477)</f>
        <v>1.3063906293598861E-2</v>
      </c>
      <c r="G477" s="14">
        <f t="shared" si="102"/>
        <v>1.0882791215815801</v>
      </c>
      <c r="H477" s="15">
        <f>yint($B$3:B477,$D$3:D477)</f>
        <v>3.4470311066645161E-4</v>
      </c>
      <c r="I477" s="16">
        <f>MyReg($B$3:B477,$D$3:D477)</f>
        <v>0.24731981989383295</v>
      </c>
      <c r="J477" s="17">
        <f>STDEV($D$3:D477)</f>
        <v>1.3344089406154948E-2</v>
      </c>
      <c r="K477" s="4">
        <f t="shared" si="100"/>
        <v>-9.5095835310471746E-4</v>
      </c>
      <c r="L477">
        <f t="shared" si="103"/>
        <v>1.0882791215815801</v>
      </c>
      <c r="M477">
        <f>RSQ($D$3:D477,$B$3:B477)</f>
        <v>5.3301061948128385E-2</v>
      </c>
      <c r="N477">
        <v>445</v>
      </c>
      <c r="O477" t="str">
        <f t="shared" si="101"/>
        <v/>
      </c>
      <c r="P477" t="str">
        <f t="shared" si="105"/>
        <v/>
      </c>
      <c r="Q477">
        <f t="shared" si="106"/>
        <v>0</v>
      </c>
      <c r="R477">
        <f t="shared" si="107"/>
        <v>0</v>
      </c>
      <c r="S477">
        <f t="shared" si="108"/>
        <v>0</v>
      </c>
      <c r="T477">
        <f t="shared" si="109"/>
        <v>0</v>
      </c>
      <c r="U477">
        <f t="shared" si="104"/>
        <v>0</v>
      </c>
      <c r="V477">
        <f t="shared" si="110"/>
        <v>0</v>
      </c>
      <c r="W477">
        <f t="shared" si="114"/>
        <v>0</v>
      </c>
      <c r="X477">
        <f>SUM($W$34:W477)</f>
        <v>131.62261410000016</v>
      </c>
      <c r="Y477">
        <f t="shared" si="111"/>
        <v>0</v>
      </c>
    </row>
    <row r="478" spans="1:25">
      <c r="A478">
        <v>114.9969071</v>
      </c>
      <c r="B478" s="2">
        <f t="shared" si="112"/>
        <v>-6.581129544403745E-3</v>
      </c>
      <c r="C478">
        <v>118.988885</v>
      </c>
      <c r="D478" s="3">
        <f t="shared" si="113"/>
        <v>7.0583024149332412E-3</v>
      </c>
      <c r="E478" s="3">
        <f t="shared" si="99"/>
        <v>8.3182416872683487E-3</v>
      </c>
      <c r="F478" s="3">
        <f>STDEV($E$32:E478)</f>
        <v>1.3054874677688923E-2</v>
      </c>
      <c r="G478" s="14">
        <f t="shared" si="102"/>
        <v>0.63717514665111352</v>
      </c>
      <c r="H478" s="15">
        <f>yint($B$3:B478,$D$3:D478)</f>
        <v>3.6251903661230889E-4</v>
      </c>
      <c r="I478" s="16">
        <f>MyReg($B$3:B478,$D$3:D478)</f>
        <v>0.24653189061246669</v>
      </c>
      <c r="J478" s="17">
        <f>STDEV($D$3:D478)</f>
        <v>1.3333486707845621E-2</v>
      </c>
      <c r="K478" s="4">
        <f t="shared" si="100"/>
        <v>-1.2599392723351079E-3</v>
      </c>
      <c r="L478">
        <f t="shared" si="103"/>
        <v>0.63717514665111352</v>
      </c>
      <c r="M478">
        <f>RSQ($D$3:D478,$B$3:B478)</f>
        <v>5.2969428166840422E-2</v>
      </c>
      <c r="N478">
        <v>446</v>
      </c>
      <c r="O478" t="str">
        <f t="shared" si="101"/>
        <v/>
      </c>
      <c r="P478" t="str">
        <f t="shared" si="105"/>
        <v/>
      </c>
      <c r="Q478">
        <f t="shared" si="106"/>
        <v>0</v>
      </c>
      <c r="R478">
        <f t="shared" si="107"/>
        <v>0</v>
      </c>
      <c r="S478">
        <f t="shared" si="108"/>
        <v>0</v>
      </c>
      <c r="T478">
        <f t="shared" si="109"/>
        <v>0</v>
      </c>
      <c r="U478">
        <f t="shared" si="104"/>
        <v>0</v>
      </c>
      <c r="V478">
        <f t="shared" si="110"/>
        <v>0</v>
      </c>
      <c r="W478">
        <f t="shared" si="114"/>
        <v>0</v>
      </c>
      <c r="X478">
        <f>SUM($W$34:W478)</f>
        <v>131.62261410000016</v>
      </c>
      <c r="Y478">
        <f t="shared" si="111"/>
        <v>0</v>
      </c>
    </row>
    <row r="479" spans="1:25">
      <c r="A479">
        <v>114.3316586</v>
      </c>
      <c r="B479" s="2">
        <f t="shared" si="112"/>
        <v>-5.7849251495217307E-3</v>
      </c>
      <c r="C479">
        <v>117.76222749999999</v>
      </c>
      <c r="D479" s="3">
        <f t="shared" si="113"/>
        <v>-1.0309009114590845E-2</v>
      </c>
      <c r="E479" s="3">
        <f t="shared" si="99"/>
        <v>-9.221239240792824E-3</v>
      </c>
      <c r="F479" s="3">
        <f>STDEV($E$32:E479)</f>
        <v>1.3047917548092806E-2</v>
      </c>
      <c r="G479" s="14">
        <f t="shared" si="102"/>
        <v>-0.7067211458690339</v>
      </c>
      <c r="H479" s="15">
        <f>yint($B$3:B479,$D$3:D479)</f>
        <v>3.4286054985592919E-4</v>
      </c>
      <c r="I479" s="16">
        <f>MyReg($B$3:B479,$D$3:D479)</f>
        <v>0.24730318658871969</v>
      </c>
      <c r="J479" s="17">
        <f>STDEV($D$3:D479)</f>
        <v>1.3328587005499094E-2</v>
      </c>
      <c r="K479" s="4">
        <f t="shared" si="100"/>
        <v>-1.0877698737980206E-3</v>
      </c>
      <c r="L479">
        <f t="shared" si="103"/>
        <v>-0.7067211458690339</v>
      </c>
      <c r="M479">
        <f>RSQ($D$3:D479,$B$3:B479)</f>
        <v>5.3255870557541732E-2</v>
      </c>
      <c r="N479">
        <v>447</v>
      </c>
      <c r="O479" t="str">
        <f t="shared" si="101"/>
        <v/>
      </c>
      <c r="P479" t="str">
        <f t="shared" si="105"/>
        <v/>
      </c>
      <c r="Q479">
        <f t="shared" si="106"/>
        <v>0</v>
      </c>
      <c r="R479">
        <f t="shared" si="107"/>
        <v>0</v>
      </c>
      <c r="S479">
        <f t="shared" si="108"/>
        <v>0</v>
      </c>
      <c r="T479">
        <f t="shared" si="109"/>
        <v>0</v>
      </c>
      <c r="U479">
        <f t="shared" si="104"/>
        <v>0</v>
      </c>
      <c r="V479">
        <f t="shared" si="110"/>
        <v>0</v>
      </c>
      <c r="W479">
        <f t="shared" si="114"/>
        <v>0</v>
      </c>
      <c r="X479">
        <f>SUM($W$34:W479)</f>
        <v>131.62261410000016</v>
      </c>
      <c r="Y479">
        <f t="shared" si="111"/>
        <v>0</v>
      </c>
    </row>
    <row r="480" spans="1:25">
      <c r="A480">
        <v>112.42431790000001</v>
      </c>
      <c r="B480" s="2">
        <f t="shared" si="112"/>
        <v>-1.6682524537433692E-2</v>
      </c>
      <c r="C480">
        <v>120.18528480000001</v>
      </c>
      <c r="D480" s="3">
        <f t="shared" si="113"/>
        <v>2.0575844661226458E-2</v>
      </c>
      <c r="E480" s="3">
        <f t="shared" si="99"/>
        <v>2.4212383323622539E-2</v>
      </c>
      <c r="F480" s="3">
        <f>STDEV($E$32:E480)</f>
        <v>1.3082455216355147E-2</v>
      </c>
      <c r="G480" s="14">
        <f t="shared" si="102"/>
        <v>1.850752242083215</v>
      </c>
      <c r="H480" s="15">
        <f>yint($B$3:B480,$D$3:D480)</f>
        <v>3.9562664081826358E-4</v>
      </c>
      <c r="I480" s="16">
        <f>MyReg($B$3:B480,$D$3:D480)</f>
        <v>0.24169994740104364</v>
      </c>
      <c r="J480" s="17">
        <f>STDEV($D$3:D480)</f>
        <v>1.33464507314439E-2</v>
      </c>
      <c r="K480" s="4">
        <f t="shared" si="100"/>
        <v>-3.6365386623960798E-3</v>
      </c>
      <c r="L480">
        <f t="shared" si="103"/>
        <v>1.850752242083215</v>
      </c>
      <c r="M480">
        <f>RSQ($D$3:D480,$B$3:B480)</f>
        <v>5.0826723931830096E-2</v>
      </c>
      <c r="N480">
        <v>448</v>
      </c>
      <c r="O480" t="str">
        <f t="shared" si="101"/>
        <v>sellY</v>
      </c>
      <c r="P480" t="str">
        <f t="shared" si="105"/>
        <v/>
      </c>
      <c r="Q480">
        <f t="shared" si="106"/>
        <v>10</v>
      </c>
      <c r="R480">
        <f t="shared" si="107"/>
        <v>0</v>
      </c>
      <c r="S480">
        <f t="shared" si="108"/>
        <v>-10</v>
      </c>
      <c r="T480">
        <f t="shared" si="109"/>
        <v>0</v>
      </c>
      <c r="U480">
        <f t="shared" si="104"/>
        <v>20</v>
      </c>
      <c r="V480">
        <f t="shared" si="110"/>
        <v>10</v>
      </c>
      <c r="W480">
        <f t="shared" si="114"/>
        <v>77.609668999999997</v>
      </c>
      <c r="X480">
        <f>SUM($W$34:W480)</f>
        <v>209.23228310000016</v>
      </c>
      <c r="Y480">
        <f t="shared" si="111"/>
        <v>0</v>
      </c>
    </row>
    <row r="481" spans="1:25">
      <c r="A481">
        <v>113.7309296</v>
      </c>
      <c r="B481" s="2">
        <f t="shared" si="112"/>
        <v>1.162214478510072E-2</v>
      </c>
      <c r="C481">
        <v>120.36267700000001</v>
      </c>
      <c r="D481" s="3">
        <f t="shared" si="113"/>
        <v>1.4759893467423883E-3</v>
      </c>
      <c r="E481" s="3">
        <f t="shared" ref="E481:E544" si="115">D481-K481</f>
        <v>-1.7221317992370221E-3</v>
      </c>
      <c r="F481" s="3">
        <f>STDEV($E$32:E481)</f>
        <v>1.3068215786814745E-2</v>
      </c>
      <c r="G481" s="14">
        <f t="shared" si="102"/>
        <v>-0.13178017774810372</v>
      </c>
      <c r="H481" s="15">
        <f>yint($B$3:B481,$D$3:D481)</f>
        <v>3.9210872840438261E-4</v>
      </c>
      <c r="I481" s="16">
        <f>MyReg($B$3:B481,$D$3:D481)</f>
        <v>0.24143671150717902</v>
      </c>
      <c r="J481" s="17">
        <f>STDEV($D$3:D481)</f>
        <v>1.3332561373886659E-2</v>
      </c>
      <c r="K481" s="4">
        <f t="shared" ref="K481:K544" si="116">H481+B481*I481</f>
        <v>3.1981211459794104E-3</v>
      </c>
      <c r="L481">
        <f t="shared" si="103"/>
        <v>-0.13178017774810372</v>
      </c>
      <c r="M481">
        <f>RSQ($D$3:D481,$B$3:B481)</f>
        <v>5.0802888362395243E-2</v>
      </c>
      <c r="N481">
        <v>449</v>
      </c>
      <c r="O481" t="str">
        <f t="shared" ref="O481:O544" si="117">IF(L481&gt;1.5,"sellY",IF(L481&lt;-1.5,"buyY",""))</f>
        <v/>
      </c>
      <c r="P481" t="str">
        <f t="shared" si="105"/>
        <v>close</v>
      </c>
      <c r="Q481">
        <f t="shared" si="106"/>
        <v>0</v>
      </c>
      <c r="R481">
        <f t="shared" si="107"/>
        <v>0</v>
      </c>
      <c r="S481">
        <f t="shared" si="108"/>
        <v>0</v>
      </c>
      <c r="T481">
        <f t="shared" si="109"/>
        <v>0</v>
      </c>
      <c r="U481">
        <f t="shared" si="104"/>
        <v>0</v>
      </c>
      <c r="V481">
        <f t="shared" si="110"/>
        <v>-10</v>
      </c>
      <c r="W481">
        <f t="shared" si="114"/>
        <v>-66.31747400000009</v>
      </c>
      <c r="X481">
        <f>SUM($W$34:W481)</f>
        <v>142.91480910000007</v>
      </c>
      <c r="Y481">
        <f t="shared" si="111"/>
        <v>142.91480910000007</v>
      </c>
    </row>
    <row r="482" spans="1:25">
      <c r="A482">
        <v>111.1471571</v>
      </c>
      <c r="B482" s="2">
        <f t="shared" si="112"/>
        <v>-2.2718292280625087E-2</v>
      </c>
      <c r="C482">
        <v>119.932517</v>
      </c>
      <c r="D482" s="3">
        <f t="shared" si="113"/>
        <v>-3.5738653436563294E-3</v>
      </c>
      <c r="E482" s="3">
        <f t="shared" si="115"/>
        <v>1.5051014410169222E-3</v>
      </c>
      <c r="F482" s="3">
        <f>STDEV($E$32:E482)</f>
        <v>1.3053818147208639E-2</v>
      </c>
      <c r="G482" s="14">
        <f t="shared" ref="G482:G545" si="118">E482/F482</f>
        <v>0.11529970955959466</v>
      </c>
      <c r="H482" s="15">
        <f>yint($B$3:B482,$D$3:D482)</f>
        <v>3.9541310761286296E-4</v>
      </c>
      <c r="I482" s="16">
        <f>MyReg($B$3:B482,$D$3:D482)</f>
        <v>0.24096793124520399</v>
      </c>
      <c r="J482" s="17">
        <f>STDEV($D$3:D482)</f>
        <v>1.3319919514206613E-2</v>
      </c>
      <c r="K482" s="4">
        <f t="shared" si="116"/>
        <v>-5.0789667846732516E-3</v>
      </c>
      <c r="L482">
        <f t="shared" ref="L482:L545" si="119">(D482-K482)/F482</f>
        <v>0.11529970955959466</v>
      </c>
      <c r="M482">
        <f>RSQ($D$3:D482,$B$3:B482)</f>
        <v>5.0958760846846973E-2</v>
      </c>
      <c r="N482">
        <v>450</v>
      </c>
      <c r="O482" t="str">
        <f t="shared" si="117"/>
        <v/>
      </c>
      <c r="P482" t="str">
        <f t="shared" si="105"/>
        <v/>
      </c>
      <c r="Q482">
        <f t="shared" si="106"/>
        <v>0</v>
      </c>
      <c r="R482">
        <f t="shared" si="107"/>
        <v>0</v>
      </c>
      <c r="S482">
        <f t="shared" si="108"/>
        <v>0</v>
      </c>
      <c r="T482">
        <f t="shared" si="109"/>
        <v>0</v>
      </c>
      <c r="U482">
        <f t="shared" ref="U482:U545" si="120">ABS(Q482)+ABS(S482)</f>
        <v>0</v>
      </c>
      <c r="V482">
        <f t="shared" si="110"/>
        <v>0</v>
      </c>
      <c r="W482">
        <f t="shared" si="114"/>
        <v>0</v>
      </c>
      <c r="X482">
        <f>SUM($W$34:W482)</f>
        <v>142.91480910000007</v>
      </c>
      <c r="Y482">
        <f t="shared" si="111"/>
        <v>0</v>
      </c>
    </row>
    <row r="483" spans="1:25">
      <c r="A483">
        <v>110.7478351</v>
      </c>
      <c r="B483" s="2">
        <f t="shared" si="112"/>
        <v>-3.592732467648495E-3</v>
      </c>
      <c r="C483">
        <v>120.0250157</v>
      </c>
      <c r="D483" s="3">
        <f t="shared" si="113"/>
        <v>7.7125622236372347E-4</v>
      </c>
      <c r="E483" s="3">
        <f t="shared" si="115"/>
        <v>1.2387442891448332E-3</v>
      </c>
      <c r="F483" s="3">
        <f>STDEV($E$32:E483)</f>
        <v>1.3039418071218663E-2</v>
      </c>
      <c r="G483" s="14">
        <f t="shared" si="118"/>
        <v>9.4999967205519648E-2</v>
      </c>
      <c r="H483" s="15">
        <f>yint($B$3:B483,$D$3:D483)</f>
        <v>3.9801307947421677E-4</v>
      </c>
      <c r="I483" s="16">
        <f>MyReg($B$3:B483,$D$3:D483)</f>
        <v>0.24090331079447502</v>
      </c>
      <c r="J483" s="17">
        <f>STDEV($D$3:D483)</f>
        <v>1.330604458581236E-2</v>
      </c>
      <c r="K483" s="4">
        <f t="shared" si="116"/>
        <v>-4.6748806678110984E-4</v>
      </c>
      <c r="L483">
        <f t="shared" si="119"/>
        <v>9.4999967205519648E-2</v>
      </c>
      <c r="M483">
        <f>RSQ($D$3:D483,$B$3:B483)</f>
        <v>5.0941693636480496E-2</v>
      </c>
      <c r="N483">
        <v>451</v>
      </c>
      <c r="O483" t="str">
        <f t="shared" si="117"/>
        <v/>
      </c>
      <c r="P483" t="str">
        <f t="shared" ref="P483:P546" si="121">IF(AND(OR(O482="sellY",P482="sellhold"),L483&gt;0.5),"sellhold",IF(AND(OR(O482="sellY",P482="sellhold"),L483&lt;0.5,O483&lt;&gt;"buyY"),"close",IF(AND(OR(O482="sellY",P482="sellhold"),L483&lt;0.5,O483="buyY"),"close&amp;buy",IF(AND(OR(O482="buyY",P482="buyhold"),L483&lt;-0.5),"buyhold",IF(AND(OR(O482="buyY",P482="buyhold"),L483&gt;-0.5,O483&lt;&gt;"sellY"),"close",IF(AND(OR(O482="buyY",P482="buyhold"),L483&gt;-0.5,O483="sellY"),"close&amp;sell",""))))))</f>
        <v/>
      </c>
      <c r="Q483">
        <f t="shared" ref="Q483:Q546" si="122">IF(O483="sellY",MAX(10+R483,Q482),IF(O483="buyY",MIN(-10+R483,Q482),IF(P483="sellhold",Q482+R483,IF(P483="buyhold",Q482+R483,0))))</f>
        <v>0</v>
      </c>
      <c r="R483">
        <f t="shared" ref="R483:R546" si="123">IF(AND(L483&gt;2.5,Q482&lt;15),10,IF(AND(L483&gt;2,Q482&lt;15),5,IF(AND(L483&lt;-2.5,Q482&gt;-15),-10,IF(AND(L483&lt;-2,Q482&gt;-15),-5,0))))</f>
        <v>0</v>
      </c>
      <c r="S483">
        <f t="shared" ref="S483:S546" si="124">IF(O483="sellY",MIN(-10+T483,S482),IF(O483="buyY",MAX(10+T483,S482),IF(P483="sellhold",S482+T483,IF(P483="buyhold",S482+T483,0))))</f>
        <v>0</v>
      </c>
      <c r="T483">
        <f t="shared" ref="T483:T546" si="125">IF(AND(L483&gt;2.5,Q482&lt;15),-10,IF(AND(L483&gt;2,Q482&lt;15),-5,IF(AND(L483&lt;-2.5,Q482&gt;-15),10,IF(AND(L483&lt;-2,Q482&gt;-15),5,0))))</f>
        <v>0</v>
      </c>
      <c r="U483">
        <f t="shared" si="120"/>
        <v>0</v>
      </c>
      <c r="V483">
        <f t="shared" ref="V483:V546" si="126">Q483-Q482</f>
        <v>0</v>
      </c>
      <c r="W483">
        <f t="shared" si="114"/>
        <v>0</v>
      </c>
      <c r="X483">
        <f>SUM($W$34:W483)</f>
        <v>142.91480910000007</v>
      </c>
      <c r="Y483">
        <f t="shared" si="111"/>
        <v>0</v>
      </c>
    </row>
    <row r="484" spans="1:25">
      <c r="A484">
        <v>111.6418128</v>
      </c>
      <c r="B484" s="2">
        <f t="shared" si="112"/>
        <v>8.0721912007830614E-3</v>
      </c>
      <c r="C484">
        <v>119.94245669999999</v>
      </c>
      <c r="D484" s="3">
        <f t="shared" si="113"/>
        <v>-6.8784827494926444E-4</v>
      </c>
      <c r="E484" s="3">
        <f t="shared" si="115"/>
        <v>-3.0217434428394417E-3</v>
      </c>
      <c r="F484" s="3">
        <f>STDEV($E$32:E484)</f>
        <v>1.3025903902623166E-2</v>
      </c>
      <c r="G484" s="14">
        <f t="shared" si="118"/>
        <v>-0.23197955899482114</v>
      </c>
      <c r="H484" s="15">
        <f>yint($B$3:B484,$D$3:D484)</f>
        <v>3.9182224855742248E-4</v>
      </c>
      <c r="I484" s="16">
        <f>MyReg($B$3:B484,$D$3:D484)</f>
        <v>0.24058807218842382</v>
      </c>
      <c r="J484" s="17">
        <f>STDEV($D$3:D484)</f>
        <v>1.3292309976152852E-2</v>
      </c>
      <c r="K484" s="4">
        <f t="shared" si="116"/>
        <v>2.3338951678901773E-3</v>
      </c>
      <c r="L484">
        <f t="shared" si="119"/>
        <v>-0.23197955899482114</v>
      </c>
      <c r="M484">
        <f>RSQ($D$3:D484,$B$3:B484)</f>
        <v>5.0848826611335968E-2</v>
      </c>
      <c r="N484">
        <v>452</v>
      </c>
      <c r="O484" t="str">
        <f t="shared" si="117"/>
        <v/>
      </c>
      <c r="P484" t="str">
        <f t="shared" si="121"/>
        <v/>
      </c>
      <c r="Q484">
        <f t="shared" si="122"/>
        <v>0</v>
      </c>
      <c r="R484">
        <f t="shared" si="123"/>
        <v>0</v>
      </c>
      <c r="S484">
        <f t="shared" si="124"/>
        <v>0</v>
      </c>
      <c r="T484">
        <f t="shared" si="125"/>
        <v>0</v>
      </c>
      <c r="U484">
        <f t="shared" si="120"/>
        <v>0</v>
      </c>
      <c r="V484">
        <f t="shared" si="126"/>
        <v>0</v>
      </c>
      <c r="W484">
        <f t="shared" si="114"/>
        <v>0</v>
      </c>
      <c r="X484">
        <f>SUM($W$34:W484)</f>
        <v>142.91480910000007</v>
      </c>
      <c r="Y484">
        <f t="shared" ref="Y484:Y547" si="127">IF(P484="close",X484,0)</f>
        <v>0</v>
      </c>
    </row>
    <row r="485" spans="1:25">
      <c r="A485">
        <v>112.1151838</v>
      </c>
      <c r="B485" s="2">
        <f t="shared" si="112"/>
        <v>4.2400870079744909E-3</v>
      </c>
      <c r="C485">
        <v>119.4952303</v>
      </c>
      <c r="D485" s="3">
        <f t="shared" si="113"/>
        <v>-3.7286746687087914E-3</v>
      </c>
      <c r="E485" s="3">
        <f t="shared" si="115"/>
        <v>-5.1289071552100586E-3</v>
      </c>
      <c r="F485" s="3">
        <f>STDEV($E$32:E485)</f>
        <v>1.3013978494037142E-2</v>
      </c>
      <c r="G485" s="14">
        <f t="shared" si="118"/>
        <v>-0.3941075480922353</v>
      </c>
      <c r="H485" s="15">
        <f>yint($B$3:B485,$D$3:D485)</f>
        <v>3.8126406883632431E-4</v>
      </c>
      <c r="I485" s="16">
        <f>MyReg($B$3:B485,$D$3:D485)</f>
        <v>0.24031780851396001</v>
      </c>
      <c r="J485" s="17">
        <f>STDEV($D$3:D485)</f>
        <v>1.3279885415569178E-2</v>
      </c>
      <c r="K485" s="4">
        <f t="shared" si="116"/>
        <v>1.4002324865012676E-3</v>
      </c>
      <c r="L485">
        <f t="shared" si="119"/>
        <v>-0.3941075480922353</v>
      </c>
      <c r="M485">
        <f>RSQ($D$3:D485,$B$3:B485)</f>
        <v>5.073466524997864E-2</v>
      </c>
      <c r="N485">
        <v>453</v>
      </c>
      <c r="O485" t="str">
        <f t="shared" si="117"/>
        <v/>
      </c>
      <c r="P485" t="str">
        <f t="shared" si="121"/>
        <v/>
      </c>
      <c r="Q485">
        <f t="shared" si="122"/>
        <v>0</v>
      </c>
      <c r="R485">
        <f t="shared" si="123"/>
        <v>0</v>
      </c>
      <c r="S485">
        <f t="shared" si="124"/>
        <v>0</v>
      </c>
      <c r="T485">
        <f t="shared" si="125"/>
        <v>0</v>
      </c>
      <c r="U485">
        <f t="shared" si="120"/>
        <v>0</v>
      </c>
      <c r="V485">
        <f t="shared" si="126"/>
        <v>0</v>
      </c>
      <c r="W485">
        <f t="shared" si="114"/>
        <v>0</v>
      </c>
      <c r="X485">
        <f>SUM($W$34:W485)</f>
        <v>142.91480910000007</v>
      </c>
      <c r="Y485">
        <f t="shared" si="127"/>
        <v>0</v>
      </c>
    </row>
    <row r="486" spans="1:25">
      <c r="A486">
        <v>109.0546485</v>
      </c>
      <c r="B486" s="2">
        <f t="shared" si="112"/>
        <v>-2.7298133903607781E-2</v>
      </c>
      <c r="C486">
        <v>119.83772980000001</v>
      </c>
      <c r="D486" s="3">
        <f t="shared" si="113"/>
        <v>2.8662190042241576E-3</v>
      </c>
      <c r="E486" s="3">
        <f t="shared" si="115"/>
        <v>8.9354495358819671E-3</v>
      </c>
      <c r="F486" s="3">
        <f>STDEV($E$32:E486)</f>
        <v>1.3006012742588061E-2</v>
      </c>
      <c r="G486" s="14">
        <f t="shared" si="118"/>
        <v>0.68702451033458745</v>
      </c>
      <c r="H486" s="15">
        <f>yint($B$3:B486,$D$3:D486)</f>
        <v>4.0080199545365852E-4</v>
      </c>
      <c r="I486" s="16">
        <f>MyReg($B$3:B486,$D$3:D486)</f>
        <v>0.23701372958158048</v>
      </c>
      <c r="J486" s="17">
        <f>STDEV($D$3:D486)</f>
        <v>1.326658307438469E-2</v>
      </c>
      <c r="K486" s="4">
        <f t="shared" si="116"/>
        <v>-6.0692305316578099E-3</v>
      </c>
      <c r="L486">
        <f t="shared" si="119"/>
        <v>0.68702451033458745</v>
      </c>
      <c r="M486">
        <f>RSQ($D$3:D486,$B$3:B486)</f>
        <v>4.9848604275531005E-2</v>
      </c>
      <c r="N486">
        <v>454</v>
      </c>
      <c r="O486" t="str">
        <f t="shared" si="117"/>
        <v/>
      </c>
      <c r="P486" t="str">
        <f t="shared" si="121"/>
        <v/>
      </c>
      <c r="Q486">
        <f t="shared" si="122"/>
        <v>0</v>
      </c>
      <c r="R486">
        <f t="shared" si="123"/>
        <v>0</v>
      </c>
      <c r="S486">
        <f t="shared" si="124"/>
        <v>0</v>
      </c>
      <c r="T486">
        <f t="shared" si="125"/>
        <v>0</v>
      </c>
      <c r="U486">
        <f t="shared" si="120"/>
        <v>0</v>
      </c>
      <c r="V486">
        <f t="shared" si="126"/>
        <v>0</v>
      </c>
      <c r="W486">
        <f t="shared" si="114"/>
        <v>0</v>
      </c>
      <c r="X486">
        <f>SUM($W$34:W486)</f>
        <v>142.91480910000007</v>
      </c>
      <c r="Y486">
        <f t="shared" si="127"/>
        <v>0</v>
      </c>
    </row>
    <row r="487" spans="1:25">
      <c r="A487">
        <v>110.02007159999999</v>
      </c>
      <c r="B487" s="2">
        <f t="shared" si="112"/>
        <v>8.8526542726878373E-3</v>
      </c>
      <c r="C487">
        <v>120.4866516</v>
      </c>
      <c r="D487" s="3">
        <f t="shared" si="113"/>
        <v>5.4150041150061619E-3</v>
      </c>
      <c r="E487" s="3">
        <f t="shared" si="115"/>
        <v>2.9071476532532624E-3</v>
      </c>
      <c r="F487" s="3">
        <f>STDEV($E$32:E487)</f>
        <v>1.2992299714986496E-2</v>
      </c>
      <c r="G487" s="14">
        <f t="shared" si="118"/>
        <v>0.22375928180750748</v>
      </c>
      <c r="H487" s="15">
        <f>yint($B$3:B487,$D$3:D487)</f>
        <v>4.0672332653417931E-4</v>
      </c>
      <c r="I487" s="16">
        <f>MyReg($B$3:B487,$D$3:D487)</f>
        <v>0.23734498947972305</v>
      </c>
      <c r="J487" s="17">
        <f>STDEV($D$3:D487)</f>
        <v>1.3254779241153975E-2</v>
      </c>
      <c r="K487" s="4">
        <f t="shared" si="116"/>
        <v>2.5078564617528995E-3</v>
      </c>
      <c r="L487">
        <f t="shared" si="119"/>
        <v>0.22375928180750748</v>
      </c>
      <c r="M487">
        <f>RSQ($D$3:D487,$B$3:B487)</f>
        <v>5.0022494048136482E-2</v>
      </c>
      <c r="N487">
        <v>455</v>
      </c>
      <c r="O487" t="str">
        <f t="shared" si="117"/>
        <v/>
      </c>
      <c r="P487" t="str">
        <f t="shared" si="121"/>
        <v/>
      </c>
      <c r="Q487">
        <f t="shared" si="122"/>
        <v>0</v>
      </c>
      <c r="R487">
        <f t="shared" si="123"/>
        <v>0</v>
      </c>
      <c r="S487">
        <f t="shared" si="124"/>
        <v>0</v>
      </c>
      <c r="T487">
        <f t="shared" si="125"/>
        <v>0</v>
      </c>
      <c r="U487">
        <f t="shared" si="120"/>
        <v>0</v>
      </c>
      <c r="V487">
        <f t="shared" si="126"/>
        <v>0</v>
      </c>
      <c r="W487">
        <f t="shared" si="114"/>
        <v>0</v>
      </c>
      <c r="X487">
        <f>SUM($W$34:W487)</f>
        <v>142.91480910000007</v>
      </c>
      <c r="Y487">
        <f t="shared" si="127"/>
        <v>0</v>
      </c>
    </row>
    <row r="488" spans="1:25">
      <c r="A488">
        <v>108.7291644</v>
      </c>
      <c r="B488" s="2">
        <f t="shared" si="112"/>
        <v>-1.1733379020996679E-2</v>
      </c>
      <c r="C488">
        <v>120.81194139999999</v>
      </c>
      <c r="D488" s="3">
        <f t="shared" si="113"/>
        <v>2.6997994855057711E-3</v>
      </c>
      <c r="E488" s="3">
        <f t="shared" si="115"/>
        <v>5.0578474361544215E-3</v>
      </c>
      <c r="F488" s="3">
        <f>STDEV($E$32:E488)</f>
        <v>1.2979974049074819E-2</v>
      </c>
      <c r="G488" s="14">
        <f t="shared" si="118"/>
        <v>0.38966545056497492</v>
      </c>
      <c r="H488" s="15">
        <f>yint($B$3:B488,$D$3:D488)</f>
        <v>4.1737294664866018E-4</v>
      </c>
      <c r="I488" s="16">
        <f>MyReg($B$3:B488,$D$3:D488)</f>
        <v>0.23654063269674855</v>
      </c>
      <c r="J488" s="17">
        <f>STDEV($D$3:D488)</f>
        <v>1.3241493101145238E-2</v>
      </c>
      <c r="K488" s="4">
        <f t="shared" si="116"/>
        <v>-2.3580479506486503E-3</v>
      </c>
      <c r="L488">
        <f t="shared" si="119"/>
        <v>0.38966545056497492</v>
      </c>
      <c r="M488">
        <f>RSQ($D$3:D488,$B$3:B488)</f>
        <v>4.9775804564522158E-2</v>
      </c>
      <c r="N488">
        <v>456</v>
      </c>
      <c r="O488" t="str">
        <f t="shared" si="117"/>
        <v/>
      </c>
      <c r="P488" t="str">
        <f t="shared" si="121"/>
        <v/>
      </c>
      <c r="Q488">
        <f t="shared" si="122"/>
        <v>0</v>
      </c>
      <c r="R488">
        <f t="shared" si="123"/>
        <v>0</v>
      </c>
      <c r="S488">
        <f t="shared" si="124"/>
        <v>0</v>
      </c>
      <c r="T488">
        <f t="shared" si="125"/>
        <v>0</v>
      </c>
      <c r="U488">
        <f t="shared" si="120"/>
        <v>0</v>
      </c>
      <c r="V488">
        <f t="shared" si="126"/>
        <v>0</v>
      </c>
      <c r="W488">
        <f t="shared" si="114"/>
        <v>0</v>
      </c>
      <c r="X488">
        <f>SUM($W$34:W488)</f>
        <v>142.91480910000007</v>
      </c>
      <c r="Y488">
        <f t="shared" si="127"/>
        <v>0</v>
      </c>
    </row>
    <row r="489" spans="1:25">
      <c r="A489">
        <v>108.42569090000001</v>
      </c>
      <c r="B489" s="2">
        <f t="shared" si="112"/>
        <v>-2.791095670371909E-3</v>
      </c>
      <c r="C489">
        <v>118.7182847</v>
      </c>
      <c r="D489" s="3">
        <f t="shared" si="113"/>
        <v>-1.7329882093923513E-2</v>
      </c>
      <c r="E489" s="3">
        <f t="shared" si="115"/>
        <v>-1.7049880971328493E-2</v>
      </c>
      <c r="F489" s="3">
        <f>STDEV($E$32:E489)</f>
        <v>1.2991044220589682E-2</v>
      </c>
      <c r="G489" s="14">
        <f t="shared" si="118"/>
        <v>-1.3124334489067404</v>
      </c>
      <c r="H489" s="15">
        <f>yint($B$3:B489,$D$3:D489)</f>
        <v>3.8211944594556465E-4</v>
      </c>
      <c r="I489" s="16">
        <f>MyReg($B$3:B489,$D$3:D489)</f>
        <v>0.23722603835086709</v>
      </c>
      <c r="J489" s="17">
        <f>STDEV($D$3:D489)</f>
        <v>1.3252449905486283E-2</v>
      </c>
      <c r="K489" s="4">
        <f t="shared" si="116"/>
        <v>-2.8000112259502093E-4</v>
      </c>
      <c r="L489">
        <f t="shared" si="119"/>
        <v>-1.3124334489067404</v>
      </c>
      <c r="M489">
        <f>RSQ($D$3:D489,$B$3:B489)</f>
        <v>4.9885177320232704E-2</v>
      </c>
      <c r="N489">
        <v>457</v>
      </c>
      <c r="O489" t="str">
        <f t="shared" si="117"/>
        <v/>
      </c>
      <c r="P489" t="str">
        <f t="shared" si="121"/>
        <v/>
      </c>
      <c r="Q489">
        <f t="shared" si="122"/>
        <v>0</v>
      </c>
      <c r="R489">
        <f t="shared" si="123"/>
        <v>0</v>
      </c>
      <c r="S489">
        <f t="shared" si="124"/>
        <v>0</v>
      </c>
      <c r="T489">
        <f t="shared" si="125"/>
        <v>0</v>
      </c>
      <c r="U489">
        <f t="shared" si="120"/>
        <v>0</v>
      </c>
      <c r="V489">
        <f t="shared" si="126"/>
        <v>0</v>
      </c>
      <c r="W489">
        <f t="shared" si="114"/>
        <v>0</v>
      </c>
      <c r="X489">
        <f>SUM($W$34:W489)</f>
        <v>142.91480910000007</v>
      </c>
      <c r="Y489">
        <f t="shared" si="127"/>
        <v>0</v>
      </c>
    </row>
    <row r="490" spans="1:25">
      <c r="A490">
        <v>108.2496373</v>
      </c>
      <c r="B490" s="2">
        <f t="shared" si="112"/>
        <v>-1.6237258765763882E-3</v>
      </c>
      <c r="C490">
        <v>114.9797216</v>
      </c>
      <c r="D490" s="3">
        <f t="shared" si="113"/>
        <v>-3.1491047141114843E-2</v>
      </c>
      <c r="E490" s="3">
        <f t="shared" si="115"/>
        <v>-3.1422006412032723E-2</v>
      </c>
      <c r="F490" s="3">
        <f>STDEV($E$32:E490)</f>
        <v>1.3060776941028567E-2</v>
      </c>
      <c r="G490" s="14">
        <f t="shared" si="118"/>
        <v>-2.405829802768086</v>
      </c>
      <c r="H490" s="15">
        <f>yint($B$3:B490,$D$3:D490)</f>
        <v>3.1740871101622862E-4</v>
      </c>
      <c r="I490" s="16">
        <f>MyReg($B$3:B490,$D$3:D490)</f>
        <v>0.23800165143218074</v>
      </c>
      <c r="J490" s="17">
        <f>STDEV($D$3:D490)</f>
        <v>1.3317511833289292E-2</v>
      </c>
      <c r="K490" s="4">
        <f t="shared" si="116"/>
        <v>-6.9040729082117083E-5</v>
      </c>
      <c r="L490">
        <f t="shared" si="119"/>
        <v>-2.405829802768086</v>
      </c>
      <c r="M490">
        <f>RSQ($D$3:D490,$B$3:B490)</f>
        <v>4.9622677750475991E-2</v>
      </c>
      <c r="N490">
        <v>458</v>
      </c>
      <c r="O490" t="str">
        <f t="shared" si="117"/>
        <v>buyY</v>
      </c>
      <c r="P490" t="str">
        <f t="shared" si="121"/>
        <v/>
      </c>
      <c r="Q490">
        <f t="shared" si="122"/>
        <v>-15</v>
      </c>
      <c r="R490">
        <f t="shared" si="123"/>
        <v>-5</v>
      </c>
      <c r="S490">
        <f t="shared" si="124"/>
        <v>15</v>
      </c>
      <c r="T490">
        <f t="shared" si="125"/>
        <v>5</v>
      </c>
      <c r="U490">
        <f t="shared" si="120"/>
        <v>30</v>
      </c>
      <c r="V490">
        <f t="shared" si="126"/>
        <v>-15</v>
      </c>
      <c r="W490">
        <f t="shared" si="114"/>
        <v>-100.95126450000002</v>
      </c>
      <c r="X490">
        <f>SUM($W$34:W490)</f>
        <v>41.963544600000048</v>
      </c>
      <c r="Y490">
        <f t="shared" si="127"/>
        <v>0</v>
      </c>
    </row>
    <row r="491" spans="1:25">
      <c r="A491">
        <v>110.3316343</v>
      </c>
      <c r="B491" s="2">
        <f t="shared" si="112"/>
        <v>1.9233293080049896E-2</v>
      </c>
      <c r="C491">
        <v>115.1645919</v>
      </c>
      <c r="D491" s="3">
        <f t="shared" si="113"/>
        <v>1.6078513448061788E-3</v>
      </c>
      <c r="E491" s="3">
        <f t="shared" si="115"/>
        <v>-3.264856974546885E-3</v>
      </c>
      <c r="F491" s="3">
        <f>STDEV($E$32:E491)</f>
        <v>1.3047529793224424E-2</v>
      </c>
      <c r="G491" s="14">
        <f t="shared" si="118"/>
        <v>-0.2502279761984007</v>
      </c>
      <c r="H491" s="15">
        <f>yint($B$3:B491,$D$3:D491)</f>
        <v>3.1091516712047283E-4</v>
      </c>
      <c r="I491" s="16">
        <f>MyReg($B$3:B491,$D$3:D491)</f>
        <v>0.23718211609661366</v>
      </c>
      <c r="J491" s="17">
        <f>STDEV($D$3:D491)</f>
        <v>1.3303976746998215E-2</v>
      </c>
      <c r="K491" s="4">
        <f t="shared" si="116"/>
        <v>4.8727083193530639E-3</v>
      </c>
      <c r="L491">
        <f t="shared" si="119"/>
        <v>-0.2502279761984007</v>
      </c>
      <c r="M491">
        <f>RSQ($D$3:D491,$B$3:B491)</f>
        <v>4.951512982555141E-2</v>
      </c>
      <c r="N491">
        <v>459</v>
      </c>
      <c r="O491" t="str">
        <f t="shared" si="117"/>
        <v/>
      </c>
      <c r="P491" t="str">
        <f t="shared" si="121"/>
        <v>close</v>
      </c>
      <c r="Q491">
        <f t="shared" si="122"/>
        <v>0</v>
      </c>
      <c r="R491">
        <f t="shared" si="123"/>
        <v>0</v>
      </c>
      <c r="S491">
        <f t="shared" si="124"/>
        <v>0</v>
      </c>
      <c r="T491">
        <f t="shared" si="125"/>
        <v>0</v>
      </c>
      <c r="U491">
        <f t="shared" si="120"/>
        <v>0</v>
      </c>
      <c r="V491">
        <f t="shared" si="126"/>
        <v>15</v>
      </c>
      <c r="W491">
        <f t="shared" si="114"/>
        <v>72.494364000000004</v>
      </c>
      <c r="X491">
        <f>SUM($W$34:W491)</f>
        <v>114.45790860000005</v>
      </c>
      <c r="Y491">
        <f t="shared" si="127"/>
        <v>114.45790860000005</v>
      </c>
    </row>
    <row r="492" spans="1:25">
      <c r="A492">
        <v>111.14615019999999</v>
      </c>
      <c r="B492" s="2">
        <f t="shared" si="112"/>
        <v>7.3824330181247871E-3</v>
      </c>
      <c r="C492">
        <v>115.5475235</v>
      </c>
      <c r="D492" s="3">
        <f t="shared" si="113"/>
        <v>3.3250810312643675E-3</v>
      </c>
      <c r="E492" s="3">
        <f t="shared" si="115"/>
        <v>1.2597724074728087E-3</v>
      </c>
      <c r="F492" s="3">
        <f>STDEV($E$32:E492)</f>
        <v>1.3033438546872399E-2</v>
      </c>
      <c r="G492" s="14">
        <f t="shared" si="118"/>
        <v>9.6656949195890671E-2</v>
      </c>
      <c r="H492" s="15">
        <f>yint($B$3:B492,$D$3:D492)</f>
        <v>3.1345855978153435E-4</v>
      </c>
      <c r="I492" s="16">
        <f>MyReg($B$3:B492,$D$3:D492)</f>
        <v>0.23729982509953235</v>
      </c>
      <c r="J492" s="17">
        <f>STDEV($D$3:D492)</f>
        <v>1.329103378257779E-2</v>
      </c>
      <c r="K492" s="4">
        <f t="shared" si="116"/>
        <v>2.0653086237915588E-3</v>
      </c>
      <c r="L492">
        <f t="shared" si="119"/>
        <v>9.6656949195890671E-2</v>
      </c>
      <c r="M492">
        <f>RSQ($D$3:D492,$B$3:B492)</f>
        <v>4.9592139385601391E-2</v>
      </c>
      <c r="N492">
        <v>460</v>
      </c>
      <c r="O492" t="str">
        <f t="shared" si="117"/>
        <v/>
      </c>
      <c r="P492" t="str">
        <f t="shared" si="121"/>
        <v/>
      </c>
      <c r="Q492">
        <f t="shared" si="122"/>
        <v>0</v>
      </c>
      <c r="R492">
        <f t="shared" si="123"/>
        <v>0</v>
      </c>
      <c r="S492">
        <f t="shared" si="124"/>
        <v>0</v>
      </c>
      <c r="T492">
        <f t="shared" si="125"/>
        <v>0</v>
      </c>
      <c r="U492">
        <f t="shared" si="120"/>
        <v>0</v>
      </c>
      <c r="V492">
        <f t="shared" si="126"/>
        <v>0</v>
      </c>
      <c r="W492">
        <f t="shared" si="114"/>
        <v>0</v>
      </c>
      <c r="X492">
        <f>SUM($W$34:W492)</f>
        <v>114.45790860000005</v>
      </c>
      <c r="Y492">
        <f t="shared" si="127"/>
        <v>0</v>
      </c>
    </row>
    <row r="493" spans="1:25">
      <c r="A493">
        <v>112.445672</v>
      </c>
      <c r="B493" s="2">
        <f t="shared" si="112"/>
        <v>1.1692009103883546E-2</v>
      </c>
      <c r="C493">
        <v>116.69585619999999</v>
      </c>
      <c r="D493" s="3">
        <f t="shared" si="113"/>
        <v>9.9381853043349518E-3</v>
      </c>
      <c r="E493" s="3">
        <f t="shared" si="115"/>
        <v>6.8246314987419655E-3</v>
      </c>
      <c r="F493" s="3">
        <f>STDEV($E$32:E493)</f>
        <v>1.3022971289447427E-2</v>
      </c>
      <c r="G493" s="14">
        <f t="shared" si="118"/>
        <v>0.52404565341182896</v>
      </c>
      <c r="H493" s="15">
        <f>yint($B$3:B493,$D$3:D493)</f>
        <v>3.2708636459539937E-4</v>
      </c>
      <c r="I493" s="16">
        <f>MyReg($B$3:B493,$D$3:D493)</f>
        <v>0.23832238037447734</v>
      </c>
      <c r="J493" s="17">
        <f>STDEV($D$3:D493)</f>
        <v>1.3284465086853643E-2</v>
      </c>
      <c r="K493" s="4">
        <f t="shared" si="116"/>
        <v>3.1135538055929858E-3</v>
      </c>
      <c r="L493">
        <f t="shared" si="119"/>
        <v>0.52404565341182896</v>
      </c>
      <c r="M493">
        <f>RSQ($D$3:D493,$B$3:B493)</f>
        <v>5.0052918890593094E-2</v>
      </c>
      <c r="N493">
        <v>461</v>
      </c>
      <c r="O493" t="str">
        <f t="shared" si="117"/>
        <v/>
      </c>
      <c r="P493" t="str">
        <f t="shared" si="121"/>
        <v/>
      </c>
      <c r="Q493">
        <f t="shared" si="122"/>
        <v>0</v>
      </c>
      <c r="R493">
        <f t="shared" si="123"/>
        <v>0</v>
      </c>
      <c r="S493">
        <f t="shared" si="124"/>
        <v>0</v>
      </c>
      <c r="T493">
        <f t="shared" si="125"/>
        <v>0</v>
      </c>
      <c r="U493">
        <f t="shared" si="120"/>
        <v>0</v>
      </c>
      <c r="V493">
        <f t="shared" si="126"/>
        <v>0</v>
      </c>
      <c r="W493">
        <f t="shared" si="114"/>
        <v>0</v>
      </c>
      <c r="X493">
        <f>SUM($W$34:W493)</f>
        <v>114.45790860000005</v>
      </c>
      <c r="Y493">
        <f t="shared" si="127"/>
        <v>0</v>
      </c>
    </row>
    <row r="494" spans="1:25">
      <c r="A494">
        <v>113.303431</v>
      </c>
      <c r="B494" s="2">
        <f t="shared" si="112"/>
        <v>7.6282082248572579E-3</v>
      </c>
      <c r="C494">
        <v>117.0532231</v>
      </c>
      <c r="D494" s="3">
        <f t="shared" si="113"/>
        <v>3.062378662251097E-3</v>
      </c>
      <c r="E494" s="3">
        <f t="shared" si="115"/>
        <v>9.1481462797141089E-4</v>
      </c>
      <c r="F494" s="3">
        <f>STDEV($E$32:E494)</f>
        <v>1.3008913358378279E-2</v>
      </c>
      <c r="G494" s="14">
        <f t="shared" si="118"/>
        <v>7.0322140118047008E-2</v>
      </c>
      <c r="H494" s="15">
        <f>yint($B$3:B494,$D$3:D494)</f>
        <v>3.2892174083272267E-4</v>
      </c>
      <c r="I494" s="16">
        <f>MyReg($B$3:B494,$D$3:D494)</f>
        <v>0.23841015345133612</v>
      </c>
      <c r="J494" s="17">
        <f>STDEV($D$3:D494)</f>
        <v>1.3271471980398367E-2</v>
      </c>
      <c r="K494" s="4">
        <f t="shared" si="116"/>
        <v>2.1475640342796861E-3</v>
      </c>
      <c r="L494">
        <f t="shared" si="119"/>
        <v>7.0322140118047008E-2</v>
      </c>
      <c r="M494">
        <f>RSQ($D$3:D494,$B$3:B494)</f>
        <v>5.0120769589725153E-2</v>
      </c>
      <c r="N494">
        <v>462</v>
      </c>
      <c r="O494" t="str">
        <f t="shared" si="117"/>
        <v/>
      </c>
      <c r="P494" t="str">
        <f t="shared" si="121"/>
        <v/>
      </c>
      <c r="Q494">
        <f t="shared" si="122"/>
        <v>0</v>
      </c>
      <c r="R494">
        <f t="shared" si="123"/>
        <v>0</v>
      </c>
      <c r="S494">
        <f t="shared" si="124"/>
        <v>0</v>
      </c>
      <c r="T494">
        <f t="shared" si="125"/>
        <v>0</v>
      </c>
      <c r="U494">
        <f t="shared" si="120"/>
        <v>0</v>
      </c>
      <c r="V494">
        <f t="shared" si="126"/>
        <v>0</v>
      </c>
      <c r="W494">
        <f t="shared" si="114"/>
        <v>0</v>
      </c>
      <c r="X494">
        <f>SUM($W$34:W494)</f>
        <v>114.45790860000005</v>
      </c>
      <c r="Y494">
        <f t="shared" si="127"/>
        <v>0</v>
      </c>
    </row>
    <row r="495" spans="1:25">
      <c r="A495">
        <v>112.3506709</v>
      </c>
      <c r="B495" s="2">
        <f t="shared" si="112"/>
        <v>-8.4089254102111526E-3</v>
      </c>
      <c r="C495">
        <v>113.794484</v>
      </c>
      <c r="D495" s="3">
        <f t="shared" si="113"/>
        <v>-2.783980665971085E-2</v>
      </c>
      <c r="E495" s="3">
        <f t="shared" si="115"/>
        <v>-2.6084805936645056E-2</v>
      </c>
      <c r="F495" s="3">
        <f>STDEV($E$32:E495)</f>
        <v>1.3051978606787055E-2</v>
      </c>
      <c r="G495" s="14">
        <f t="shared" si="118"/>
        <v>-1.9985326916702808</v>
      </c>
      <c r="H495" s="15">
        <f>yint($B$3:B495,$D$3:D495)</f>
        <v>2.7491283024531199E-4</v>
      </c>
      <c r="I495" s="16">
        <f>MyReg($B$3:B495,$D$3:D495)</f>
        <v>0.24139987623699641</v>
      </c>
      <c r="J495" s="17">
        <f>STDEV($D$3:D495)</f>
        <v>1.3318877860681757E-2</v>
      </c>
      <c r="K495" s="4">
        <f t="shared" si="116"/>
        <v>-1.7550007230657946E-3</v>
      </c>
      <c r="L495">
        <f t="shared" si="119"/>
        <v>-1.9985326916702808</v>
      </c>
      <c r="M495">
        <f>RSQ($D$3:D495,$B$3:B495)</f>
        <v>5.0967766049980844E-2</v>
      </c>
      <c r="N495">
        <v>463</v>
      </c>
      <c r="O495" t="str">
        <f t="shared" si="117"/>
        <v>buyY</v>
      </c>
      <c r="P495" t="str">
        <f t="shared" si="121"/>
        <v/>
      </c>
      <c r="Q495">
        <f t="shared" si="122"/>
        <v>-10</v>
      </c>
      <c r="R495">
        <f t="shared" si="123"/>
        <v>0</v>
      </c>
      <c r="S495">
        <f t="shared" si="124"/>
        <v>10</v>
      </c>
      <c r="T495">
        <f t="shared" si="125"/>
        <v>0</v>
      </c>
      <c r="U495">
        <f t="shared" si="120"/>
        <v>20</v>
      </c>
      <c r="V495">
        <f t="shared" si="126"/>
        <v>-10</v>
      </c>
      <c r="W495">
        <f t="shared" si="114"/>
        <v>-14.438130999999998</v>
      </c>
      <c r="X495">
        <f>SUM($W$34:W495)</f>
        <v>100.01977760000005</v>
      </c>
      <c r="Y495">
        <f t="shared" si="127"/>
        <v>0</v>
      </c>
    </row>
    <row r="496" spans="1:25">
      <c r="A496">
        <v>111.3760154</v>
      </c>
      <c r="B496" s="2">
        <f t="shared" si="112"/>
        <v>-8.6751195359350292E-3</v>
      </c>
      <c r="C496">
        <v>116.29049809999999</v>
      </c>
      <c r="D496" s="3">
        <f t="shared" si="113"/>
        <v>2.1934403252797354E-2</v>
      </c>
      <c r="E496" s="3">
        <f t="shared" si="115"/>
        <v>2.3680563913135069E-2</v>
      </c>
      <c r="F496" s="3">
        <f>STDEV($E$32:E496)</f>
        <v>1.3083555916142338E-2</v>
      </c>
      <c r="G496" s="14">
        <f t="shared" si="118"/>
        <v>1.8099486152627871</v>
      </c>
      <c r="H496" s="15">
        <f>yint($B$3:B496,$D$3:D496)</f>
        <v>3.2382131218870985E-4</v>
      </c>
      <c r="I496" s="16">
        <f>MyReg($B$3:B496,$D$3:D496)</f>
        <v>0.23861134869115291</v>
      </c>
      <c r="J496" s="17">
        <f>STDEV($D$3:D496)</f>
        <v>1.3340754030164709E-2</v>
      </c>
      <c r="K496" s="4">
        <f t="shared" si="116"/>
        <v>-1.746160660337716E-3</v>
      </c>
      <c r="L496">
        <f t="shared" si="119"/>
        <v>1.8099486152627871</v>
      </c>
      <c r="M496">
        <f>RSQ($D$3:D496,$B$3:B496)</f>
        <v>4.9585526640389455E-2</v>
      </c>
      <c r="N496">
        <v>464</v>
      </c>
      <c r="O496" t="str">
        <f t="shared" si="117"/>
        <v>sellY</v>
      </c>
      <c r="P496" t="str">
        <f t="shared" si="121"/>
        <v>close&amp;sell</v>
      </c>
      <c r="Q496">
        <f t="shared" si="122"/>
        <v>10</v>
      </c>
      <c r="R496">
        <f t="shared" si="123"/>
        <v>0</v>
      </c>
      <c r="S496">
        <f t="shared" si="124"/>
        <v>-10</v>
      </c>
      <c r="T496">
        <f t="shared" si="125"/>
        <v>0</v>
      </c>
      <c r="U496">
        <f t="shared" si="120"/>
        <v>20</v>
      </c>
      <c r="V496">
        <f t="shared" si="126"/>
        <v>20</v>
      </c>
      <c r="W496">
        <f t="shared" si="114"/>
        <v>98.289653999999871</v>
      </c>
      <c r="X496">
        <f>SUM($W$34:W496)</f>
        <v>198.30943159999993</v>
      </c>
      <c r="Y496">
        <f t="shared" si="127"/>
        <v>0</v>
      </c>
    </row>
    <row r="497" spans="1:25">
      <c r="A497">
        <v>110.8055087</v>
      </c>
      <c r="B497" s="2">
        <f t="shared" si="112"/>
        <v>-5.1223479126188574E-3</v>
      </c>
      <c r="C497">
        <v>114.7316532</v>
      </c>
      <c r="D497" s="3">
        <f t="shared" si="113"/>
        <v>-1.3404748672239087E-2</v>
      </c>
      <c r="E497" s="3">
        <f t="shared" si="115"/>
        <v>-1.2476271490701447E-2</v>
      </c>
      <c r="F497" s="3">
        <f>STDEV($E$32:E497)</f>
        <v>1.3082631598474092E-2</v>
      </c>
      <c r="G497" s="14">
        <f t="shared" si="118"/>
        <v>-0.95365151856424901</v>
      </c>
      <c r="H497" s="15">
        <f>yint($B$3:B497,$D$3:D497)</f>
        <v>2.9830426735986883E-4</v>
      </c>
      <c r="I497" s="16">
        <f>MyReg($B$3:B497,$D$3:D497)</f>
        <v>0.23949592449106058</v>
      </c>
      <c r="J497" s="17">
        <f>STDEV($D$3:D497)</f>
        <v>1.3341668559627397E-2</v>
      </c>
      <c r="K497" s="4">
        <f t="shared" si="116"/>
        <v>-9.284771815376388E-4</v>
      </c>
      <c r="L497">
        <f t="shared" si="119"/>
        <v>-0.95365151856424901</v>
      </c>
      <c r="M497">
        <f>RSQ($D$3:D497,$B$3:B497)</f>
        <v>4.9865006608544475E-2</v>
      </c>
      <c r="N497">
        <v>465</v>
      </c>
      <c r="O497" t="str">
        <f t="shared" si="117"/>
        <v/>
      </c>
      <c r="P497" t="str">
        <f t="shared" si="121"/>
        <v>close</v>
      </c>
      <c r="Q497">
        <f t="shared" si="122"/>
        <v>0</v>
      </c>
      <c r="R497">
        <f t="shared" si="123"/>
        <v>0</v>
      </c>
      <c r="S497">
        <f t="shared" si="124"/>
        <v>0</v>
      </c>
      <c r="T497">
        <f t="shared" si="125"/>
        <v>0</v>
      </c>
      <c r="U497">
        <f t="shared" si="120"/>
        <v>0</v>
      </c>
      <c r="V497">
        <f t="shared" si="126"/>
        <v>-10</v>
      </c>
      <c r="W497">
        <f t="shared" si="114"/>
        <v>-39.261444999999924</v>
      </c>
      <c r="X497">
        <f>SUM($W$34:W497)</f>
        <v>159.0479866</v>
      </c>
      <c r="Y497">
        <f t="shared" si="127"/>
        <v>159.0479866</v>
      </c>
    </row>
    <row r="498" spans="1:25">
      <c r="A498">
        <v>112.6413843</v>
      </c>
      <c r="B498" s="2">
        <f t="shared" si="112"/>
        <v>1.6568450626137456E-2</v>
      </c>
      <c r="C498">
        <v>114.1426889</v>
      </c>
      <c r="D498" s="3">
        <f t="shared" si="113"/>
        <v>-5.1334072470246659E-3</v>
      </c>
      <c r="E498" s="3">
        <f t="shared" si="115"/>
        <v>-9.3484750161640703E-3</v>
      </c>
      <c r="F498" s="3">
        <f>STDEV($E$32:E498)</f>
        <v>1.3075986598713644E-2</v>
      </c>
      <c r="G498" s="14">
        <f t="shared" si="118"/>
        <v>-0.71493458222752615</v>
      </c>
      <c r="H498" s="15">
        <f>yint($B$3:B498,$D$3:D498)</f>
        <v>2.7998520711522364E-4</v>
      </c>
      <c r="I498" s="16">
        <f>MyReg($B$3:B498,$D$3:D498)</f>
        <v>0.23750455916598601</v>
      </c>
      <c r="J498" s="17">
        <f>STDEV($D$3:D498)</f>
        <v>1.3330472941081549E-2</v>
      </c>
      <c r="K498" s="4">
        <f t="shared" si="116"/>
        <v>4.2150677691394044E-3</v>
      </c>
      <c r="L498">
        <f t="shared" si="119"/>
        <v>-0.71493458222752615</v>
      </c>
      <c r="M498">
        <f>RSQ($D$3:D498,$B$3:B498)</f>
        <v>4.9192088673460324E-2</v>
      </c>
      <c r="N498">
        <v>466</v>
      </c>
      <c r="O498" t="str">
        <f t="shared" si="117"/>
        <v/>
      </c>
      <c r="P498" t="str">
        <f t="shared" si="121"/>
        <v/>
      </c>
      <c r="Q498">
        <f t="shared" si="122"/>
        <v>0</v>
      </c>
      <c r="R498">
        <f t="shared" si="123"/>
        <v>0</v>
      </c>
      <c r="S498">
        <f t="shared" si="124"/>
        <v>0</v>
      </c>
      <c r="T498">
        <f t="shared" si="125"/>
        <v>0</v>
      </c>
      <c r="U498">
        <f t="shared" si="120"/>
        <v>0</v>
      </c>
      <c r="V498">
        <f t="shared" si="126"/>
        <v>0</v>
      </c>
      <c r="W498">
        <f t="shared" si="114"/>
        <v>0</v>
      </c>
      <c r="X498">
        <f>SUM($W$34:W498)</f>
        <v>159.0479866</v>
      </c>
      <c r="Y498">
        <f t="shared" si="127"/>
        <v>0</v>
      </c>
    </row>
    <row r="499" spans="1:25">
      <c r="A499">
        <v>113.5764235</v>
      </c>
      <c r="B499" s="2">
        <f t="shared" si="112"/>
        <v>8.3010272450993444E-3</v>
      </c>
      <c r="C499">
        <v>116.2832844</v>
      </c>
      <c r="D499" s="3">
        <f t="shared" si="113"/>
        <v>1.8753680333178164E-2</v>
      </c>
      <c r="E499" s="3">
        <f t="shared" si="115"/>
        <v>1.6455314536306918E-2</v>
      </c>
      <c r="F499" s="3">
        <f>STDEV($E$32:E499)</f>
        <v>1.3083743347471095E-2</v>
      </c>
      <c r="G499" s="14">
        <f t="shared" si="118"/>
        <v>1.2576916329903016</v>
      </c>
      <c r="H499" s="15">
        <f>yint($B$3:B499,$D$3:D499)</f>
        <v>3.1261760744462049E-4</v>
      </c>
      <c r="I499" s="16">
        <f>MyReg($B$3:B499,$D$3:D499)</f>
        <v>0.2392171632250632</v>
      </c>
      <c r="J499" s="17">
        <f>STDEV($D$3:D499)</f>
        <v>1.3342575511620786E-2</v>
      </c>
      <c r="K499" s="4">
        <f t="shared" si="116"/>
        <v>2.2983657968712471E-3</v>
      </c>
      <c r="L499">
        <f t="shared" si="119"/>
        <v>1.2576916329903016</v>
      </c>
      <c r="M499">
        <f>RSQ($D$3:D499,$B$3:B499)</f>
        <v>4.9754379300502638E-2</v>
      </c>
      <c r="N499">
        <v>467</v>
      </c>
      <c r="O499" t="str">
        <f t="shared" si="117"/>
        <v/>
      </c>
      <c r="P499" t="str">
        <f t="shared" si="121"/>
        <v/>
      </c>
      <c r="Q499">
        <f t="shared" si="122"/>
        <v>0</v>
      </c>
      <c r="R499">
        <f t="shared" si="123"/>
        <v>0</v>
      </c>
      <c r="S499">
        <f t="shared" si="124"/>
        <v>0</v>
      </c>
      <c r="T499">
        <f t="shared" si="125"/>
        <v>0</v>
      </c>
      <c r="U499">
        <f t="shared" si="120"/>
        <v>0</v>
      </c>
      <c r="V499">
        <f t="shared" si="126"/>
        <v>0</v>
      </c>
      <c r="W499">
        <f t="shared" si="114"/>
        <v>0</v>
      </c>
      <c r="X499">
        <f>SUM($W$34:W499)</f>
        <v>159.0479866</v>
      </c>
      <c r="Y499">
        <f t="shared" si="127"/>
        <v>0</v>
      </c>
    </row>
    <row r="500" spans="1:25">
      <c r="A500">
        <v>116.9536264</v>
      </c>
      <c r="B500" s="2">
        <f t="shared" si="112"/>
        <v>2.9735069972510627E-2</v>
      </c>
      <c r="C500">
        <v>115.9933965</v>
      </c>
      <c r="D500" s="3">
        <f t="shared" si="113"/>
        <v>-2.4929455810933092E-3</v>
      </c>
      <c r="E500" s="3">
        <f t="shared" si="115"/>
        <v>-9.7887860424735445E-3</v>
      </c>
      <c r="F500" s="3">
        <f>STDEV($E$32:E500)</f>
        <v>1.3077846734270728E-2</v>
      </c>
      <c r="G500" s="14">
        <f t="shared" si="118"/>
        <v>-0.74850135816486196</v>
      </c>
      <c r="H500" s="15">
        <f>yint($B$3:B500,$D$3:D500)</f>
        <v>2.9417207132253261E-4</v>
      </c>
      <c r="I500" s="16">
        <f>MyReg($B$3:B500,$D$3:D500)</f>
        <v>0.23546836770623308</v>
      </c>
      <c r="J500" s="17">
        <f>STDEV($D$3:D500)</f>
        <v>1.3329772717924656E-2</v>
      </c>
      <c r="K500" s="4">
        <f t="shared" si="116"/>
        <v>7.2958404613802348E-3</v>
      </c>
      <c r="L500">
        <f t="shared" si="119"/>
        <v>-0.74850135816486196</v>
      </c>
      <c r="M500">
        <f>RSQ($D$3:D500,$B$3:B500)</f>
        <v>4.8744316963790051E-2</v>
      </c>
      <c r="N500">
        <v>468</v>
      </c>
      <c r="O500" t="str">
        <f t="shared" si="117"/>
        <v/>
      </c>
      <c r="P500" t="str">
        <f t="shared" si="121"/>
        <v/>
      </c>
      <c r="Q500">
        <f t="shared" si="122"/>
        <v>0</v>
      </c>
      <c r="R500">
        <f t="shared" si="123"/>
        <v>0</v>
      </c>
      <c r="S500">
        <f t="shared" si="124"/>
        <v>0</v>
      </c>
      <c r="T500">
        <f t="shared" si="125"/>
        <v>0</v>
      </c>
      <c r="U500">
        <f t="shared" si="120"/>
        <v>0</v>
      </c>
      <c r="V500">
        <f t="shared" si="126"/>
        <v>0</v>
      </c>
      <c r="W500">
        <f t="shared" si="114"/>
        <v>0</v>
      </c>
      <c r="X500">
        <f>SUM($W$34:W500)</f>
        <v>159.0479866</v>
      </c>
      <c r="Y500">
        <f t="shared" si="127"/>
        <v>0</v>
      </c>
    </row>
    <row r="501" spans="1:25">
      <c r="A501">
        <v>115.91590119999999</v>
      </c>
      <c r="B501" s="2">
        <f t="shared" si="112"/>
        <v>-8.872963002026342E-3</v>
      </c>
      <c r="C501">
        <v>115.9086331</v>
      </c>
      <c r="D501" s="3">
        <f t="shared" si="113"/>
        <v>-7.3076056532235382E-4</v>
      </c>
      <c r="E501" s="3">
        <f t="shared" si="115"/>
        <v>1.0610654974876812E-3</v>
      </c>
      <c r="F501" s="3">
        <f>STDEV($E$32:E501)</f>
        <v>1.3063964635182399E-2</v>
      </c>
      <c r="G501" s="14">
        <f t="shared" si="118"/>
        <v>8.1220787648960638E-2</v>
      </c>
      <c r="H501" s="15">
        <f>yint($B$3:B501,$D$3:D501)</f>
        <v>2.9635243331450141E-4</v>
      </c>
      <c r="I501" s="16">
        <f>MyReg($B$3:B501,$D$3:D501)</f>
        <v>0.23534173371935099</v>
      </c>
      <c r="J501" s="17">
        <f>STDEV($D$3:D501)</f>
        <v>1.3316476630860087E-2</v>
      </c>
      <c r="K501" s="4">
        <f t="shared" si="116"/>
        <v>-1.791826062810035E-3</v>
      </c>
      <c r="L501">
        <f t="shared" si="119"/>
        <v>8.1220787648960638E-2</v>
      </c>
      <c r="M501">
        <f>RSQ($D$3:D501,$B$3:B501)</f>
        <v>4.8744949916137134E-2</v>
      </c>
      <c r="N501">
        <v>469</v>
      </c>
      <c r="O501" t="str">
        <f t="shared" si="117"/>
        <v/>
      </c>
      <c r="P501" t="str">
        <f t="shared" si="121"/>
        <v/>
      </c>
      <c r="Q501">
        <f t="shared" si="122"/>
        <v>0</v>
      </c>
      <c r="R501">
        <f t="shared" si="123"/>
        <v>0</v>
      </c>
      <c r="S501">
        <f t="shared" si="124"/>
        <v>0</v>
      </c>
      <c r="T501">
        <f t="shared" si="125"/>
        <v>0</v>
      </c>
      <c r="U501">
        <f t="shared" si="120"/>
        <v>0</v>
      </c>
      <c r="V501">
        <f t="shared" si="126"/>
        <v>0</v>
      </c>
      <c r="W501">
        <f t="shared" si="114"/>
        <v>0</v>
      </c>
      <c r="X501">
        <f>SUM($W$34:W501)</f>
        <v>159.0479866</v>
      </c>
      <c r="Y501">
        <f t="shared" si="127"/>
        <v>0</v>
      </c>
    </row>
    <row r="502" spans="1:25">
      <c r="A502">
        <v>118.1143982</v>
      </c>
      <c r="B502" s="2">
        <f t="shared" si="112"/>
        <v>1.8966310723899229E-2</v>
      </c>
      <c r="C502">
        <v>114.88771869999999</v>
      </c>
      <c r="D502" s="3">
        <f t="shared" si="113"/>
        <v>-8.8079237300574247E-3</v>
      </c>
      <c r="E502" s="3">
        <f t="shared" si="115"/>
        <v>-1.3480866957354624E-2</v>
      </c>
      <c r="F502" s="3">
        <f>STDEV($E$32:E502)</f>
        <v>1.3065168862076331E-2</v>
      </c>
      <c r="G502" s="14">
        <f t="shared" si="118"/>
        <v>-1.0318172768883931</v>
      </c>
      <c r="H502" s="15">
        <f>yint($B$3:B502,$D$3:D502)</f>
        <v>2.7054266519975295E-4</v>
      </c>
      <c r="I502" s="16">
        <f>MyReg($B$3:B502,$D$3:D502)</f>
        <v>0.23211686374778367</v>
      </c>
      <c r="J502" s="17">
        <f>STDEV($D$3:D502)</f>
        <v>1.3309477010108683E-2</v>
      </c>
      <c r="K502" s="4">
        <f t="shared" si="116"/>
        <v>4.672943227297199E-3</v>
      </c>
      <c r="L502">
        <f t="shared" si="119"/>
        <v>-1.0318172768883931</v>
      </c>
      <c r="M502">
        <f>RSQ($D$3:D502,$B$3:B502)</f>
        <v>4.7583244342025439E-2</v>
      </c>
      <c r="N502">
        <v>470</v>
      </c>
      <c r="O502" t="str">
        <f t="shared" si="117"/>
        <v/>
      </c>
      <c r="P502" t="str">
        <f t="shared" si="121"/>
        <v/>
      </c>
      <c r="Q502">
        <f t="shared" si="122"/>
        <v>0</v>
      </c>
      <c r="R502">
        <f t="shared" si="123"/>
        <v>0</v>
      </c>
      <c r="S502">
        <f t="shared" si="124"/>
        <v>0</v>
      </c>
      <c r="T502">
        <f t="shared" si="125"/>
        <v>0</v>
      </c>
      <c r="U502">
        <f t="shared" si="120"/>
        <v>0</v>
      </c>
      <c r="V502">
        <f t="shared" si="126"/>
        <v>0</v>
      </c>
      <c r="W502">
        <f t="shared" si="114"/>
        <v>0</v>
      </c>
      <c r="X502">
        <f>SUM($W$34:W502)</f>
        <v>159.0479866</v>
      </c>
      <c r="Y502">
        <f t="shared" si="127"/>
        <v>0</v>
      </c>
    </row>
    <row r="503" spans="1:25">
      <c r="A503">
        <v>117.46190319999999</v>
      </c>
      <c r="B503" s="2">
        <f t="shared" si="112"/>
        <v>-5.5242630021714138E-3</v>
      </c>
      <c r="C503">
        <v>113.19279109999999</v>
      </c>
      <c r="D503" s="3">
        <f t="shared" si="113"/>
        <v>-1.4752905003065395E-2</v>
      </c>
      <c r="E503" s="3">
        <f t="shared" si="115"/>
        <v>-1.3707572068596834E-2</v>
      </c>
      <c r="F503" s="3">
        <f>STDEV($E$32:E503)</f>
        <v>1.3066808241406045E-2</v>
      </c>
      <c r="G503" s="14">
        <f t="shared" si="118"/>
        <v>-1.0490375166875365</v>
      </c>
      <c r="H503" s="15">
        <f>yint($B$3:B503,$D$3:D503)</f>
        <v>2.4269902056920262E-4</v>
      </c>
      <c r="I503" s="16">
        <f>MyReg($B$3:B503,$D$3:D503)</f>
        <v>0.23315905751255481</v>
      </c>
      <c r="J503" s="17">
        <f>STDEV($D$3:D503)</f>
        <v>1.3313306977595325E-2</v>
      </c>
      <c r="K503" s="4">
        <f t="shared" si="116"/>
        <v>-1.0453329344685606E-3</v>
      </c>
      <c r="L503">
        <f t="shared" si="119"/>
        <v>-1.0490375166875365</v>
      </c>
      <c r="M503">
        <f>RSQ($D$3:D503,$B$3:B503)</f>
        <v>4.7909476377864059E-2</v>
      </c>
      <c r="N503">
        <v>471</v>
      </c>
      <c r="O503" t="str">
        <f t="shared" si="117"/>
        <v/>
      </c>
      <c r="P503" t="str">
        <f t="shared" si="121"/>
        <v/>
      </c>
      <c r="Q503">
        <f t="shared" si="122"/>
        <v>0</v>
      </c>
      <c r="R503">
        <f t="shared" si="123"/>
        <v>0</v>
      </c>
      <c r="S503">
        <f t="shared" si="124"/>
        <v>0</v>
      </c>
      <c r="T503">
        <f t="shared" si="125"/>
        <v>0</v>
      </c>
      <c r="U503">
        <f t="shared" si="120"/>
        <v>0</v>
      </c>
      <c r="V503">
        <f t="shared" si="126"/>
        <v>0</v>
      </c>
      <c r="W503">
        <f t="shared" si="114"/>
        <v>0</v>
      </c>
      <c r="X503">
        <f>SUM($W$34:W503)</f>
        <v>159.0479866</v>
      </c>
      <c r="Y503">
        <f t="shared" si="127"/>
        <v>0</v>
      </c>
    </row>
    <row r="504" spans="1:25">
      <c r="A504">
        <v>118.6095272</v>
      </c>
      <c r="B504" s="2">
        <f t="shared" si="112"/>
        <v>9.7701805328828314E-3</v>
      </c>
      <c r="C504">
        <v>113.05847439999999</v>
      </c>
      <c r="D504" s="3">
        <f t="shared" si="113"/>
        <v>-1.1866188535039968E-3</v>
      </c>
      <c r="E504" s="3">
        <f t="shared" si="115"/>
        <v>-3.6957917650327667E-3</v>
      </c>
      <c r="F504" s="3">
        <f>STDEV($E$32:E504)</f>
        <v>1.3054121774964348E-2</v>
      </c>
      <c r="G504" s="14">
        <f t="shared" si="118"/>
        <v>-0.28311301432170533</v>
      </c>
      <c r="H504" s="15">
        <f>yint($B$3:B504,$D$3:D504)</f>
        <v>2.3549925620809024E-4</v>
      </c>
      <c r="I504" s="16">
        <f>MyReg($B$3:B504,$D$3:D504)</f>
        <v>0.23271562359245371</v>
      </c>
      <c r="J504" s="17">
        <f>STDEV($D$3:D504)</f>
        <v>1.3300187179507737E-2</v>
      </c>
      <c r="K504" s="4">
        <f t="shared" si="116"/>
        <v>2.5091729115287696E-3</v>
      </c>
      <c r="L504">
        <f t="shared" si="119"/>
        <v>-0.28311301432170533</v>
      </c>
      <c r="M504">
        <f>RSQ($D$3:D504,$B$3:B504)</f>
        <v>4.7779724562807907E-2</v>
      </c>
      <c r="N504">
        <v>472</v>
      </c>
      <c r="O504" t="str">
        <f t="shared" si="117"/>
        <v/>
      </c>
      <c r="P504" t="str">
        <f t="shared" si="121"/>
        <v/>
      </c>
      <c r="Q504">
        <f t="shared" si="122"/>
        <v>0</v>
      </c>
      <c r="R504">
        <f t="shared" si="123"/>
        <v>0</v>
      </c>
      <c r="S504">
        <f t="shared" si="124"/>
        <v>0</v>
      </c>
      <c r="T504">
        <f t="shared" si="125"/>
        <v>0</v>
      </c>
      <c r="U504">
        <f t="shared" si="120"/>
        <v>0</v>
      </c>
      <c r="V504">
        <f t="shared" si="126"/>
        <v>0</v>
      </c>
      <c r="W504">
        <f t="shared" si="114"/>
        <v>0</v>
      </c>
      <c r="X504">
        <f>SUM($W$34:W504)</f>
        <v>159.0479866</v>
      </c>
      <c r="Y504">
        <f t="shared" si="127"/>
        <v>0</v>
      </c>
    </row>
    <row r="505" spans="1:25">
      <c r="A505">
        <v>118.4418625</v>
      </c>
      <c r="B505" s="2">
        <f t="shared" si="112"/>
        <v>-1.4135854341387436E-3</v>
      </c>
      <c r="C505">
        <v>113.3778484</v>
      </c>
      <c r="D505" s="3">
        <f t="shared" si="113"/>
        <v>2.824856798173906E-3</v>
      </c>
      <c r="E505" s="3">
        <f t="shared" si="115"/>
        <v>2.9123944225537064E-3</v>
      </c>
      <c r="F505" s="3">
        <f>STDEV($E$32:E505)</f>
        <v>1.304096157208191E-2</v>
      </c>
      <c r="G505" s="14">
        <f t="shared" si="118"/>
        <v>0.22332666241334231</v>
      </c>
      <c r="H505" s="15">
        <f>yint($B$3:B505,$D$3:D505)</f>
        <v>2.4132935367236801E-4</v>
      </c>
      <c r="I505" s="16">
        <f>MyReg($B$3:B505,$D$3:D505)</f>
        <v>0.2326474015010897</v>
      </c>
      <c r="J505" s="17">
        <f>STDEV($D$3:D505)</f>
        <v>1.3287397996058516E-2</v>
      </c>
      <c r="K505" s="4">
        <f t="shared" si="116"/>
        <v>-8.7537624379800465E-5</v>
      </c>
      <c r="L505">
        <f t="shared" si="119"/>
        <v>0.22332666241334231</v>
      </c>
      <c r="M505">
        <f>RSQ($D$3:D505,$B$3:B505)</f>
        <v>4.7750419912948254E-2</v>
      </c>
      <c r="N505">
        <v>473</v>
      </c>
      <c r="O505" t="str">
        <f t="shared" si="117"/>
        <v/>
      </c>
      <c r="P505" t="str">
        <f t="shared" si="121"/>
        <v/>
      </c>
      <c r="Q505">
        <f t="shared" si="122"/>
        <v>0</v>
      </c>
      <c r="R505">
        <f t="shared" si="123"/>
        <v>0</v>
      </c>
      <c r="S505">
        <f t="shared" si="124"/>
        <v>0</v>
      </c>
      <c r="T505">
        <f t="shared" si="125"/>
        <v>0</v>
      </c>
      <c r="U505">
        <f t="shared" si="120"/>
        <v>0</v>
      </c>
      <c r="V505">
        <f t="shared" si="126"/>
        <v>0</v>
      </c>
      <c r="W505">
        <f t="shared" si="114"/>
        <v>0</v>
      </c>
      <c r="X505">
        <f>SUM($W$34:W505)</f>
        <v>159.0479866</v>
      </c>
      <c r="Y505">
        <f t="shared" si="127"/>
        <v>0</v>
      </c>
    </row>
    <row r="506" spans="1:25">
      <c r="A506">
        <v>118.5341931</v>
      </c>
      <c r="B506" s="2">
        <f t="shared" si="112"/>
        <v>7.7954363475157969E-4</v>
      </c>
      <c r="C506">
        <v>113.68255809999999</v>
      </c>
      <c r="D506" s="3">
        <f t="shared" si="113"/>
        <v>2.6875593804264629E-3</v>
      </c>
      <c r="E506" s="3">
        <f t="shared" si="115"/>
        <v>2.2603735855730371E-3</v>
      </c>
      <c r="F506" s="3">
        <f>STDEV($E$32:E506)</f>
        <v>1.3027578097660903E-2</v>
      </c>
      <c r="G506" s="14">
        <f t="shared" si="118"/>
        <v>0.17350681520603484</v>
      </c>
      <c r="H506" s="15">
        <f>yint($B$3:B506,$D$3:D506)</f>
        <v>2.4581876383189988E-4</v>
      </c>
      <c r="I506" s="16">
        <f>MyReg($B$3:B506,$D$3:D506)</f>
        <v>0.23265795901126549</v>
      </c>
      <c r="J506" s="17">
        <f>STDEV($D$3:D506)</f>
        <v>1.327459594333784E-2</v>
      </c>
      <c r="K506" s="4">
        <f t="shared" si="116"/>
        <v>4.2718579485342582E-4</v>
      </c>
      <c r="L506">
        <f t="shared" si="119"/>
        <v>0.17350681520603484</v>
      </c>
      <c r="M506">
        <f>RSQ($D$3:D506,$B$3:B506)</f>
        <v>4.7751866061072422E-2</v>
      </c>
      <c r="N506">
        <v>474</v>
      </c>
      <c r="O506" t="str">
        <f t="shared" si="117"/>
        <v/>
      </c>
      <c r="P506" t="str">
        <f t="shared" si="121"/>
        <v/>
      </c>
      <c r="Q506">
        <f t="shared" si="122"/>
        <v>0</v>
      </c>
      <c r="R506">
        <f t="shared" si="123"/>
        <v>0</v>
      </c>
      <c r="S506">
        <f t="shared" si="124"/>
        <v>0</v>
      </c>
      <c r="T506">
        <f t="shared" si="125"/>
        <v>0</v>
      </c>
      <c r="U506">
        <f t="shared" si="120"/>
        <v>0</v>
      </c>
      <c r="V506">
        <f t="shared" si="126"/>
        <v>0</v>
      </c>
      <c r="W506">
        <f t="shared" si="114"/>
        <v>0</v>
      </c>
      <c r="X506">
        <f>SUM($W$34:W506)</f>
        <v>159.0479866</v>
      </c>
      <c r="Y506">
        <f t="shared" si="127"/>
        <v>0</v>
      </c>
    </row>
    <row r="507" spans="1:25">
      <c r="A507">
        <v>116.94465630000001</v>
      </c>
      <c r="B507" s="2">
        <f t="shared" si="112"/>
        <v>-1.3409943227596751E-2</v>
      </c>
      <c r="C507">
        <v>113.9973402</v>
      </c>
      <c r="D507" s="3">
        <f t="shared" si="113"/>
        <v>2.7689568677994251E-3</v>
      </c>
      <c r="E507" s="3">
        <f t="shared" si="115"/>
        <v>5.6181880556136817E-3</v>
      </c>
      <c r="F507" s="3">
        <f>STDEV($E$32:E507)</f>
        <v>1.3016318690169329E-2</v>
      </c>
      <c r="G507" s="14">
        <f t="shared" si="118"/>
        <v>0.43162649819390642</v>
      </c>
      <c r="H507" s="15">
        <f>yint($B$3:B507,$D$3:D507)</f>
        <v>2.5737825222756349E-4</v>
      </c>
      <c r="I507" s="16">
        <f>MyReg($B$3:B507,$D$3:D507)</f>
        <v>0.23166462283364697</v>
      </c>
      <c r="J507" s="17">
        <f>STDEV($D$3:D507)</f>
        <v>1.3261859772706963E-2</v>
      </c>
      <c r="K507" s="4">
        <f t="shared" si="116"/>
        <v>-2.8492311878142566E-3</v>
      </c>
      <c r="L507">
        <f t="shared" si="119"/>
        <v>0.43162649819390642</v>
      </c>
      <c r="M507">
        <f>RSQ($D$3:D507,$B$3:B507)</f>
        <v>4.7457334655671791E-2</v>
      </c>
      <c r="N507">
        <v>475</v>
      </c>
      <c r="O507" t="str">
        <f t="shared" si="117"/>
        <v/>
      </c>
      <c r="P507" t="str">
        <f t="shared" si="121"/>
        <v/>
      </c>
      <c r="Q507">
        <f t="shared" si="122"/>
        <v>0</v>
      </c>
      <c r="R507">
        <f t="shared" si="123"/>
        <v>0</v>
      </c>
      <c r="S507">
        <f t="shared" si="124"/>
        <v>0</v>
      </c>
      <c r="T507">
        <f t="shared" si="125"/>
        <v>0</v>
      </c>
      <c r="U507">
        <f t="shared" si="120"/>
        <v>0</v>
      </c>
      <c r="V507">
        <f t="shared" si="126"/>
        <v>0</v>
      </c>
      <c r="W507">
        <f t="shared" si="114"/>
        <v>0</v>
      </c>
      <c r="X507">
        <f>SUM($W$34:W507)</f>
        <v>159.0479866</v>
      </c>
      <c r="Y507">
        <f t="shared" si="127"/>
        <v>0</v>
      </c>
    </row>
    <row r="508" spans="1:25">
      <c r="A508">
        <v>116.09674149999999</v>
      </c>
      <c r="B508" s="2">
        <f t="shared" si="112"/>
        <v>-7.2505647271718246E-3</v>
      </c>
      <c r="C508">
        <v>111.6938157</v>
      </c>
      <c r="D508" s="3">
        <f t="shared" si="113"/>
        <v>-2.0206826720330751E-2</v>
      </c>
      <c r="E508" s="3">
        <f t="shared" si="115"/>
        <v>-1.8733465833292016E-2</v>
      </c>
      <c r="F508" s="3">
        <f>STDEV($E$32:E508)</f>
        <v>1.3031225254784607E-2</v>
      </c>
      <c r="G508" s="14">
        <f t="shared" si="118"/>
        <v>-1.4375828417526393</v>
      </c>
      <c r="H508" s="15">
        <f>yint($B$3:B508,$D$3:D508)</f>
        <v>2.1957456072249371E-4</v>
      </c>
      <c r="I508" s="16">
        <f>MyReg($B$3:B508,$D$3:D508)</f>
        <v>0.23349015027986389</v>
      </c>
      <c r="J508" s="17">
        <f>STDEV($D$3:D508)</f>
        <v>1.3280194640709616E-2</v>
      </c>
      <c r="K508" s="4">
        <f t="shared" si="116"/>
        <v>-1.4733608870387358E-3</v>
      </c>
      <c r="L508">
        <f t="shared" si="119"/>
        <v>-1.4375828417526393</v>
      </c>
      <c r="M508">
        <f>RSQ($D$3:D508,$B$3:B508)</f>
        <v>4.8015634823621797E-2</v>
      </c>
      <c r="N508">
        <v>476</v>
      </c>
      <c r="O508" t="str">
        <f t="shared" si="117"/>
        <v/>
      </c>
      <c r="P508" t="str">
        <f t="shared" si="121"/>
        <v/>
      </c>
      <c r="Q508">
        <f t="shared" si="122"/>
        <v>0</v>
      </c>
      <c r="R508">
        <f t="shared" si="123"/>
        <v>0</v>
      </c>
      <c r="S508">
        <f t="shared" si="124"/>
        <v>0</v>
      </c>
      <c r="T508">
        <f t="shared" si="125"/>
        <v>0</v>
      </c>
      <c r="U508">
        <f t="shared" si="120"/>
        <v>0</v>
      </c>
      <c r="V508">
        <f t="shared" si="126"/>
        <v>0</v>
      </c>
      <c r="W508">
        <f t="shared" si="114"/>
        <v>0</v>
      </c>
      <c r="X508">
        <f>SUM($W$34:W508)</f>
        <v>159.0479866</v>
      </c>
      <c r="Y508">
        <f t="shared" si="127"/>
        <v>0</v>
      </c>
    </row>
    <row r="509" spans="1:25">
      <c r="A509">
        <v>114.7535006</v>
      </c>
      <c r="B509" s="2">
        <f t="shared" si="112"/>
        <v>-1.1570013788888278E-2</v>
      </c>
      <c r="C509">
        <v>110.27450779999999</v>
      </c>
      <c r="D509" s="3">
        <f t="shared" si="113"/>
        <v>-1.2707130570345506E-2</v>
      </c>
      <c r="E509" s="3">
        <f t="shared" si="115"/>
        <v>-1.0186567665263411E-2</v>
      </c>
      <c r="F509" s="3">
        <f>STDEV($E$32:E509)</f>
        <v>1.3026005939306393E-2</v>
      </c>
      <c r="G509" s="14">
        <f t="shared" si="118"/>
        <v>-0.78201773534626717</v>
      </c>
      <c r="H509" s="15">
        <f>yint($B$3:B509,$D$3:D509)</f>
        <v>1.9886516719073196E-4</v>
      </c>
      <c r="I509" s="16">
        <f>MyReg($B$3:B509,$D$3:D509)</f>
        <v>0.23504103987192623</v>
      </c>
      <c r="J509" s="17">
        <f>STDEV($D$3:D509)</f>
        <v>1.3279648389601863E-2</v>
      </c>
      <c r="K509" s="4">
        <f t="shared" si="116"/>
        <v>-2.520562905082094E-3</v>
      </c>
      <c r="L509">
        <f t="shared" si="119"/>
        <v>-0.78201773534626717</v>
      </c>
      <c r="M509">
        <f>RSQ($D$3:D509,$B$3:B509)</f>
        <v>4.8651576309432662E-2</v>
      </c>
      <c r="N509">
        <v>477</v>
      </c>
      <c r="O509" t="str">
        <f t="shared" si="117"/>
        <v/>
      </c>
      <c r="P509" t="str">
        <f t="shared" si="121"/>
        <v/>
      </c>
      <c r="Q509">
        <f t="shared" si="122"/>
        <v>0</v>
      </c>
      <c r="R509">
        <f t="shared" si="123"/>
        <v>0</v>
      </c>
      <c r="S509">
        <f t="shared" si="124"/>
        <v>0</v>
      </c>
      <c r="T509">
        <f t="shared" si="125"/>
        <v>0</v>
      </c>
      <c r="U509">
        <f t="shared" si="120"/>
        <v>0</v>
      </c>
      <c r="V509">
        <f t="shared" si="126"/>
        <v>0</v>
      </c>
      <c r="W509">
        <f t="shared" si="114"/>
        <v>0</v>
      </c>
      <c r="X509">
        <f>SUM($W$34:W509)</f>
        <v>159.0479866</v>
      </c>
      <c r="Y509">
        <f t="shared" si="127"/>
        <v>0</v>
      </c>
    </row>
    <row r="510" spans="1:25">
      <c r="A510">
        <v>112.6848644</v>
      </c>
      <c r="B510" s="2">
        <f t="shared" si="112"/>
        <v>-1.8026780788245517E-2</v>
      </c>
      <c r="C510">
        <v>109.12912660000001</v>
      </c>
      <c r="D510" s="3">
        <f t="shared" si="113"/>
        <v>-1.0386636248491047E-2</v>
      </c>
      <c r="E510" s="3">
        <f t="shared" si="115"/>
        <v>-6.3089154320885533E-3</v>
      </c>
      <c r="F510" s="3">
        <f>STDEV($E$32:E510)</f>
        <v>1.3015613286750776E-2</v>
      </c>
      <c r="G510" s="14">
        <f t="shared" si="118"/>
        <v>-0.48471902883828794</v>
      </c>
      <c r="H510" s="15">
        <f>yint($B$3:B510,$D$3:D510)</f>
        <v>1.8590663955572775E-4</v>
      </c>
      <c r="I510" s="16">
        <f>MyReg($B$3:B510,$D$3:D510)</f>
        <v>0.23651629794812545</v>
      </c>
      <c r="J510" s="17">
        <f>STDEV($D$3:D510)</f>
        <v>1.3274985551899505E-2</v>
      </c>
      <c r="K510" s="4">
        <f t="shared" si="116"/>
        <v>-4.0777208164024933E-3</v>
      </c>
      <c r="L510">
        <f t="shared" si="119"/>
        <v>-0.48471902883828794</v>
      </c>
      <c r="M510">
        <f>RSQ($D$3:D510,$B$3:B510)</f>
        <v>4.9412603945245562E-2</v>
      </c>
      <c r="N510">
        <v>478</v>
      </c>
      <c r="O510" t="str">
        <f t="shared" si="117"/>
        <v/>
      </c>
      <c r="P510" t="str">
        <f t="shared" si="121"/>
        <v/>
      </c>
      <c r="Q510">
        <f t="shared" si="122"/>
        <v>0</v>
      </c>
      <c r="R510">
        <f t="shared" si="123"/>
        <v>0</v>
      </c>
      <c r="S510">
        <f t="shared" si="124"/>
        <v>0</v>
      </c>
      <c r="T510">
        <f t="shared" si="125"/>
        <v>0</v>
      </c>
      <c r="U510">
        <f t="shared" si="120"/>
        <v>0</v>
      </c>
      <c r="V510">
        <f t="shared" si="126"/>
        <v>0</v>
      </c>
      <c r="W510">
        <f t="shared" si="114"/>
        <v>0</v>
      </c>
      <c r="X510">
        <f>SUM($W$34:W510)</f>
        <v>159.0479866</v>
      </c>
      <c r="Y510">
        <f t="shared" si="127"/>
        <v>0</v>
      </c>
    </row>
    <row r="511" spans="1:25">
      <c r="A511">
        <v>112.3184198</v>
      </c>
      <c r="B511" s="2">
        <f t="shared" si="112"/>
        <v>-3.2519416156833406E-3</v>
      </c>
      <c r="C511">
        <v>105.623206</v>
      </c>
      <c r="D511" s="3">
        <f t="shared" si="113"/>
        <v>-3.2126350766560702E-2</v>
      </c>
      <c r="E511" s="3">
        <f t="shared" si="115"/>
        <v>-3.1476091145081951E-2</v>
      </c>
      <c r="F511" s="3">
        <f>STDEV($E$32:E511)</f>
        <v>1.3081321316134783E-2</v>
      </c>
      <c r="G511" s="14">
        <f t="shared" si="118"/>
        <v>-2.4061859184101428</v>
      </c>
      <c r="H511" s="15">
        <f>yint($B$3:B511,$D$3:D511)</f>
        <v>1.2350102660184907E-4</v>
      </c>
      <c r="I511" s="16">
        <f>MyReg($B$3:B511,$D$3:D511)</f>
        <v>0.23793805040931143</v>
      </c>
      <c r="J511" s="17">
        <f>STDEV($D$3:D511)</f>
        <v>1.3339377362908493E-2</v>
      </c>
      <c r="K511" s="4">
        <f t="shared" si="116"/>
        <v>-6.5025962147875131E-4</v>
      </c>
      <c r="L511">
        <f t="shared" si="119"/>
        <v>-2.4061859184101428</v>
      </c>
      <c r="M511">
        <f>RSQ($D$3:D511,$B$3:B511)</f>
        <v>4.9437263585288688E-2</v>
      </c>
      <c r="N511">
        <v>479</v>
      </c>
      <c r="O511" t="str">
        <f t="shared" si="117"/>
        <v>buyY</v>
      </c>
      <c r="P511" t="str">
        <f t="shared" si="121"/>
        <v/>
      </c>
      <c r="Q511">
        <f t="shared" si="122"/>
        <v>-15</v>
      </c>
      <c r="R511">
        <f t="shared" si="123"/>
        <v>-5</v>
      </c>
      <c r="S511">
        <f t="shared" si="124"/>
        <v>15</v>
      </c>
      <c r="T511">
        <f t="shared" si="125"/>
        <v>5</v>
      </c>
      <c r="U511">
        <f t="shared" si="120"/>
        <v>30</v>
      </c>
      <c r="V511">
        <f t="shared" si="126"/>
        <v>-15</v>
      </c>
      <c r="W511">
        <f t="shared" si="114"/>
        <v>100.42820700000007</v>
      </c>
      <c r="X511">
        <f>SUM($W$34:W511)</f>
        <v>259.4761936000001</v>
      </c>
      <c r="Y511">
        <f t="shared" si="127"/>
        <v>0</v>
      </c>
    </row>
    <row r="512" spans="1:25">
      <c r="A512">
        <v>112.824952</v>
      </c>
      <c r="B512" s="2">
        <f t="shared" si="112"/>
        <v>4.5097874498408429E-3</v>
      </c>
      <c r="C512">
        <v>107.47295819999999</v>
      </c>
      <c r="D512" s="3">
        <f t="shared" si="113"/>
        <v>1.7512744311131756E-2</v>
      </c>
      <c r="E512" s="3">
        <f t="shared" si="115"/>
        <v>1.6280562674352024E-2</v>
      </c>
      <c r="F512" s="3">
        <f>STDEV($E$32:E512)</f>
        <v>1.3088838682875904E-2</v>
      </c>
      <c r="G512" s="14">
        <f t="shared" si="118"/>
        <v>1.2438508158597634</v>
      </c>
      <c r="H512" s="15">
        <f>yint($B$3:B512,$D$3:D512)</f>
        <v>1.5522121358400859E-4</v>
      </c>
      <c r="I512" s="16">
        <f>MyReg($B$3:B512,$D$3:D512)</f>
        <v>0.23880513997033967</v>
      </c>
      <c r="J512" s="17">
        <f>STDEV($D$3:D512)</f>
        <v>1.3348309405845962E-2</v>
      </c>
      <c r="K512" s="4">
        <f t="shared" si="116"/>
        <v>1.2321816367797324E-3</v>
      </c>
      <c r="L512">
        <f t="shared" si="119"/>
        <v>1.2438508158597634</v>
      </c>
      <c r="M512">
        <f>RSQ($D$3:D512,$B$3:B512)</f>
        <v>4.9645000648528149E-2</v>
      </c>
      <c r="N512">
        <v>480</v>
      </c>
      <c r="O512" t="str">
        <f t="shared" si="117"/>
        <v/>
      </c>
      <c r="P512" t="str">
        <f t="shared" si="121"/>
        <v>close</v>
      </c>
      <c r="Q512">
        <f t="shared" si="122"/>
        <v>0</v>
      </c>
      <c r="R512">
        <f t="shared" si="123"/>
        <v>0</v>
      </c>
      <c r="S512">
        <f t="shared" si="124"/>
        <v>0</v>
      </c>
      <c r="T512">
        <f t="shared" si="125"/>
        <v>0</v>
      </c>
      <c r="U512">
        <f t="shared" si="120"/>
        <v>0</v>
      </c>
      <c r="V512">
        <f t="shared" si="126"/>
        <v>15</v>
      </c>
      <c r="W512">
        <f t="shared" si="114"/>
        <v>-80.279907000000037</v>
      </c>
      <c r="X512">
        <f>SUM($W$34:W512)</f>
        <v>179.19628660000006</v>
      </c>
      <c r="Y512">
        <f t="shared" si="127"/>
        <v>179.19628660000006</v>
      </c>
    </row>
    <row r="513" spans="1:25">
      <c r="A513">
        <v>112.8288307</v>
      </c>
      <c r="B513" s="2">
        <f t="shared" si="112"/>
        <v>3.4378033681781182E-5</v>
      </c>
      <c r="C513">
        <v>108.69529110000001</v>
      </c>
      <c r="D513" s="3">
        <f t="shared" si="113"/>
        <v>1.1373399601835954E-2</v>
      </c>
      <c r="E513" s="3">
        <f t="shared" si="115"/>
        <v>1.1188020354797268E-2</v>
      </c>
      <c r="F513" s="3">
        <f>STDEV($E$32:E513)</f>
        <v>1.3085149572397233E-2</v>
      </c>
      <c r="G513" s="14">
        <f t="shared" si="118"/>
        <v>0.85501661963406916</v>
      </c>
      <c r="H513" s="15">
        <f>yint($B$3:B513,$D$3:D513)</f>
        <v>1.7717095857738098E-4</v>
      </c>
      <c r="I513" s="16">
        <f>MyReg($B$3:B513,$D$3:D513)</f>
        <v>0.23876550175276756</v>
      </c>
      <c r="J513" s="17">
        <f>STDEV($D$3:D513)</f>
        <v>1.3344324308223944E-2</v>
      </c>
      <c r="K513" s="4">
        <f t="shared" si="116"/>
        <v>1.85379247038685E-4</v>
      </c>
      <c r="L513">
        <f t="shared" si="119"/>
        <v>0.85501661963406916</v>
      </c>
      <c r="M513">
        <f>RSQ($D$3:D513,$B$3:B513)</f>
        <v>4.9560847535130216E-2</v>
      </c>
      <c r="N513">
        <v>481</v>
      </c>
      <c r="O513" t="str">
        <f t="shared" si="117"/>
        <v/>
      </c>
      <c r="P513" t="str">
        <f t="shared" si="121"/>
        <v/>
      </c>
      <c r="Q513">
        <f t="shared" si="122"/>
        <v>0</v>
      </c>
      <c r="R513">
        <f t="shared" si="123"/>
        <v>0</v>
      </c>
      <c r="S513">
        <f t="shared" si="124"/>
        <v>0</v>
      </c>
      <c r="T513">
        <f t="shared" si="125"/>
        <v>0</v>
      </c>
      <c r="U513">
        <f t="shared" si="120"/>
        <v>0</v>
      </c>
      <c r="V513">
        <f t="shared" si="126"/>
        <v>0</v>
      </c>
      <c r="W513">
        <f t="shared" si="114"/>
        <v>0</v>
      </c>
      <c r="X513">
        <f>SUM($W$34:W513)</f>
        <v>179.19628660000006</v>
      </c>
      <c r="Y513">
        <f t="shared" si="127"/>
        <v>0</v>
      </c>
    </row>
    <row r="514" spans="1:25">
      <c r="A514">
        <v>113.51761</v>
      </c>
      <c r="B514" s="2">
        <f t="shared" si="112"/>
        <v>6.1046391753487106E-3</v>
      </c>
      <c r="C514">
        <v>108.83478940000001</v>
      </c>
      <c r="D514" s="3">
        <f t="shared" si="113"/>
        <v>1.2833886232629964E-3</v>
      </c>
      <c r="E514" s="3">
        <f t="shared" si="115"/>
        <v>-3.5052471753985073E-4</v>
      </c>
      <c r="F514" s="3">
        <f>STDEV($E$32:E514)</f>
        <v>1.3071579883764508E-2</v>
      </c>
      <c r="G514" s="14">
        <f t="shared" si="118"/>
        <v>-2.6815788195214126E-2</v>
      </c>
      <c r="H514" s="15">
        <f>yint($B$3:B514,$D$3:D514)</f>
        <v>1.7649306187931404E-4</v>
      </c>
      <c r="I514" s="16">
        <f>MyReg($B$3:B514,$D$3:D514)</f>
        <v>0.23873979068390755</v>
      </c>
      <c r="J514" s="17">
        <f>STDEV($D$3:D514)</f>
        <v>1.3331338764000767E-2</v>
      </c>
      <c r="K514" s="4">
        <f t="shared" si="116"/>
        <v>1.6339133408028472E-3</v>
      </c>
      <c r="L514">
        <f t="shared" si="119"/>
        <v>-2.6815788195214126E-2</v>
      </c>
      <c r="M514">
        <f>RSQ($D$3:D514,$B$3:B514)</f>
        <v>4.9570601598282471E-2</v>
      </c>
      <c r="N514">
        <v>482</v>
      </c>
      <c r="O514" t="str">
        <f t="shared" si="117"/>
        <v/>
      </c>
      <c r="P514" t="str">
        <f t="shared" si="121"/>
        <v/>
      </c>
      <c r="Q514">
        <f t="shared" si="122"/>
        <v>0</v>
      </c>
      <c r="R514">
        <f t="shared" si="123"/>
        <v>0</v>
      </c>
      <c r="S514">
        <f t="shared" si="124"/>
        <v>0</v>
      </c>
      <c r="T514">
        <f t="shared" si="125"/>
        <v>0</v>
      </c>
      <c r="U514">
        <f t="shared" si="120"/>
        <v>0</v>
      </c>
      <c r="V514">
        <f t="shared" si="126"/>
        <v>0</v>
      </c>
      <c r="W514">
        <f t="shared" si="114"/>
        <v>0</v>
      </c>
      <c r="X514">
        <f>SUM($W$34:W514)</f>
        <v>179.19628660000006</v>
      </c>
      <c r="Y514">
        <f t="shared" si="127"/>
        <v>0</v>
      </c>
    </row>
    <row r="515" spans="1:25">
      <c r="A515">
        <v>115.0794279</v>
      </c>
      <c r="B515" s="2">
        <f t="shared" si="112"/>
        <v>1.3758375462626407E-2</v>
      </c>
      <c r="C515">
        <v>107.2279836</v>
      </c>
      <c r="D515" s="3">
        <f t="shared" si="113"/>
        <v>-1.4763714882513509E-2</v>
      </c>
      <c r="E515" s="3">
        <f t="shared" si="115"/>
        <v>-1.8147971004043667E-2</v>
      </c>
      <c r="F515" s="3">
        <f>STDEV($E$32:E515)</f>
        <v>1.3084140326498531E-2</v>
      </c>
      <c r="G515" s="14">
        <f t="shared" si="118"/>
        <v>-1.3870205111825087</v>
      </c>
      <c r="H515" s="15">
        <f>yint($B$3:B515,$D$3:D515)</f>
        <v>1.420505020163893E-4</v>
      </c>
      <c r="I515" s="16">
        <f>MyReg($B$3:B515,$D$3:D515)</f>
        <v>0.2356532301594019</v>
      </c>
      <c r="J515" s="17">
        <f>STDEV($D$3:D515)</f>
        <v>1.3334808242663063E-2</v>
      </c>
      <c r="K515" s="4">
        <f t="shared" si="116"/>
        <v>3.3842561215301579E-3</v>
      </c>
      <c r="L515">
        <f t="shared" si="119"/>
        <v>-1.3870205111825087</v>
      </c>
      <c r="M515">
        <f>RSQ($D$3:D515,$B$3:B515)</f>
        <v>4.8287583525594729E-2</v>
      </c>
      <c r="N515">
        <v>483</v>
      </c>
      <c r="O515" t="str">
        <f t="shared" si="117"/>
        <v/>
      </c>
      <c r="P515" t="str">
        <f t="shared" si="121"/>
        <v/>
      </c>
      <c r="Q515">
        <f t="shared" si="122"/>
        <v>0</v>
      </c>
      <c r="R515">
        <f t="shared" si="123"/>
        <v>0</v>
      </c>
      <c r="S515">
        <f t="shared" si="124"/>
        <v>0</v>
      </c>
      <c r="T515">
        <f t="shared" si="125"/>
        <v>0</v>
      </c>
      <c r="U515">
        <f t="shared" si="120"/>
        <v>0</v>
      </c>
      <c r="V515">
        <f t="shared" si="126"/>
        <v>0</v>
      </c>
      <c r="W515">
        <f t="shared" si="114"/>
        <v>0</v>
      </c>
      <c r="X515">
        <f>SUM($W$34:W515)</f>
        <v>179.19628660000006</v>
      </c>
      <c r="Y515">
        <f t="shared" si="127"/>
        <v>0</v>
      </c>
    </row>
    <row r="516" spans="1:25">
      <c r="A516">
        <v>114.2644579</v>
      </c>
      <c r="B516" s="2">
        <f t="shared" ref="B516:B579" si="128">(A516-A515)/A515</f>
        <v>-7.0818044099783227E-3</v>
      </c>
      <c r="C516">
        <v>102.8685931</v>
      </c>
      <c r="D516" s="3">
        <f t="shared" ref="D516:D579" si="129">(C516-C515)/C515</f>
        <v>-4.0655343443388253E-2</v>
      </c>
      <c r="E516" s="3">
        <f t="shared" si="115"/>
        <v>-3.9025236486467829E-2</v>
      </c>
      <c r="F516" s="3">
        <f>STDEV($E$32:E516)</f>
        <v>1.3190110407328034E-2</v>
      </c>
      <c r="G516" s="14">
        <f t="shared" si="118"/>
        <v>-2.958673982348667</v>
      </c>
      <c r="H516" s="15">
        <f>yint($B$3:B516,$D$3:D516)</f>
        <v>6.4691648683893392E-5</v>
      </c>
      <c r="I516" s="16">
        <f>MyReg($B$3:B516,$D$3:D516)</f>
        <v>0.23931734166737662</v>
      </c>
      <c r="J516" s="17">
        <f>STDEV($D$3:D516)</f>
        <v>1.3443281585250997E-2</v>
      </c>
      <c r="K516" s="4">
        <f t="shared" si="116"/>
        <v>-1.6301069569204232E-3</v>
      </c>
      <c r="L516">
        <f t="shared" si="119"/>
        <v>-2.958673982348667</v>
      </c>
      <c r="M516">
        <f>RSQ($D$3:D516,$B$3:B516)</f>
        <v>4.8938985427071965E-2</v>
      </c>
      <c r="N516">
        <v>484</v>
      </c>
      <c r="O516" t="str">
        <f t="shared" si="117"/>
        <v>buyY</v>
      </c>
      <c r="P516" t="str">
        <f t="shared" si="121"/>
        <v/>
      </c>
      <c r="Q516">
        <f t="shared" si="122"/>
        <v>-20</v>
      </c>
      <c r="R516">
        <f t="shared" si="123"/>
        <v>-10</v>
      </c>
      <c r="S516">
        <f t="shared" si="124"/>
        <v>20</v>
      </c>
      <c r="T516">
        <f t="shared" si="125"/>
        <v>10</v>
      </c>
      <c r="U516">
        <f t="shared" si="120"/>
        <v>40</v>
      </c>
      <c r="V516">
        <f t="shared" si="126"/>
        <v>-20</v>
      </c>
      <c r="W516">
        <f t="shared" si="114"/>
        <v>227.91729599999996</v>
      </c>
      <c r="X516">
        <f>SUM($W$34:W516)</f>
        <v>407.11358260000003</v>
      </c>
      <c r="Y516">
        <f t="shared" si="127"/>
        <v>0</v>
      </c>
    </row>
    <row r="517" spans="1:25">
      <c r="A517">
        <v>113.4690267</v>
      </c>
      <c r="B517" s="2">
        <f t="shared" si="128"/>
        <v>-6.9613177589844056E-3</v>
      </c>
      <c r="C517">
        <v>104.25732499999999</v>
      </c>
      <c r="D517" s="3">
        <f t="shared" si="129"/>
        <v>1.3500057288136434E-2</v>
      </c>
      <c r="E517" s="3">
        <f t="shared" si="115"/>
        <v>1.5061900314993402E-2</v>
      </c>
      <c r="F517" s="3">
        <f>STDEV($E$32:E517)</f>
        <v>1.3194427490571391E-2</v>
      </c>
      <c r="G517" s="14">
        <f t="shared" si="118"/>
        <v>1.1415349643443409</v>
      </c>
      <c r="H517" s="15">
        <f>yint($B$3:B517,$D$3:D517)</f>
        <v>9.4461978094674659E-5</v>
      </c>
      <c r="I517" s="16">
        <f>MyReg($B$3:B517,$D$3:D517)</f>
        <v>0.23792980902415856</v>
      </c>
      <c r="J517" s="17">
        <f>STDEV($D$3:D517)</f>
        <v>1.3443084977229538E-2</v>
      </c>
      <c r="K517" s="4">
        <f t="shared" si="116"/>
        <v>-1.5618430268569685E-3</v>
      </c>
      <c r="L517">
        <f t="shared" si="119"/>
        <v>1.1415349643443409</v>
      </c>
      <c r="M517">
        <f>RSQ($D$3:D517,$B$3:B517)</f>
        <v>4.8312842847794066E-2</v>
      </c>
      <c r="N517">
        <v>485</v>
      </c>
      <c r="O517" t="str">
        <f t="shared" si="117"/>
        <v/>
      </c>
      <c r="P517" t="str">
        <f t="shared" si="121"/>
        <v>close</v>
      </c>
      <c r="Q517">
        <f t="shared" si="122"/>
        <v>0</v>
      </c>
      <c r="R517">
        <f t="shared" si="123"/>
        <v>0</v>
      </c>
      <c r="S517">
        <f t="shared" si="124"/>
        <v>0</v>
      </c>
      <c r="T517">
        <f t="shared" si="125"/>
        <v>0</v>
      </c>
      <c r="U517">
        <f t="shared" si="120"/>
        <v>0</v>
      </c>
      <c r="V517">
        <f t="shared" si="126"/>
        <v>20</v>
      </c>
      <c r="W517">
        <f t="shared" si="114"/>
        <v>-184.23403400000012</v>
      </c>
      <c r="X517">
        <f>SUM($W$34:W517)</f>
        <v>222.87954859999991</v>
      </c>
      <c r="Y517">
        <f t="shared" si="127"/>
        <v>222.87954859999991</v>
      </c>
    </row>
    <row r="518" spans="1:25">
      <c r="A518">
        <v>112.9595281</v>
      </c>
      <c r="B518" s="2">
        <f t="shared" si="128"/>
        <v>-4.4901997912351931E-3</v>
      </c>
      <c r="C518">
        <v>101.9143516</v>
      </c>
      <c r="D518" s="3">
        <f t="shared" si="129"/>
        <v>-2.2472985950867157E-2</v>
      </c>
      <c r="E518" s="3">
        <f t="shared" si="115"/>
        <v>-2.1451175386641014E-2</v>
      </c>
      <c r="F518" s="3">
        <f>STDEV($E$32:E518)</f>
        <v>1.3216431649961665E-2</v>
      </c>
      <c r="G518" s="14">
        <f t="shared" si="118"/>
        <v>-1.6230686129794523</v>
      </c>
      <c r="H518" s="15">
        <f>yint($B$3:B518,$D$3:D518)</f>
        <v>5.2389336096292266E-5</v>
      </c>
      <c r="I518" s="16">
        <f>MyReg($B$3:B518,$D$3:D518)</f>
        <v>0.23923209439795079</v>
      </c>
      <c r="J518" s="17">
        <f>STDEV($D$3:D518)</f>
        <v>1.3466972369709925E-2</v>
      </c>
      <c r="K518" s="4">
        <f t="shared" si="116"/>
        <v>-1.0218105642261445E-3</v>
      </c>
      <c r="L518">
        <f t="shared" si="119"/>
        <v>-1.6230686129794523</v>
      </c>
      <c r="M518">
        <f>RSQ($D$3:D518,$B$3:B518)</f>
        <v>4.8589701290275962E-2</v>
      </c>
      <c r="N518">
        <v>486</v>
      </c>
      <c r="O518" t="str">
        <f t="shared" si="117"/>
        <v>buyY</v>
      </c>
      <c r="P518" t="str">
        <f t="shared" si="121"/>
        <v/>
      </c>
      <c r="Q518">
        <f t="shared" si="122"/>
        <v>-10</v>
      </c>
      <c r="R518">
        <f t="shared" si="123"/>
        <v>0</v>
      </c>
      <c r="S518">
        <f t="shared" si="124"/>
        <v>10</v>
      </c>
      <c r="T518">
        <f t="shared" si="125"/>
        <v>0</v>
      </c>
      <c r="U518">
        <f t="shared" si="120"/>
        <v>20</v>
      </c>
      <c r="V518">
        <f t="shared" si="126"/>
        <v>-10</v>
      </c>
      <c r="W518">
        <f t="shared" si="114"/>
        <v>110.45176499999997</v>
      </c>
      <c r="X518">
        <f>SUM($W$34:W518)</f>
        <v>333.33131359999987</v>
      </c>
      <c r="Y518">
        <f t="shared" si="127"/>
        <v>0</v>
      </c>
    </row>
    <row r="519" spans="1:25">
      <c r="A519">
        <v>113.1804873</v>
      </c>
      <c r="B519" s="2">
        <f t="shared" si="128"/>
        <v>1.9560917411445508E-3</v>
      </c>
      <c r="C519">
        <v>100.3215732</v>
      </c>
      <c r="D519" s="3">
        <f t="shared" si="129"/>
        <v>-1.5628597690062723E-2</v>
      </c>
      <c r="E519" s="3">
        <f t="shared" si="115"/>
        <v>-1.6117163463886426E-2</v>
      </c>
      <c r="F519" s="3">
        <f>STDEV($E$32:E519)</f>
        <v>1.3222733431986522E-2</v>
      </c>
      <c r="G519" s="14">
        <f t="shared" si="118"/>
        <v>-1.21889800976386</v>
      </c>
      <c r="H519" s="15">
        <f>yint($B$3:B519,$D$3:D519)</f>
        <v>2.1259076913364167E-5</v>
      </c>
      <c r="I519" s="16">
        <f>MyReg($B$3:B519,$D$3:D519)</f>
        <v>0.23889814934595416</v>
      </c>
      <c r="J519" s="17">
        <f>STDEV($D$3:D519)</f>
        <v>1.3471749826840226E-2</v>
      </c>
      <c r="K519" s="4">
        <f t="shared" si="116"/>
        <v>4.8856577382370254E-4</v>
      </c>
      <c r="L519">
        <f t="shared" si="119"/>
        <v>-1.21889800976386</v>
      </c>
      <c r="M519">
        <f>RSQ($D$3:D519,$B$3:B519)</f>
        <v>4.8327587748182035E-2</v>
      </c>
      <c r="N519">
        <v>487</v>
      </c>
      <c r="O519" t="str">
        <f t="shared" si="117"/>
        <v/>
      </c>
      <c r="P519" t="str">
        <f t="shared" si="121"/>
        <v>buyhold</v>
      </c>
      <c r="Q519">
        <f t="shared" si="122"/>
        <v>-10</v>
      </c>
      <c r="R519">
        <f t="shared" si="123"/>
        <v>0</v>
      </c>
      <c r="S519">
        <f t="shared" si="124"/>
        <v>10</v>
      </c>
      <c r="T519">
        <f t="shared" si="125"/>
        <v>0</v>
      </c>
      <c r="U519">
        <f t="shared" si="120"/>
        <v>20</v>
      </c>
      <c r="V519">
        <f t="shared" si="126"/>
        <v>0</v>
      </c>
      <c r="W519">
        <f t="shared" si="114"/>
        <v>0</v>
      </c>
      <c r="X519">
        <f>SUM($W$34:W519)</f>
        <v>333.33131359999987</v>
      </c>
      <c r="Y519">
        <f t="shared" si="127"/>
        <v>0</v>
      </c>
    </row>
    <row r="520" spans="1:25">
      <c r="A520">
        <v>113.023749</v>
      </c>
      <c r="B520" s="2">
        <f t="shared" si="128"/>
        <v>-1.3848526697410736E-3</v>
      </c>
      <c r="C520">
        <v>100.1521144</v>
      </c>
      <c r="D520" s="3">
        <f t="shared" si="129"/>
        <v>-1.6891561265907362E-3</v>
      </c>
      <c r="E520" s="3">
        <f t="shared" si="115"/>
        <v>-1.3768630406587868E-3</v>
      </c>
      <c r="F520" s="3">
        <f>STDEV($E$32:E520)</f>
        <v>1.3209297148331132E-2</v>
      </c>
      <c r="G520" s="14">
        <f t="shared" si="118"/>
        <v>-0.10423439076262586</v>
      </c>
      <c r="H520" s="15">
        <f>yint($B$3:B520,$D$3:D520)</f>
        <v>1.8586557563971407E-5</v>
      </c>
      <c r="I520" s="16">
        <f>MyReg($B$3:B520,$D$3:D520)</f>
        <v>0.23892768575720447</v>
      </c>
      <c r="J520" s="17">
        <f>STDEV($D$3:D520)</f>
        <v>1.3458943509656292E-2</v>
      </c>
      <c r="K520" s="4">
        <f t="shared" si="116"/>
        <v>-3.1229308593194949E-4</v>
      </c>
      <c r="L520">
        <f t="shared" si="119"/>
        <v>-0.10423439076262586</v>
      </c>
      <c r="M520">
        <f>RSQ($D$3:D520,$B$3:B520)</f>
        <v>4.8339655868380883E-2</v>
      </c>
      <c r="N520">
        <v>488</v>
      </c>
      <c r="O520" t="str">
        <f t="shared" si="117"/>
        <v/>
      </c>
      <c r="P520" t="str">
        <f t="shared" si="121"/>
        <v>close</v>
      </c>
      <c r="Q520">
        <f t="shared" si="122"/>
        <v>0</v>
      </c>
      <c r="R520">
        <f t="shared" si="123"/>
        <v>0</v>
      </c>
      <c r="S520">
        <f t="shared" si="124"/>
        <v>0</v>
      </c>
      <c r="T520">
        <f t="shared" si="125"/>
        <v>0</v>
      </c>
      <c r="U520">
        <f t="shared" si="120"/>
        <v>0</v>
      </c>
      <c r="V520">
        <f t="shared" si="126"/>
        <v>10</v>
      </c>
      <c r="W520">
        <f t="shared" si="114"/>
        <v>-128.71634599999993</v>
      </c>
      <c r="X520">
        <f>SUM($W$34:W520)</f>
        <v>204.61496759999994</v>
      </c>
      <c r="Y520">
        <f t="shared" si="127"/>
        <v>204.61496759999994</v>
      </c>
    </row>
    <row r="521" spans="1:25">
      <c r="A521">
        <v>114.8401614</v>
      </c>
      <c r="B521" s="2">
        <f t="shared" si="128"/>
        <v>1.6071068391121979E-2</v>
      </c>
      <c r="C521">
        <v>99.122896249999997</v>
      </c>
      <c r="D521" s="3">
        <f t="shared" si="129"/>
        <v>-1.0276549388556948E-2</v>
      </c>
      <c r="E521" s="3">
        <f t="shared" si="115"/>
        <v>-1.4063771174449296E-2</v>
      </c>
      <c r="F521" s="3">
        <f>STDEV($E$32:E521)</f>
        <v>1.3210763019992447E-2</v>
      </c>
      <c r="G521" s="14">
        <f t="shared" si="118"/>
        <v>-1.0645691814443989</v>
      </c>
      <c r="H521" s="15">
        <f>yint($B$3:B521,$D$3:D521)</f>
        <v>-7.6889191335400555E-6</v>
      </c>
      <c r="I521" s="16">
        <f>MyReg($B$3:B521,$D$3:D521)</f>
        <v>0.23613306923155666</v>
      </c>
      <c r="J521" s="17">
        <f>STDEV($D$3:D521)</f>
        <v>1.3453648575687692E-2</v>
      </c>
      <c r="K521" s="4">
        <f t="shared" si="116"/>
        <v>3.7872217858923481E-3</v>
      </c>
      <c r="L521">
        <f t="shared" si="119"/>
        <v>-1.0645691814443989</v>
      </c>
      <c r="M521">
        <f>RSQ($D$3:D521,$B$3:B521)</f>
        <v>4.7308802816824334E-2</v>
      </c>
      <c r="N521">
        <v>489</v>
      </c>
      <c r="O521" t="str">
        <f t="shared" si="117"/>
        <v/>
      </c>
      <c r="P521" t="str">
        <f t="shared" si="121"/>
        <v/>
      </c>
      <c r="Q521">
        <f t="shared" si="122"/>
        <v>0</v>
      </c>
      <c r="R521">
        <f t="shared" si="123"/>
        <v>0</v>
      </c>
      <c r="S521">
        <f t="shared" si="124"/>
        <v>0</v>
      </c>
      <c r="T521">
        <f t="shared" si="125"/>
        <v>0</v>
      </c>
      <c r="U521">
        <f t="shared" si="120"/>
        <v>0</v>
      </c>
      <c r="V521">
        <f t="shared" si="126"/>
        <v>0</v>
      </c>
      <c r="W521">
        <f t="shared" si="114"/>
        <v>0</v>
      </c>
      <c r="X521">
        <f>SUM($W$34:W521)</f>
        <v>204.61496759999994</v>
      </c>
      <c r="Y521">
        <f t="shared" si="127"/>
        <v>0</v>
      </c>
    </row>
    <row r="522" spans="1:25">
      <c r="A522">
        <v>113.1300698</v>
      </c>
      <c r="B522" s="2">
        <f t="shared" si="128"/>
        <v>-1.4891058834753591E-2</v>
      </c>
      <c r="C522">
        <v>99.903712970000001</v>
      </c>
      <c r="D522" s="3">
        <f t="shared" si="129"/>
        <v>7.8772589335030074E-3</v>
      </c>
      <c r="E522" s="3">
        <f t="shared" si="115"/>
        <v>1.1346254689677922E-2</v>
      </c>
      <c r="F522" s="3">
        <f>STDEV($E$32:E522)</f>
        <v>1.3207505864630199E-2</v>
      </c>
      <c r="G522" s="14">
        <f t="shared" si="118"/>
        <v>0.85907625602978377</v>
      </c>
      <c r="H522" s="15">
        <f>yint($B$3:B522,$D$3:D522)</f>
        <v>1.4918893148470311E-5</v>
      </c>
      <c r="I522" s="16">
        <f>MyReg($B$3:B522,$D$3:D522)</f>
        <v>0.23396016952081528</v>
      </c>
      <c r="J522" s="17">
        <f>STDEV($D$3:D522)</f>
        <v>1.3445037276272147E-2</v>
      </c>
      <c r="K522" s="4">
        <f t="shared" si="116"/>
        <v>-3.4689957561749142E-3</v>
      </c>
      <c r="L522">
        <f t="shared" si="119"/>
        <v>0.85907625602978377</v>
      </c>
      <c r="M522">
        <f>RSQ($D$3:D522,$B$3:B522)</f>
        <v>4.6547194746938574E-2</v>
      </c>
      <c r="N522">
        <v>490</v>
      </c>
      <c r="O522" t="str">
        <f t="shared" si="117"/>
        <v/>
      </c>
      <c r="P522" t="str">
        <f t="shared" si="121"/>
        <v/>
      </c>
      <c r="Q522">
        <f t="shared" si="122"/>
        <v>0</v>
      </c>
      <c r="R522">
        <f t="shared" si="123"/>
        <v>0</v>
      </c>
      <c r="S522">
        <f t="shared" si="124"/>
        <v>0</v>
      </c>
      <c r="T522">
        <f t="shared" si="125"/>
        <v>0</v>
      </c>
      <c r="U522">
        <f t="shared" si="120"/>
        <v>0</v>
      </c>
      <c r="V522">
        <f t="shared" si="126"/>
        <v>0</v>
      </c>
      <c r="W522">
        <f t="shared" si="114"/>
        <v>0</v>
      </c>
      <c r="X522">
        <f>SUM($W$34:W522)</f>
        <v>204.61496759999994</v>
      </c>
      <c r="Y522">
        <f t="shared" si="127"/>
        <v>0</v>
      </c>
    </row>
    <row r="523" spans="1:25">
      <c r="A523">
        <v>114.8923035</v>
      </c>
      <c r="B523" s="2">
        <f t="shared" si="128"/>
        <v>1.5577058364017697E-2</v>
      </c>
      <c r="C523">
        <v>99.169343490000003</v>
      </c>
      <c r="D523" s="3">
        <f t="shared" si="129"/>
        <v>-7.3507726406577224E-3</v>
      </c>
      <c r="E523" s="3">
        <f t="shared" si="115"/>
        <v>-1.0957037224142957E-2</v>
      </c>
      <c r="F523" s="3">
        <f>STDEV($E$32:E523)</f>
        <v>1.3203047429191782E-2</v>
      </c>
      <c r="G523" s="14">
        <f t="shared" si="118"/>
        <v>-0.82988698502416014</v>
      </c>
      <c r="H523" s="15">
        <f>yint($B$3:B523,$D$3:D523)</f>
        <v>-5.4940294825587269E-6</v>
      </c>
      <c r="I523" s="16">
        <f>MyReg($B$3:B523,$D$3:D523)</f>
        <v>0.23186397126884958</v>
      </c>
      <c r="J523" s="17">
        <f>STDEV($D$3:D523)</f>
        <v>1.343605655336926E-2</v>
      </c>
      <c r="K523" s="4">
        <f t="shared" si="116"/>
        <v>3.6062645834852337E-3</v>
      </c>
      <c r="L523">
        <f t="shared" si="119"/>
        <v>-0.82988698502416014</v>
      </c>
      <c r="M523">
        <f>RSQ($D$3:D523,$B$3:B523)</f>
        <v>4.5823097437041542E-2</v>
      </c>
      <c r="N523">
        <v>491</v>
      </c>
      <c r="O523" t="str">
        <f t="shared" si="117"/>
        <v/>
      </c>
      <c r="P523" t="str">
        <f t="shared" si="121"/>
        <v/>
      </c>
      <c r="Q523">
        <f t="shared" si="122"/>
        <v>0</v>
      </c>
      <c r="R523">
        <f t="shared" si="123"/>
        <v>0</v>
      </c>
      <c r="S523">
        <f t="shared" si="124"/>
        <v>0</v>
      </c>
      <c r="T523">
        <f t="shared" si="125"/>
        <v>0</v>
      </c>
      <c r="U523">
        <f t="shared" si="120"/>
        <v>0</v>
      </c>
      <c r="V523">
        <f t="shared" si="126"/>
        <v>0</v>
      </c>
      <c r="W523">
        <f t="shared" si="114"/>
        <v>0</v>
      </c>
      <c r="X523">
        <f>SUM($W$34:W523)</f>
        <v>204.61496759999994</v>
      </c>
      <c r="Y523">
        <f t="shared" si="127"/>
        <v>0</v>
      </c>
    </row>
    <row r="524" spans="1:25">
      <c r="A524">
        <v>115.7559411</v>
      </c>
      <c r="B524" s="2">
        <f t="shared" si="128"/>
        <v>7.5169317150996463E-3</v>
      </c>
      <c r="C524">
        <v>99.142091039999997</v>
      </c>
      <c r="D524" s="3">
        <f t="shared" si="129"/>
        <v>-2.748072039294487E-4</v>
      </c>
      <c r="E524" s="3">
        <f t="shared" si="115"/>
        <v>-2.0070756225981016E-3</v>
      </c>
      <c r="F524" s="3">
        <f>STDEV($E$32:E524)</f>
        <v>1.3189882713972324E-2</v>
      </c>
      <c r="G524" s="14">
        <f t="shared" si="118"/>
        <v>-0.15216781423476675</v>
      </c>
      <c r="H524" s="15">
        <f>yint($B$3:B524,$D$3:D524)</f>
        <v>-9.2845999325856938E-6</v>
      </c>
      <c r="I524" s="16">
        <f>MyReg($B$3:B524,$D$3:D524)</f>
        <v>0.23168402808593988</v>
      </c>
      <c r="J524" s="17">
        <f>STDEV($D$3:D524)</f>
        <v>1.3423164559614042E-2</v>
      </c>
      <c r="K524" s="4">
        <f t="shared" si="116"/>
        <v>1.732268418668653E-3</v>
      </c>
      <c r="L524">
        <f t="shared" si="119"/>
        <v>-0.15216781423476675</v>
      </c>
      <c r="M524">
        <f>RSQ($D$3:D524,$B$3:B524)</f>
        <v>4.5781310465557536E-2</v>
      </c>
      <c r="N524">
        <v>492</v>
      </c>
      <c r="O524" t="str">
        <f t="shared" si="117"/>
        <v/>
      </c>
      <c r="P524" t="str">
        <f t="shared" si="121"/>
        <v/>
      </c>
      <c r="Q524">
        <f t="shared" si="122"/>
        <v>0</v>
      </c>
      <c r="R524">
        <f t="shared" si="123"/>
        <v>0</v>
      </c>
      <c r="S524">
        <f t="shared" si="124"/>
        <v>0</v>
      </c>
      <c r="T524">
        <f t="shared" si="125"/>
        <v>0</v>
      </c>
      <c r="U524">
        <f t="shared" si="120"/>
        <v>0</v>
      </c>
      <c r="V524">
        <f t="shared" si="126"/>
        <v>0</v>
      </c>
      <c r="W524">
        <f t="shared" ref="W524:W587" si="130">IF(ABS(V524)&gt;0,V524*(C524-A524),0)</f>
        <v>0</v>
      </c>
      <c r="X524">
        <f>SUM($W$34:W524)</f>
        <v>204.61496759999994</v>
      </c>
      <c r="Y524">
        <f t="shared" si="127"/>
        <v>0</v>
      </c>
    </row>
    <row r="525" spans="1:25">
      <c r="A525">
        <v>115.26503</v>
      </c>
      <c r="B525" s="2">
        <f t="shared" si="128"/>
        <v>-4.2409149399590109E-3</v>
      </c>
      <c r="C525">
        <v>97.922808950000004</v>
      </c>
      <c r="D525" s="3">
        <f t="shared" si="129"/>
        <v>-1.2298329369591972E-2</v>
      </c>
      <c r="E525" s="3">
        <f t="shared" si="115"/>
        <v>-1.1281900636298262E-2</v>
      </c>
      <c r="F525" s="3">
        <f>STDEV($E$32:E525)</f>
        <v>1.3185975650387807E-2</v>
      </c>
      <c r="G525" s="14">
        <f t="shared" si="118"/>
        <v>-0.85559847336487793</v>
      </c>
      <c r="H525" s="15">
        <f>yint($B$3:B525,$D$3:D525)</f>
        <v>-3.1128791022307705E-5</v>
      </c>
      <c r="I525" s="16">
        <f>MyReg($B$3:B525,$D$3:D525)</f>
        <v>0.23233192747811296</v>
      </c>
      <c r="J525" s="17">
        <f>STDEV($D$3:D525)</f>
        <v>1.3421208258876327E-2</v>
      </c>
      <c r="K525" s="4">
        <f t="shared" si="116"/>
        <v>-1.0164287332937103E-3</v>
      </c>
      <c r="L525">
        <f t="shared" si="119"/>
        <v>-0.85559847336487793</v>
      </c>
      <c r="M525">
        <f>RSQ($D$3:D525,$B$3:B525)</f>
        <v>4.5975036400687709E-2</v>
      </c>
      <c r="N525">
        <v>493</v>
      </c>
      <c r="O525" t="str">
        <f t="shared" si="117"/>
        <v/>
      </c>
      <c r="P525" t="str">
        <f t="shared" si="121"/>
        <v/>
      </c>
      <c r="Q525">
        <f t="shared" si="122"/>
        <v>0</v>
      </c>
      <c r="R525">
        <f t="shared" si="123"/>
        <v>0</v>
      </c>
      <c r="S525">
        <f t="shared" si="124"/>
        <v>0</v>
      </c>
      <c r="T525">
        <f t="shared" si="125"/>
        <v>0</v>
      </c>
      <c r="U525">
        <f t="shared" si="120"/>
        <v>0</v>
      </c>
      <c r="V525">
        <f t="shared" si="126"/>
        <v>0</v>
      </c>
      <c r="W525">
        <f t="shared" si="130"/>
        <v>0</v>
      </c>
      <c r="X525">
        <f>SUM($W$34:W525)</f>
        <v>204.61496759999994</v>
      </c>
      <c r="Y525">
        <f t="shared" si="127"/>
        <v>0</v>
      </c>
    </row>
    <row r="526" spans="1:25">
      <c r="A526">
        <v>115.52307589999999</v>
      </c>
      <c r="B526" s="2">
        <f t="shared" si="128"/>
        <v>2.2387180222830727E-3</v>
      </c>
      <c r="C526">
        <v>98.734865670000005</v>
      </c>
      <c r="D526" s="3">
        <f t="shared" si="129"/>
        <v>8.2928250190886805E-3</v>
      </c>
      <c r="E526" s="3">
        <f t="shared" si="115"/>
        <v>7.7885884463605283E-3</v>
      </c>
      <c r="F526" s="3">
        <f>STDEV($E$32:E526)</f>
        <v>1.3177509399184681E-2</v>
      </c>
      <c r="G526" s="14">
        <f t="shared" si="118"/>
        <v>0.5910516327798957</v>
      </c>
      <c r="H526" s="15">
        <f>yint($B$3:B526,$D$3:D526)</f>
        <v>-1.6300685600418631E-5</v>
      </c>
      <c r="I526" s="16">
        <f>MyReg($B$3:B526,$D$3:D526)</f>
        <v>0.23251577605906809</v>
      </c>
      <c r="J526" s="17">
        <f>STDEV($D$3:D526)</f>
        <v>1.3413205715178591E-2</v>
      </c>
      <c r="K526" s="4">
        <f t="shared" si="116"/>
        <v>5.0423657272815215E-4</v>
      </c>
      <c r="L526">
        <f t="shared" si="119"/>
        <v>0.5910516327798957</v>
      </c>
      <c r="M526">
        <f>RSQ($D$3:D526,$B$3:B526)</f>
        <v>4.6016687953589201E-2</v>
      </c>
      <c r="N526">
        <v>494</v>
      </c>
      <c r="O526" t="str">
        <f t="shared" si="117"/>
        <v/>
      </c>
      <c r="P526" t="str">
        <f t="shared" si="121"/>
        <v/>
      </c>
      <c r="Q526">
        <f t="shared" si="122"/>
        <v>0</v>
      </c>
      <c r="R526">
        <f t="shared" si="123"/>
        <v>0</v>
      </c>
      <c r="S526">
        <f t="shared" si="124"/>
        <v>0</v>
      </c>
      <c r="T526">
        <f t="shared" si="125"/>
        <v>0</v>
      </c>
      <c r="U526">
        <f t="shared" si="120"/>
        <v>0</v>
      </c>
      <c r="V526">
        <f t="shared" si="126"/>
        <v>0</v>
      </c>
      <c r="W526">
        <f t="shared" si="130"/>
        <v>0</v>
      </c>
      <c r="X526">
        <f>SUM($W$34:W526)</f>
        <v>204.61496759999994</v>
      </c>
      <c r="Y526">
        <f t="shared" si="127"/>
        <v>0</v>
      </c>
    </row>
    <row r="527" spans="1:25">
      <c r="A527">
        <v>114.106409</v>
      </c>
      <c r="B527" s="2">
        <f t="shared" si="128"/>
        <v>-1.2263064231654481E-2</v>
      </c>
      <c r="C527">
        <v>98.77153199</v>
      </c>
      <c r="D527" s="3">
        <f t="shared" si="129"/>
        <v>3.7136142082315764E-4</v>
      </c>
      <c r="E527" s="3">
        <f t="shared" si="115"/>
        <v>3.2264497473831772E-3</v>
      </c>
      <c r="F527" s="3">
        <f>STDEV($E$32:E527)</f>
        <v>1.3165080028320323E-2</v>
      </c>
      <c r="G527" s="14">
        <f t="shared" si="118"/>
        <v>0.24507634898098118</v>
      </c>
      <c r="H527" s="15">
        <f>yint($B$3:B527,$D$3:D527)</f>
        <v>-9.9645034833664503E-6</v>
      </c>
      <c r="I527" s="16">
        <f>MyReg($B$3:B527,$D$3:D527)</f>
        <v>0.2320075773339402</v>
      </c>
      <c r="J527" s="17">
        <f>STDEV($D$3:D527)</f>
        <v>1.3400407390444475E-2</v>
      </c>
      <c r="K527" s="4">
        <f t="shared" si="116"/>
        <v>-2.8550883265600195E-3</v>
      </c>
      <c r="L527">
        <f t="shared" si="119"/>
        <v>0.24507634898098118</v>
      </c>
      <c r="M527">
        <f>RSQ($D$3:D527,$B$3:B527)</f>
        <v>4.5906571078085857E-2</v>
      </c>
      <c r="N527">
        <v>495</v>
      </c>
      <c r="O527" t="str">
        <f t="shared" si="117"/>
        <v/>
      </c>
      <c r="P527" t="str">
        <f t="shared" si="121"/>
        <v/>
      </c>
      <c r="Q527">
        <f t="shared" si="122"/>
        <v>0</v>
      </c>
      <c r="R527">
        <f t="shared" si="123"/>
        <v>0</v>
      </c>
      <c r="S527">
        <f t="shared" si="124"/>
        <v>0</v>
      </c>
      <c r="T527">
        <f t="shared" si="125"/>
        <v>0</v>
      </c>
      <c r="U527">
        <f t="shared" si="120"/>
        <v>0</v>
      </c>
      <c r="V527">
        <f t="shared" si="126"/>
        <v>0</v>
      </c>
      <c r="W527">
        <f t="shared" si="130"/>
        <v>0</v>
      </c>
      <c r="X527">
        <f>SUM($W$34:W527)</f>
        <v>204.61496759999994</v>
      </c>
      <c r="Y527">
        <f t="shared" si="127"/>
        <v>0</v>
      </c>
    </row>
    <row r="528" spans="1:25">
      <c r="A528">
        <v>115.7747128</v>
      </c>
      <c r="B528" s="2">
        <f t="shared" si="128"/>
        <v>1.4620596815030818E-2</v>
      </c>
      <c r="C528">
        <v>98.451581039999994</v>
      </c>
      <c r="D528" s="3">
        <f t="shared" si="129"/>
        <v>-3.2393033048469795E-3</v>
      </c>
      <c r="E528" s="3">
        <f t="shared" si="115"/>
        <v>-6.5920907764531614E-3</v>
      </c>
      <c r="F528" s="3">
        <f>STDEV($E$32:E528)</f>
        <v>1.3154954584588126E-2</v>
      </c>
      <c r="G528" s="14">
        <f t="shared" si="118"/>
        <v>-0.50111087302241386</v>
      </c>
      <c r="H528" s="15">
        <f>yint($B$3:B528,$D$3:D528)</f>
        <v>-2.2135916766654579E-5</v>
      </c>
      <c r="I528" s="16">
        <f>MyReg($B$3:B528,$D$3:D528)</f>
        <v>0.23083348997786604</v>
      </c>
      <c r="J528" s="17">
        <f>STDEV($D$3:D528)</f>
        <v>1.3388414757337637E-2</v>
      </c>
      <c r="K528" s="4">
        <f t="shared" si="116"/>
        <v>3.3527874716061819E-3</v>
      </c>
      <c r="L528">
        <f t="shared" si="119"/>
        <v>-0.50111087302241386</v>
      </c>
      <c r="M528">
        <f>RSQ($D$3:D528,$B$3:B528)</f>
        <v>4.555330250319084E-2</v>
      </c>
      <c r="N528">
        <v>496</v>
      </c>
      <c r="O528" t="str">
        <f t="shared" si="117"/>
        <v/>
      </c>
      <c r="P528" t="str">
        <f t="shared" si="121"/>
        <v/>
      </c>
      <c r="Q528">
        <f t="shared" si="122"/>
        <v>0</v>
      </c>
      <c r="R528">
        <f t="shared" si="123"/>
        <v>0</v>
      </c>
      <c r="S528">
        <f t="shared" si="124"/>
        <v>0</v>
      </c>
      <c r="T528">
        <f t="shared" si="125"/>
        <v>0</v>
      </c>
      <c r="U528">
        <f t="shared" si="120"/>
        <v>0</v>
      </c>
      <c r="V528">
        <f t="shared" si="126"/>
        <v>0</v>
      </c>
      <c r="W528">
        <f t="shared" si="130"/>
        <v>0</v>
      </c>
      <c r="X528">
        <f>SUM($W$34:W528)</f>
        <v>204.61496759999994</v>
      </c>
      <c r="Y528">
        <f t="shared" si="127"/>
        <v>0</v>
      </c>
    </row>
    <row r="529" spans="1:25">
      <c r="A529">
        <v>117.4876965</v>
      </c>
      <c r="B529" s="2">
        <f t="shared" si="128"/>
        <v>1.4795836314957329E-2</v>
      </c>
      <c r="C529">
        <v>100.04107519999999</v>
      </c>
      <c r="D529" s="3">
        <f t="shared" si="129"/>
        <v>1.6144932800563189E-2</v>
      </c>
      <c r="E529" s="3">
        <f t="shared" si="115"/>
        <v>1.2694654769748934E-2</v>
      </c>
      <c r="F529" s="3">
        <f>STDEV($E$32:E529)</f>
        <v>1.3154380855876922E-2</v>
      </c>
      <c r="G529" s="14">
        <f t="shared" si="118"/>
        <v>0.96505148428003762</v>
      </c>
      <c r="H529" s="15">
        <f>yint($B$3:B529,$D$3:D529)</f>
        <v>1.1893966726619264E-6</v>
      </c>
      <c r="I529" s="16">
        <f>MyReg($B$3:B529,$D$3:D529)</f>
        <v>0.2331121107804402</v>
      </c>
      <c r="J529" s="17">
        <f>STDEV($D$3:D529)</f>
        <v>1.3394021848872509E-2</v>
      </c>
      <c r="K529" s="4">
        <f t="shared" si="116"/>
        <v>3.450278030814255E-3</v>
      </c>
      <c r="L529">
        <f t="shared" si="119"/>
        <v>0.96505148428003762</v>
      </c>
      <c r="M529">
        <f>RSQ($D$3:D529,$B$3:B529)</f>
        <v>4.6449805274726363E-2</v>
      </c>
      <c r="N529">
        <v>497</v>
      </c>
      <c r="O529" t="str">
        <f t="shared" si="117"/>
        <v/>
      </c>
      <c r="P529" t="str">
        <f t="shared" si="121"/>
        <v/>
      </c>
      <c r="Q529">
        <f t="shared" si="122"/>
        <v>0</v>
      </c>
      <c r="R529">
        <f t="shared" si="123"/>
        <v>0</v>
      </c>
      <c r="S529">
        <f t="shared" si="124"/>
        <v>0</v>
      </c>
      <c r="T529">
        <f t="shared" si="125"/>
        <v>0</v>
      </c>
      <c r="U529">
        <f t="shared" si="120"/>
        <v>0</v>
      </c>
      <c r="V529">
        <f t="shared" si="126"/>
        <v>0</v>
      </c>
      <c r="W529">
        <f t="shared" si="130"/>
        <v>0</v>
      </c>
      <c r="X529">
        <f>SUM($W$34:W529)</f>
        <v>204.61496759999994</v>
      </c>
      <c r="Y529">
        <f t="shared" si="127"/>
        <v>0</v>
      </c>
    </row>
    <row r="530" spans="1:25">
      <c r="A530">
        <v>115.7597153</v>
      </c>
      <c r="B530" s="2">
        <f t="shared" si="128"/>
        <v>-1.4707763037979063E-2</v>
      </c>
      <c r="C530">
        <v>98.777859109999994</v>
      </c>
      <c r="D530" s="3">
        <f t="shared" si="129"/>
        <v>-1.2626974345033832E-2</v>
      </c>
      <c r="E530" s="3">
        <f t="shared" si="115"/>
        <v>-9.1563819982485584E-3</v>
      </c>
      <c r="F530" s="3">
        <f>STDEV($E$32:E530)</f>
        <v>1.3147338047935999E-2</v>
      </c>
      <c r="G530" s="14">
        <f t="shared" si="118"/>
        <v>-0.69644379454333871</v>
      </c>
      <c r="H530" s="15">
        <f>yint($B$3:B530,$D$3:D530)</f>
        <v>-1.684027218808893E-5</v>
      </c>
      <c r="I530" s="16">
        <f>MyReg($B$3:B530,$D$3:D530)</f>
        <v>0.2348251100917759</v>
      </c>
      <c r="J530" s="17">
        <f>STDEV($D$3:D530)</f>
        <v>1.3392748457821853E-2</v>
      </c>
      <c r="K530" s="4">
        <f t="shared" si="116"/>
        <v>-3.4705923467852747E-3</v>
      </c>
      <c r="L530">
        <f t="shared" si="119"/>
        <v>-0.69644379454333871</v>
      </c>
      <c r="M530">
        <f>RSQ($D$3:D530,$B$3:B530)</f>
        <v>4.7187071422293538E-2</v>
      </c>
      <c r="N530">
        <v>498</v>
      </c>
      <c r="O530" t="str">
        <f t="shared" si="117"/>
        <v/>
      </c>
      <c r="P530" t="str">
        <f t="shared" si="121"/>
        <v/>
      </c>
      <c r="Q530">
        <f t="shared" si="122"/>
        <v>0</v>
      </c>
      <c r="R530">
        <f t="shared" si="123"/>
        <v>0</v>
      </c>
      <c r="S530">
        <f t="shared" si="124"/>
        <v>0</v>
      </c>
      <c r="T530">
        <f t="shared" si="125"/>
        <v>0</v>
      </c>
      <c r="U530">
        <f t="shared" si="120"/>
        <v>0</v>
      </c>
      <c r="V530">
        <f t="shared" si="126"/>
        <v>0</v>
      </c>
      <c r="W530">
        <f t="shared" si="130"/>
        <v>0</v>
      </c>
      <c r="X530">
        <f>SUM($W$34:W530)</f>
        <v>204.61496759999994</v>
      </c>
      <c r="Y530">
        <f t="shared" si="127"/>
        <v>0</v>
      </c>
    </row>
    <row r="531" spans="1:25">
      <c r="A531">
        <v>118.5456736</v>
      </c>
      <c r="B531" s="2">
        <f t="shared" si="128"/>
        <v>2.4066734206973334E-2</v>
      </c>
      <c r="C531">
        <v>100.4379014</v>
      </c>
      <c r="D531" s="3">
        <f t="shared" si="129"/>
        <v>1.6805813620149102E-2</v>
      </c>
      <c r="E531" s="3">
        <f t="shared" si="115"/>
        <v>1.1073231781218117E-2</v>
      </c>
      <c r="F531" s="3">
        <f>STDEV($E$32:E531)</f>
        <v>1.3143790941738513E-2</v>
      </c>
      <c r="G531" s="14">
        <f t="shared" si="118"/>
        <v>0.84246864776696417</v>
      </c>
      <c r="H531" s="15">
        <f>yint($B$3:B531,$D$3:D531)</f>
        <v>2.9830393644135928E-6</v>
      </c>
      <c r="I531" s="16">
        <f>MyReg($B$3:B531,$D$3:D531)</f>
        <v>0.23807130416167641</v>
      </c>
      <c r="J531" s="17">
        <f>STDEV($D$3:D531)</f>
        <v>1.3399839784801214E-2</v>
      </c>
      <c r="K531" s="4">
        <f t="shared" si="116"/>
        <v>5.7325818389309842E-3</v>
      </c>
      <c r="L531">
        <f t="shared" si="119"/>
        <v>0.84246864776696417</v>
      </c>
      <c r="M531">
        <f>RSQ($D$3:D531,$B$3:B531)</f>
        <v>4.869315186762254E-2</v>
      </c>
      <c r="N531">
        <v>499</v>
      </c>
      <c r="O531" t="str">
        <f t="shared" si="117"/>
        <v/>
      </c>
      <c r="P531" t="str">
        <f t="shared" si="121"/>
        <v/>
      </c>
      <c r="Q531">
        <f t="shared" si="122"/>
        <v>0</v>
      </c>
      <c r="R531">
        <f t="shared" si="123"/>
        <v>0</v>
      </c>
      <c r="S531">
        <f t="shared" si="124"/>
        <v>0</v>
      </c>
      <c r="T531">
        <f t="shared" si="125"/>
        <v>0</v>
      </c>
      <c r="U531">
        <f t="shared" si="120"/>
        <v>0</v>
      </c>
      <c r="V531">
        <f t="shared" si="126"/>
        <v>0</v>
      </c>
      <c r="W531">
        <f t="shared" si="130"/>
        <v>0</v>
      </c>
      <c r="X531">
        <f>SUM($W$34:W531)</f>
        <v>204.61496759999994</v>
      </c>
      <c r="Y531">
        <f t="shared" si="127"/>
        <v>0</v>
      </c>
    </row>
    <row r="532" spans="1:25">
      <c r="A532">
        <v>118.3851968</v>
      </c>
      <c r="B532" s="2">
        <f t="shared" si="128"/>
        <v>-1.3537128359612936E-3</v>
      </c>
      <c r="C532">
        <v>100.1910453</v>
      </c>
      <c r="D532" s="3">
        <f t="shared" si="129"/>
        <v>-2.4577982669797423E-3</v>
      </c>
      <c r="E532" s="3">
        <f t="shared" si="115"/>
        <v>-2.1343858962020821E-3</v>
      </c>
      <c r="F532" s="3">
        <f>STDEV($E$32:E532)</f>
        <v>1.3130938474690844E-2</v>
      </c>
      <c r="G532" s="14">
        <f t="shared" si="118"/>
        <v>-0.16254633286996148</v>
      </c>
      <c r="H532" s="15">
        <f>yint($B$3:B532,$D$3:D532)</f>
        <v>-1.0700253049439058E-6</v>
      </c>
      <c r="I532" s="16">
        <f>MyReg($B$3:B532,$D$3:D532)</f>
        <v>0.23811722612781144</v>
      </c>
      <c r="J532" s="17">
        <f>STDEV($D$3:D532)</f>
        <v>1.3387628813424125E-2</v>
      </c>
      <c r="K532" s="4">
        <f t="shared" si="116"/>
        <v>-3.2341237077766017E-4</v>
      </c>
      <c r="L532">
        <f t="shared" si="119"/>
        <v>-0.16254633286996148</v>
      </c>
      <c r="M532">
        <f>RSQ($D$3:D532,$B$3:B532)</f>
        <v>4.8710422270429946E-2</v>
      </c>
      <c r="N532">
        <v>500</v>
      </c>
      <c r="O532" t="str">
        <f t="shared" si="117"/>
        <v/>
      </c>
      <c r="P532" t="str">
        <f t="shared" si="121"/>
        <v/>
      </c>
      <c r="Q532">
        <f t="shared" si="122"/>
        <v>0</v>
      </c>
      <c r="R532">
        <f t="shared" si="123"/>
        <v>0</v>
      </c>
      <c r="S532">
        <f t="shared" si="124"/>
        <v>0</v>
      </c>
      <c r="T532">
        <f t="shared" si="125"/>
        <v>0</v>
      </c>
      <c r="U532">
        <f t="shared" si="120"/>
        <v>0</v>
      </c>
      <c r="V532">
        <f t="shared" si="126"/>
        <v>0</v>
      </c>
      <c r="W532">
        <f t="shared" si="130"/>
        <v>0</v>
      </c>
      <c r="X532">
        <f>SUM($W$34:W532)</f>
        <v>204.61496759999994</v>
      </c>
      <c r="Y532">
        <f t="shared" si="127"/>
        <v>0</v>
      </c>
    </row>
    <row r="533" spans="1:25">
      <c r="A533">
        <v>116.494562</v>
      </c>
      <c r="B533" s="2">
        <f t="shared" si="128"/>
        <v>-1.5970196030455058E-2</v>
      </c>
      <c r="C533">
        <v>101.0900326</v>
      </c>
      <c r="D533" s="3">
        <f t="shared" si="129"/>
        <v>8.9727310191063721E-3</v>
      </c>
      <c r="E533" s="3">
        <f t="shared" si="115"/>
        <v>1.2710801387677531E-2</v>
      </c>
      <c r="F533" s="3">
        <f>STDEV($E$32:E533)</f>
        <v>1.3130396479803262E-2</v>
      </c>
      <c r="G533" s="14">
        <f t="shared" si="118"/>
        <v>0.96804398916886192</v>
      </c>
      <c r="H533" s="15">
        <f>yint($B$3:B533,$D$3:D533)</f>
        <v>2.3922387674643085E-5</v>
      </c>
      <c r="I533" s="16">
        <f>MyReg($B$3:B533,$D$3:D533)</f>
        <v>0.23556334243309893</v>
      </c>
      <c r="J533" s="17">
        <f>STDEV($D$3:D533)</f>
        <v>1.338054289455134E-2</v>
      </c>
      <c r="K533" s="4">
        <f t="shared" si="116"/>
        <v>-3.7380703685711589E-3</v>
      </c>
      <c r="L533">
        <f t="shared" si="119"/>
        <v>0.96804398916886192</v>
      </c>
      <c r="M533">
        <f>RSQ($D$3:D533,$B$3:B533)</f>
        <v>4.7787946376514116E-2</v>
      </c>
      <c r="N533">
        <v>501</v>
      </c>
      <c r="O533" t="str">
        <f t="shared" si="117"/>
        <v/>
      </c>
      <c r="P533" t="str">
        <f t="shared" si="121"/>
        <v/>
      </c>
      <c r="Q533">
        <f t="shared" si="122"/>
        <v>0</v>
      </c>
      <c r="R533">
        <f t="shared" si="123"/>
        <v>0</v>
      </c>
      <c r="S533">
        <f t="shared" si="124"/>
        <v>0</v>
      </c>
      <c r="T533">
        <f t="shared" si="125"/>
        <v>0</v>
      </c>
      <c r="U533">
        <f t="shared" si="120"/>
        <v>0</v>
      </c>
      <c r="V533">
        <f t="shared" si="126"/>
        <v>0</v>
      </c>
      <c r="W533">
        <f t="shared" si="130"/>
        <v>0</v>
      </c>
      <c r="X533">
        <f>SUM($W$34:W533)</f>
        <v>204.61496759999994</v>
      </c>
      <c r="Y533">
        <f t="shared" si="127"/>
        <v>0</v>
      </c>
    </row>
    <row r="534" spans="1:25">
      <c r="A534">
        <v>116.4785401</v>
      </c>
      <c r="B534" s="2">
        <f t="shared" si="128"/>
        <v>-1.3753345842871506E-4</v>
      </c>
      <c r="C534">
        <v>100.3103893</v>
      </c>
      <c r="D534" s="3">
        <f t="shared" si="129"/>
        <v>-7.7123656996427124E-3</v>
      </c>
      <c r="E534" s="3">
        <f t="shared" si="115"/>
        <v>-7.6893855724578441E-3</v>
      </c>
      <c r="F534" s="3">
        <f>STDEV($E$32:E534)</f>
        <v>1.312163823430975E-2</v>
      </c>
      <c r="G534" s="14">
        <f t="shared" si="118"/>
        <v>-0.58600804527227812</v>
      </c>
      <c r="H534" s="15">
        <f>yint($B$3:B534,$D$3:D534)</f>
        <v>9.4242117269279245E-6</v>
      </c>
      <c r="I534" s="16">
        <f>MyReg($B$3:B534,$D$3:D534)</f>
        <v>0.23561058728550335</v>
      </c>
      <c r="J534" s="17">
        <f>STDEV($D$3:D534)</f>
        <v>1.337223866245129E-2</v>
      </c>
      <c r="K534" s="4">
        <f t="shared" si="116"/>
        <v>-2.2980127184867991E-5</v>
      </c>
      <c r="L534">
        <f t="shared" si="119"/>
        <v>-0.58600804527227812</v>
      </c>
      <c r="M534">
        <f>RSQ($D$3:D534,$B$3:B534)</f>
        <v>4.7776515519568581E-2</v>
      </c>
      <c r="N534">
        <v>502</v>
      </c>
      <c r="O534" t="str">
        <f t="shared" si="117"/>
        <v/>
      </c>
      <c r="P534" t="str">
        <f t="shared" si="121"/>
        <v/>
      </c>
      <c r="Q534">
        <f t="shared" si="122"/>
        <v>0</v>
      </c>
      <c r="R534">
        <f t="shared" si="123"/>
        <v>0</v>
      </c>
      <c r="S534">
        <f t="shared" si="124"/>
        <v>0</v>
      </c>
      <c r="T534">
        <f t="shared" si="125"/>
        <v>0</v>
      </c>
      <c r="U534">
        <f t="shared" si="120"/>
        <v>0</v>
      </c>
      <c r="V534">
        <f t="shared" si="126"/>
        <v>0</v>
      </c>
      <c r="W534">
        <f t="shared" si="130"/>
        <v>0</v>
      </c>
      <c r="X534">
        <f>SUM($W$34:W534)</f>
        <v>204.61496759999994</v>
      </c>
      <c r="Y534">
        <f t="shared" si="127"/>
        <v>0</v>
      </c>
    </row>
    <row r="535" spans="1:25">
      <c r="A535">
        <v>118.3909744</v>
      </c>
      <c r="B535" s="2">
        <f t="shared" si="128"/>
        <v>1.6418769486277251E-2</v>
      </c>
      <c r="C535">
        <v>101.51586020000001</v>
      </c>
      <c r="D535" s="3">
        <f t="shared" si="129"/>
        <v>1.2017408250652745E-2</v>
      </c>
      <c r="E535" s="3">
        <f t="shared" si="115"/>
        <v>8.0987789879637465E-3</v>
      </c>
      <c r="F535" s="3">
        <f>STDEV($E$32:E535)</f>
        <v>1.3113734268486407E-2</v>
      </c>
      <c r="G535" s="14">
        <f t="shared" si="118"/>
        <v>0.61757992209937551</v>
      </c>
      <c r="H535" s="15">
        <f>yint($B$3:B535,$D$3:D535)</f>
        <v>2.4068910656390642E-5</v>
      </c>
      <c r="I535" s="16">
        <f>MyReg($B$3:B535,$D$3:D535)</f>
        <v>0.23720171936683002</v>
      </c>
      <c r="J535" s="17">
        <f>STDEV($D$3:D535)</f>
        <v>1.3369641995567038E-2</v>
      </c>
      <c r="K535" s="4">
        <f t="shared" si="116"/>
        <v>3.9186292626889989E-3</v>
      </c>
      <c r="L535">
        <f t="shared" si="119"/>
        <v>0.61757992209937551</v>
      </c>
      <c r="M535">
        <f>RSQ($D$3:D535,$B$3:B535)</f>
        <v>4.8503968755523021E-2</v>
      </c>
      <c r="N535">
        <v>503</v>
      </c>
      <c r="O535" t="str">
        <f t="shared" si="117"/>
        <v/>
      </c>
      <c r="P535" t="str">
        <f t="shared" si="121"/>
        <v/>
      </c>
      <c r="Q535">
        <f t="shared" si="122"/>
        <v>0</v>
      </c>
      <c r="R535">
        <f t="shared" si="123"/>
        <v>0</v>
      </c>
      <c r="S535">
        <f t="shared" si="124"/>
        <v>0</v>
      </c>
      <c r="T535">
        <f t="shared" si="125"/>
        <v>0</v>
      </c>
      <c r="U535">
        <f t="shared" si="120"/>
        <v>0</v>
      </c>
      <c r="V535">
        <f t="shared" si="126"/>
        <v>0</v>
      </c>
      <c r="W535">
        <f t="shared" si="130"/>
        <v>0</v>
      </c>
      <c r="X535">
        <f>SUM($W$34:W535)</f>
        <v>204.61496759999994</v>
      </c>
      <c r="Y535">
        <f t="shared" si="127"/>
        <v>0</v>
      </c>
    </row>
    <row r="536" spans="1:25">
      <c r="A536">
        <v>118.18121979999999</v>
      </c>
      <c r="B536" s="2">
        <f t="shared" si="128"/>
        <v>-1.7717110705696732E-3</v>
      </c>
      <c r="C536">
        <v>102.4641778</v>
      </c>
      <c r="D536" s="3">
        <f t="shared" si="129"/>
        <v>9.3415708454982465E-3</v>
      </c>
      <c r="E536" s="3">
        <f t="shared" si="115"/>
        <v>9.718964455287608E-3</v>
      </c>
      <c r="F536" s="3">
        <f>STDEV($E$32:E536)</f>
        <v>1.3108049484143599E-2</v>
      </c>
      <c r="G536" s="14">
        <f t="shared" si="118"/>
        <v>0.74145008889723363</v>
      </c>
      <c r="H536" s="15">
        <f>yint($B$3:B536,$D$3:D536)</f>
        <v>4.2404451303470434E-5</v>
      </c>
      <c r="I536" s="16">
        <f>MyReg($B$3:B536,$D$3:D536)</f>
        <v>0.23694498954496643</v>
      </c>
      <c r="J536" s="17">
        <f>STDEV($D$3:D536)</f>
        <v>1.3363057277594563E-2</v>
      </c>
      <c r="K536" s="4">
        <f t="shared" si="116"/>
        <v>-3.7739360978936208E-4</v>
      </c>
      <c r="L536">
        <f t="shared" si="119"/>
        <v>0.74145008889723363</v>
      </c>
      <c r="M536">
        <f>RSQ($D$3:D536,$B$3:B536)</f>
        <v>4.8358607167549923E-2</v>
      </c>
      <c r="N536">
        <v>504</v>
      </c>
      <c r="O536" t="str">
        <f t="shared" si="117"/>
        <v/>
      </c>
      <c r="P536" t="str">
        <f t="shared" si="121"/>
        <v/>
      </c>
      <c r="Q536">
        <f t="shared" si="122"/>
        <v>0</v>
      </c>
      <c r="R536">
        <f t="shared" si="123"/>
        <v>0</v>
      </c>
      <c r="S536">
        <f t="shared" si="124"/>
        <v>0</v>
      </c>
      <c r="T536">
        <f t="shared" si="125"/>
        <v>0</v>
      </c>
      <c r="U536">
        <f t="shared" si="120"/>
        <v>0</v>
      </c>
      <c r="V536">
        <f t="shared" si="126"/>
        <v>0</v>
      </c>
      <c r="W536">
        <f t="shared" si="130"/>
        <v>0</v>
      </c>
      <c r="X536">
        <f>SUM($W$34:W536)</f>
        <v>204.61496759999994</v>
      </c>
      <c r="Y536">
        <f t="shared" si="127"/>
        <v>0</v>
      </c>
    </row>
    <row r="537" spans="1:25">
      <c r="A537">
        <v>117.4041436</v>
      </c>
      <c r="B537" s="2">
        <f t="shared" si="128"/>
        <v>-6.5752934460742152E-3</v>
      </c>
      <c r="C537">
        <v>101.3171205</v>
      </c>
      <c r="D537" s="3">
        <f t="shared" si="129"/>
        <v>-1.1194715310544365E-2</v>
      </c>
      <c r="E537" s="3">
        <f t="shared" si="115"/>
        <v>-9.6553424192135136E-3</v>
      </c>
      <c r="F537" s="3">
        <f>STDEV($E$32:E537)</f>
        <v>1.3101935340398604E-2</v>
      </c>
      <c r="G537" s="14">
        <f t="shared" si="118"/>
        <v>-0.7369401671096758</v>
      </c>
      <c r="H537" s="15">
        <f>yint($B$3:B537,$D$3:D537)</f>
        <v>2.4003626116973406E-5</v>
      </c>
      <c r="I537" s="16">
        <f>MyReg($B$3:B537,$D$3:D537)</f>
        <v>0.23776528458684096</v>
      </c>
      <c r="J537" s="17">
        <f>STDEV($D$3:D537)</f>
        <v>1.3359521525370992E-2</v>
      </c>
      <c r="K537" s="4">
        <f t="shared" si="116"/>
        <v>-1.5393728913308524E-3</v>
      </c>
      <c r="L537">
        <f t="shared" si="119"/>
        <v>-0.7369401671096758</v>
      </c>
      <c r="M537">
        <f>RSQ($D$3:D537,$B$3:B537)</f>
        <v>4.8657282101147267E-2</v>
      </c>
      <c r="N537">
        <v>505</v>
      </c>
      <c r="O537" t="str">
        <f t="shared" si="117"/>
        <v/>
      </c>
      <c r="P537" t="str">
        <f t="shared" si="121"/>
        <v/>
      </c>
      <c r="Q537">
        <f t="shared" si="122"/>
        <v>0</v>
      </c>
      <c r="R537">
        <f t="shared" si="123"/>
        <v>0</v>
      </c>
      <c r="S537">
        <f t="shared" si="124"/>
        <v>0</v>
      </c>
      <c r="T537">
        <f t="shared" si="125"/>
        <v>0</v>
      </c>
      <c r="U537">
        <f t="shared" si="120"/>
        <v>0</v>
      </c>
      <c r="V537">
        <f t="shared" si="126"/>
        <v>0</v>
      </c>
      <c r="W537">
        <f t="shared" si="130"/>
        <v>0</v>
      </c>
      <c r="X537">
        <f>SUM($W$34:W537)</f>
        <v>204.61496759999994</v>
      </c>
      <c r="Y537">
        <f t="shared" si="127"/>
        <v>0</v>
      </c>
    </row>
    <row r="538" spans="1:25">
      <c r="A538">
        <v>120.2195354</v>
      </c>
      <c r="B538" s="2">
        <f t="shared" si="128"/>
        <v>2.3980344421165731E-2</v>
      </c>
      <c r="C538">
        <v>99.535461710000007</v>
      </c>
      <c r="D538" s="3">
        <f t="shared" si="129"/>
        <v>-1.7584972620693404E-2</v>
      </c>
      <c r="E538" s="3">
        <f t="shared" si="115"/>
        <v>-2.3110510365727161E-2</v>
      </c>
      <c r="F538" s="3">
        <f>STDEV($E$32:E538)</f>
        <v>1.3128708965736023E-2</v>
      </c>
      <c r="G538" s="14">
        <f t="shared" si="118"/>
        <v>-1.7603033494033689</v>
      </c>
      <c r="H538" s="15">
        <f>yint($B$3:B538,$D$3:D538)</f>
        <v>-1.6688772128272642E-5</v>
      </c>
      <c r="I538" s="16">
        <f>MyReg($B$3:B538,$D$3:D538)</f>
        <v>0.23111538432576903</v>
      </c>
      <c r="J538" s="17">
        <f>STDEV($D$3:D538)</f>
        <v>1.3368904719465132E-2</v>
      </c>
      <c r="K538" s="4">
        <f t="shared" si="116"/>
        <v>5.5255377450337565E-3</v>
      </c>
      <c r="L538">
        <f t="shared" si="119"/>
        <v>-1.7603033494033689</v>
      </c>
      <c r="M538">
        <f>RSQ($D$3:D538,$B$3:B538)</f>
        <v>4.6133935131089217E-2</v>
      </c>
      <c r="N538">
        <v>506</v>
      </c>
      <c r="O538" t="str">
        <f t="shared" si="117"/>
        <v>buyY</v>
      </c>
      <c r="P538" t="str">
        <f t="shared" si="121"/>
        <v/>
      </c>
      <c r="Q538">
        <f t="shared" si="122"/>
        <v>-10</v>
      </c>
      <c r="R538">
        <f t="shared" si="123"/>
        <v>0</v>
      </c>
      <c r="S538">
        <f t="shared" si="124"/>
        <v>10</v>
      </c>
      <c r="T538">
        <f t="shared" si="125"/>
        <v>0</v>
      </c>
      <c r="U538">
        <f t="shared" si="120"/>
        <v>20</v>
      </c>
      <c r="V538">
        <f t="shared" si="126"/>
        <v>-10</v>
      </c>
      <c r="W538">
        <f t="shared" si="130"/>
        <v>206.84073689999991</v>
      </c>
      <c r="X538">
        <f>SUM($W$34:W538)</f>
        <v>411.45570449999985</v>
      </c>
      <c r="Y538">
        <f t="shared" si="127"/>
        <v>0</v>
      </c>
    </row>
    <row r="539" spans="1:25">
      <c r="A539">
        <v>122.8407509</v>
      </c>
      <c r="B539" s="2">
        <f t="shared" si="128"/>
        <v>2.1803573697723715E-2</v>
      </c>
      <c r="C539">
        <v>99.757740179999999</v>
      </c>
      <c r="D539" s="3">
        <f t="shared" si="129"/>
        <v>2.2331585766649478E-3</v>
      </c>
      <c r="E539" s="3">
        <f t="shared" si="115"/>
        <v>-2.7687992502915385E-3</v>
      </c>
      <c r="F539" s="3">
        <f>STDEV($E$32:E539)</f>
        <v>1.3116259506070326E-2</v>
      </c>
      <c r="G539" s="14">
        <f t="shared" si="118"/>
        <v>-0.21109671160517315</v>
      </c>
      <c r="H539" s="15">
        <f>yint($B$3:B539,$D$3:D539)</f>
        <v>-2.1552844322153832E-5</v>
      </c>
      <c r="I539" s="16">
        <f>MyReg($B$3:B539,$D$3:D539)</f>
        <v>0.23039849984789848</v>
      </c>
      <c r="J539" s="17">
        <f>STDEV($D$3:D539)</f>
        <v>1.3356750926871788E-2</v>
      </c>
      <c r="K539" s="4">
        <f t="shared" si="116"/>
        <v>5.0019578269564864E-3</v>
      </c>
      <c r="L539">
        <f t="shared" si="119"/>
        <v>-0.21109671160517315</v>
      </c>
      <c r="M539">
        <f>RSQ($D$3:D539,$B$3:B539)</f>
        <v>4.6099307329258314E-2</v>
      </c>
      <c r="N539">
        <v>507</v>
      </c>
      <c r="O539" t="str">
        <f t="shared" si="117"/>
        <v/>
      </c>
      <c r="P539" t="str">
        <f t="shared" si="121"/>
        <v>close</v>
      </c>
      <c r="Q539">
        <f t="shared" si="122"/>
        <v>0</v>
      </c>
      <c r="R539">
        <f t="shared" si="123"/>
        <v>0</v>
      </c>
      <c r="S539">
        <f t="shared" si="124"/>
        <v>0</v>
      </c>
      <c r="T539">
        <f t="shared" si="125"/>
        <v>0</v>
      </c>
      <c r="U539">
        <f t="shared" si="120"/>
        <v>0</v>
      </c>
      <c r="V539">
        <f t="shared" si="126"/>
        <v>10</v>
      </c>
      <c r="W539">
        <f t="shared" si="130"/>
        <v>-230.83010720000004</v>
      </c>
      <c r="X539">
        <f>SUM($W$34:W539)</f>
        <v>180.62559729999981</v>
      </c>
      <c r="Y539">
        <f t="shared" si="127"/>
        <v>180.62559729999981</v>
      </c>
    </row>
    <row r="540" spans="1:25">
      <c r="A540">
        <v>123.7189601</v>
      </c>
      <c r="B540" s="2">
        <f t="shared" si="128"/>
        <v>7.1491682814192282E-3</v>
      </c>
      <c r="C540">
        <v>99.913557609999998</v>
      </c>
      <c r="D540" s="3">
        <f t="shared" si="129"/>
        <v>1.5619582973596488E-3</v>
      </c>
      <c r="E540" s="3">
        <f t="shared" si="115"/>
        <v>-6.3494060630992508E-5</v>
      </c>
      <c r="F540" s="3">
        <f>STDEV($E$32:E540)</f>
        <v>1.3103344483961299E-2</v>
      </c>
      <c r="G540" s="14">
        <f t="shared" si="118"/>
        <v>-4.8456377460510359E-3</v>
      </c>
      <c r="H540" s="15">
        <f>yint($B$3:B540,$D$3:D540)</f>
        <v>-2.166872761986907E-5</v>
      </c>
      <c r="I540" s="16">
        <f>MyReg($B$3:B540,$D$3:D540)</f>
        <v>0.23039338574410081</v>
      </c>
      <c r="J540" s="17">
        <f>STDEV($D$3:D540)</f>
        <v>1.3344460694316241E-2</v>
      </c>
      <c r="K540" s="4">
        <f t="shared" si="116"/>
        <v>1.6254523579906414E-3</v>
      </c>
      <c r="L540">
        <f t="shared" si="119"/>
        <v>-4.8456377460510359E-3</v>
      </c>
      <c r="M540">
        <f>RSQ($D$3:D540,$B$3:B540)</f>
        <v>4.6120998033243439E-2</v>
      </c>
      <c r="N540">
        <v>508</v>
      </c>
      <c r="O540" t="str">
        <f t="shared" si="117"/>
        <v/>
      </c>
      <c r="P540" t="str">
        <f t="shared" si="121"/>
        <v/>
      </c>
      <c r="Q540">
        <f t="shared" si="122"/>
        <v>0</v>
      </c>
      <c r="R540">
        <f t="shared" si="123"/>
        <v>0</v>
      </c>
      <c r="S540">
        <f t="shared" si="124"/>
        <v>0</v>
      </c>
      <c r="T540">
        <f t="shared" si="125"/>
        <v>0</v>
      </c>
      <c r="U540">
        <f t="shared" si="120"/>
        <v>0</v>
      </c>
      <c r="V540">
        <f t="shared" si="126"/>
        <v>0</v>
      </c>
      <c r="W540">
        <f t="shared" si="130"/>
        <v>0</v>
      </c>
      <c r="X540">
        <f>SUM($W$34:W540)</f>
        <v>180.62559729999981</v>
      </c>
      <c r="Y540">
        <f t="shared" si="127"/>
        <v>0</v>
      </c>
    </row>
    <row r="541" spans="1:25">
      <c r="A541">
        <v>122.8260868</v>
      </c>
      <c r="B541" s="2">
        <f t="shared" si="128"/>
        <v>-7.2169479866166855E-3</v>
      </c>
      <c r="C541">
        <v>97.437180209999994</v>
      </c>
      <c r="D541" s="3">
        <f t="shared" si="129"/>
        <v>-2.4785198918311283E-2</v>
      </c>
      <c r="E541" s="3">
        <f t="shared" si="115"/>
        <v>-2.3041565856516909E-2</v>
      </c>
      <c r="F541" s="3">
        <f>STDEV($E$32:E541)</f>
        <v>1.3129547505427362E-2</v>
      </c>
      <c r="G541" s="14">
        <f t="shared" si="118"/>
        <v>-1.7549398291900171</v>
      </c>
      <c r="H541" s="15">
        <f>yint($B$3:B541,$D$3:D541)</f>
        <v>-6.5505521057441E-5</v>
      </c>
      <c r="I541" s="16">
        <f>MyReg($B$3:B541,$D$3:D541)</f>
        <v>0.23252592977653413</v>
      </c>
      <c r="J541" s="17">
        <f>STDEV($D$3:D541)</f>
        <v>1.3375028770248144E-2</v>
      </c>
      <c r="K541" s="4">
        <f t="shared" si="116"/>
        <v>-1.7436330617943718E-3</v>
      </c>
      <c r="L541">
        <f t="shared" si="119"/>
        <v>-1.7549398291900171</v>
      </c>
      <c r="M541">
        <f>RSQ($D$3:D541,$B$3:B541)</f>
        <v>4.6710496911165279E-2</v>
      </c>
      <c r="N541">
        <v>509</v>
      </c>
      <c r="O541" t="str">
        <f t="shared" si="117"/>
        <v>buyY</v>
      </c>
      <c r="P541" t="str">
        <f t="shared" si="121"/>
        <v/>
      </c>
      <c r="Q541">
        <f t="shared" si="122"/>
        <v>-10</v>
      </c>
      <c r="R541">
        <f t="shared" si="123"/>
        <v>0</v>
      </c>
      <c r="S541">
        <f t="shared" si="124"/>
        <v>10</v>
      </c>
      <c r="T541">
        <f t="shared" si="125"/>
        <v>0</v>
      </c>
      <c r="U541">
        <f t="shared" si="120"/>
        <v>20</v>
      </c>
      <c r="V541">
        <f t="shared" si="126"/>
        <v>-10</v>
      </c>
      <c r="W541">
        <f t="shared" si="130"/>
        <v>253.88906590000005</v>
      </c>
      <c r="X541">
        <f>SUM($W$34:W541)</f>
        <v>434.51466319999986</v>
      </c>
      <c r="Y541">
        <f t="shared" si="127"/>
        <v>0</v>
      </c>
    </row>
    <row r="542" spans="1:25">
      <c r="A542">
        <v>124.75810989999999</v>
      </c>
      <c r="B542" s="2">
        <f t="shared" si="128"/>
        <v>1.57297456129653E-2</v>
      </c>
      <c r="C542">
        <v>97.860320759999993</v>
      </c>
      <c r="D542" s="3">
        <f t="shared" si="129"/>
        <v>4.3427011032958077E-3</v>
      </c>
      <c r="E542" s="3">
        <f t="shared" si="115"/>
        <v>7.4715114591945679E-4</v>
      </c>
      <c r="F542" s="3">
        <f>STDEV($E$32:E542)</f>
        <v>1.3116739723697896E-2</v>
      </c>
      <c r="G542" s="14">
        <f t="shared" si="118"/>
        <v>5.6961650658477699E-2</v>
      </c>
      <c r="H542" s="15">
        <f>yint($B$3:B542,$D$3:D542)</f>
        <v>-6.418228483944999E-5</v>
      </c>
      <c r="I542" s="16">
        <f>MyReg($B$3:B542,$D$3:D542)</f>
        <v>0.23266315503533977</v>
      </c>
      <c r="J542" s="17">
        <f>STDEV($D$3:D542)</f>
        <v>1.3363897823584237E-2</v>
      </c>
      <c r="K542" s="4">
        <f t="shared" si="116"/>
        <v>3.5955499573763509E-3</v>
      </c>
      <c r="L542">
        <f t="shared" si="119"/>
        <v>5.6961650658477699E-2</v>
      </c>
      <c r="M542">
        <f>RSQ($D$3:D542,$B$3:B542)</f>
        <v>4.6887571110215139E-2</v>
      </c>
      <c r="N542">
        <v>510</v>
      </c>
      <c r="O542" t="str">
        <f t="shared" si="117"/>
        <v/>
      </c>
      <c r="P542" t="str">
        <f t="shared" si="121"/>
        <v>close</v>
      </c>
      <c r="Q542">
        <f t="shared" si="122"/>
        <v>0</v>
      </c>
      <c r="R542">
        <f t="shared" si="123"/>
        <v>0</v>
      </c>
      <c r="S542">
        <f t="shared" si="124"/>
        <v>0</v>
      </c>
      <c r="T542">
        <f t="shared" si="125"/>
        <v>0</v>
      </c>
      <c r="U542">
        <f t="shared" si="120"/>
        <v>0</v>
      </c>
      <c r="V542">
        <f t="shared" si="126"/>
        <v>10</v>
      </c>
      <c r="W542">
        <f t="shared" si="130"/>
        <v>-268.97789139999998</v>
      </c>
      <c r="X542">
        <f>SUM($W$34:W542)</f>
        <v>165.53677179999988</v>
      </c>
      <c r="Y542">
        <f t="shared" si="127"/>
        <v>165.53677179999988</v>
      </c>
    </row>
    <row r="543" spans="1:25">
      <c r="A543">
        <v>122.6853993</v>
      </c>
      <c r="B543" s="2">
        <f t="shared" si="128"/>
        <v>-1.6613834576857386E-2</v>
      </c>
      <c r="C543">
        <v>99.950047069999997</v>
      </c>
      <c r="D543" s="3">
        <f t="shared" si="129"/>
        <v>2.1354173926376199E-2</v>
      </c>
      <c r="E543" s="3">
        <f t="shared" si="115"/>
        <v>2.514900550324951E-2</v>
      </c>
      <c r="F543" s="3">
        <f>STDEV($E$32:E543)</f>
        <v>1.3151789882753628E-2</v>
      </c>
      <c r="G543" s="14">
        <f t="shared" si="118"/>
        <v>1.9122116249916845</v>
      </c>
      <c r="H543" s="15">
        <f>yint($B$3:B543,$D$3:D543)</f>
        <v>-1.5098265286302132E-5</v>
      </c>
      <c r="I543" s="16">
        <f>MyReg($B$3:B543,$D$3:D543)</f>
        <v>0.22750517311952012</v>
      </c>
      <c r="J543" s="17">
        <f>STDEV($D$3:D543)</f>
        <v>1.3382901318364813E-2</v>
      </c>
      <c r="K543" s="4">
        <f t="shared" si="116"/>
        <v>-3.7948315768733111E-3</v>
      </c>
      <c r="L543">
        <f t="shared" si="119"/>
        <v>1.9122116249916845</v>
      </c>
      <c r="M543">
        <f>RSQ($D$3:D543,$B$3:B543)</f>
        <v>4.4777882157700399E-2</v>
      </c>
      <c r="N543">
        <v>511</v>
      </c>
      <c r="O543" t="str">
        <f t="shared" si="117"/>
        <v>sellY</v>
      </c>
      <c r="P543" t="str">
        <f t="shared" si="121"/>
        <v/>
      </c>
      <c r="Q543">
        <f t="shared" si="122"/>
        <v>10</v>
      </c>
      <c r="R543">
        <f t="shared" si="123"/>
        <v>0</v>
      </c>
      <c r="S543">
        <f t="shared" si="124"/>
        <v>-10</v>
      </c>
      <c r="T543">
        <f t="shared" si="125"/>
        <v>0</v>
      </c>
      <c r="U543">
        <f t="shared" si="120"/>
        <v>20</v>
      </c>
      <c r="V543">
        <f t="shared" si="126"/>
        <v>10</v>
      </c>
      <c r="W543">
        <f t="shared" si="130"/>
        <v>-227.35352230000004</v>
      </c>
      <c r="X543">
        <f>SUM($W$34:W543)</f>
        <v>-61.816750500000154</v>
      </c>
      <c r="Y543">
        <f t="shared" si="127"/>
        <v>0</v>
      </c>
    </row>
    <row r="544" spans="1:25">
      <c r="A544">
        <v>124.08320070000001</v>
      </c>
      <c r="B544" s="2">
        <f t="shared" si="128"/>
        <v>1.139338020640901E-2</v>
      </c>
      <c r="C544">
        <v>100.5355431</v>
      </c>
      <c r="D544" s="3">
        <f t="shared" si="129"/>
        <v>5.8578864859358155E-3</v>
      </c>
      <c r="E544" s="3">
        <f t="shared" si="115"/>
        <v>3.2702110269571582E-3</v>
      </c>
      <c r="F544" s="3">
        <f>STDEV($E$32:E544)</f>
        <v>1.3139820263845406E-2</v>
      </c>
      <c r="G544" s="14">
        <f t="shared" si="118"/>
        <v>0.24887791166788165</v>
      </c>
      <c r="H544" s="15">
        <f>yint($B$3:B544,$D$3:D544)</f>
        <v>-9.2481812306483712E-6</v>
      </c>
      <c r="I544" s="16">
        <f>MyReg($B$3:B544,$D$3:D544)</f>
        <v>0.22793267609453452</v>
      </c>
      <c r="J544" s="17">
        <f>STDEV($D$3:D544)</f>
        <v>1.337282331021958E-2</v>
      </c>
      <c r="K544" s="4">
        <f t="shared" si="116"/>
        <v>2.5876754589786574E-3</v>
      </c>
      <c r="L544">
        <f t="shared" si="119"/>
        <v>0.24887791166788165</v>
      </c>
      <c r="M544">
        <f>RSQ($D$3:D544,$B$3:B544)</f>
        <v>4.4995016270701307E-2</v>
      </c>
      <c r="N544">
        <v>512</v>
      </c>
      <c r="O544" t="str">
        <f t="shared" si="117"/>
        <v/>
      </c>
      <c r="P544" t="str">
        <f t="shared" si="121"/>
        <v>close</v>
      </c>
      <c r="Q544">
        <f t="shared" si="122"/>
        <v>0</v>
      </c>
      <c r="R544">
        <f t="shared" si="123"/>
        <v>0</v>
      </c>
      <c r="S544">
        <f t="shared" si="124"/>
        <v>0</v>
      </c>
      <c r="T544">
        <f t="shared" si="125"/>
        <v>0</v>
      </c>
      <c r="U544">
        <f t="shared" si="120"/>
        <v>0</v>
      </c>
      <c r="V544">
        <f t="shared" si="126"/>
        <v>-10</v>
      </c>
      <c r="W544">
        <f t="shared" si="130"/>
        <v>235.47657600000008</v>
      </c>
      <c r="X544">
        <f>SUM($W$34:W544)</f>
        <v>173.65982549999993</v>
      </c>
      <c r="Y544">
        <f t="shared" si="127"/>
        <v>173.65982549999993</v>
      </c>
    </row>
    <row r="545" spans="1:25">
      <c r="A545">
        <v>123.9160308</v>
      </c>
      <c r="B545" s="2">
        <f t="shared" si="128"/>
        <v>-1.3472403923894319E-3</v>
      </c>
      <c r="C545">
        <v>102.37366919999999</v>
      </c>
      <c r="D545" s="3">
        <f t="shared" si="129"/>
        <v>1.8283345803102313E-2</v>
      </c>
      <c r="E545" s="3">
        <f t="shared" ref="E545:E608" si="131">D545-K545</f>
        <v>1.8564685760856472E-2</v>
      </c>
      <c r="F545" s="3">
        <f>STDEV($E$32:E545)</f>
        <v>1.3152984935328302E-2</v>
      </c>
      <c r="G545" s="14">
        <f t="shared" si="118"/>
        <v>1.4114427905252591</v>
      </c>
      <c r="H545" s="15">
        <f>yint($B$3:B545,$D$3:D545)</f>
        <v>2.5196057597593694E-5</v>
      </c>
      <c r="I545" s="16">
        <f>MyReg($B$3:B545,$D$3:D545)</f>
        <v>0.22752881897200869</v>
      </c>
      <c r="J545" s="17">
        <f>STDEV($D$3:D545)</f>
        <v>1.3383251252449364E-2</v>
      </c>
      <c r="K545" s="4">
        <f t="shared" ref="K545:K608" si="132">H545+B545*I545</f>
        <v>-2.8133995775415932E-4</v>
      </c>
      <c r="L545">
        <f t="shared" si="119"/>
        <v>1.4114427905252591</v>
      </c>
      <c r="M545">
        <f>RSQ($D$3:D545,$B$3:B545)</f>
        <v>4.4685042694388381E-2</v>
      </c>
      <c r="N545">
        <v>513</v>
      </c>
      <c r="O545" t="str">
        <f t="shared" ref="O545:O608" si="133">IF(L545&gt;1.5,"sellY",IF(L545&lt;-1.5,"buyY",""))</f>
        <v/>
      </c>
      <c r="P545" t="str">
        <f t="shared" si="121"/>
        <v/>
      </c>
      <c r="Q545">
        <f t="shared" si="122"/>
        <v>0</v>
      </c>
      <c r="R545">
        <f t="shared" si="123"/>
        <v>0</v>
      </c>
      <c r="S545">
        <f t="shared" si="124"/>
        <v>0</v>
      </c>
      <c r="T545">
        <f t="shared" si="125"/>
        <v>0</v>
      </c>
      <c r="U545">
        <f t="shared" si="120"/>
        <v>0</v>
      </c>
      <c r="V545">
        <f t="shared" si="126"/>
        <v>0</v>
      </c>
      <c r="W545">
        <f t="shared" si="130"/>
        <v>0</v>
      </c>
      <c r="X545">
        <f>SUM($W$34:W545)</f>
        <v>173.65982549999993</v>
      </c>
      <c r="Y545">
        <f t="shared" si="127"/>
        <v>0</v>
      </c>
    </row>
    <row r="546" spans="1:25">
      <c r="A546">
        <v>121.4271293</v>
      </c>
      <c r="B546" s="2">
        <f t="shared" si="128"/>
        <v>-2.0085387531634826E-2</v>
      </c>
      <c r="C546">
        <v>100.5013721</v>
      </c>
      <c r="D546" s="3">
        <f t="shared" si="129"/>
        <v>-1.8288854103121248E-2</v>
      </c>
      <c r="E546" s="3">
        <f t="shared" si="131"/>
        <v>-1.3650063364352677E-2</v>
      </c>
      <c r="F546" s="3">
        <f>STDEV($E$32:E546)</f>
        <v>1.315368011974178E-2</v>
      </c>
      <c r="G546" s="14">
        <f t="shared" ref="G546:G609" si="134">E546/F546</f>
        <v>-1.037737214231468</v>
      </c>
      <c r="H546" s="15">
        <f>yint($B$3:B546,$D$3:D546)</f>
        <v>-1.5234542705099674E-6</v>
      </c>
      <c r="I546" s="16">
        <f>MyReg($B$3:B546,$D$3:D546)</f>
        <v>0.23087766054771341</v>
      </c>
      <c r="J546" s="17">
        <f>STDEV($D$3:D546)</f>
        <v>1.3394228834105348E-2</v>
      </c>
      <c r="K546" s="4">
        <f t="shared" si="132"/>
        <v>-4.6387907387685709E-3</v>
      </c>
      <c r="L546">
        <f t="shared" ref="L546:L609" si="135">(D546-K546)/F546</f>
        <v>-1.037737214231468</v>
      </c>
      <c r="M546">
        <f>RSQ($D$3:D546,$B$3:B546)</f>
        <v>4.6080939074738633E-2</v>
      </c>
      <c r="N546">
        <v>514</v>
      </c>
      <c r="O546" t="str">
        <f t="shared" si="133"/>
        <v/>
      </c>
      <c r="P546" t="str">
        <f t="shared" si="121"/>
        <v/>
      </c>
      <c r="Q546">
        <f t="shared" si="122"/>
        <v>0</v>
      </c>
      <c r="R546">
        <f t="shared" si="123"/>
        <v>0</v>
      </c>
      <c r="S546">
        <f t="shared" si="124"/>
        <v>0</v>
      </c>
      <c r="T546">
        <f t="shared" si="125"/>
        <v>0</v>
      </c>
      <c r="U546">
        <f t="shared" ref="U546:U609" si="136">ABS(Q546)+ABS(S546)</f>
        <v>0</v>
      </c>
      <c r="V546">
        <f t="shared" si="126"/>
        <v>0</v>
      </c>
      <c r="W546">
        <f t="shared" si="130"/>
        <v>0</v>
      </c>
      <c r="X546">
        <f>SUM($W$34:W546)</f>
        <v>173.65982549999993</v>
      </c>
      <c r="Y546">
        <f t="shared" si="127"/>
        <v>0</v>
      </c>
    </row>
    <row r="547" spans="1:25">
      <c r="A547">
        <v>120.39460680000001</v>
      </c>
      <c r="B547" s="2">
        <f t="shared" si="128"/>
        <v>-8.5032274579186547E-3</v>
      </c>
      <c r="C547">
        <v>100.7978973</v>
      </c>
      <c r="D547" s="3">
        <f t="shared" si="129"/>
        <v>2.9504592206458535E-3</v>
      </c>
      <c r="E547" s="3">
        <f t="shared" si="131"/>
        <v>4.9015285253008667E-3</v>
      </c>
      <c r="F547" s="3">
        <f>STDEV($E$32:E547)</f>
        <v>1.3142790531803443E-2</v>
      </c>
      <c r="G547" s="14">
        <f t="shared" si="134"/>
        <v>0.37294427796288426</v>
      </c>
      <c r="H547" s="15">
        <f>yint($B$3:B547,$D$3:D547)</f>
        <v>7.7126760932166188E-6</v>
      </c>
      <c r="I547" s="16">
        <f>MyReg($B$3:B547,$D$3:D547)</f>
        <v>0.2303574719648489</v>
      </c>
      <c r="J547" s="17">
        <f>STDEV($D$3:D547)</f>
        <v>1.3382469807149636E-2</v>
      </c>
      <c r="K547" s="4">
        <f t="shared" si="132"/>
        <v>-1.9510693046550132E-3</v>
      </c>
      <c r="L547">
        <f t="shared" si="135"/>
        <v>0.37294427796288426</v>
      </c>
      <c r="M547">
        <f>RSQ($D$3:D547,$B$3:B547)</f>
        <v>4.5913130738846064E-2</v>
      </c>
      <c r="N547">
        <v>515</v>
      </c>
      <c r="O547" t="str">
        <f t="shared" si="133"/>
        <v/>
      </c>
      <c r="P547" t="str">
        <f t="shared" ref="P547:P610" si="137">IF(AND(OR(O546="sellY",P546="sellhold"),L547&gt;0.5),"sellhold",IF(AND(OR(O546="sellY",P546="sellhold"),L547&lt;0.5,O547&lt;&gt;"buyY"),"close",IF(AND(OR(O546="sellY",P546="sellhold"),L547&lt;0.5,O547="buyY"),"close&amp;buy",IF(AND(OR(O546="buyY",P546="buyhold"),L547&lt;-0.5),"buyhold",IF(AND(OR(O546="buyY",P546="buyhold"),L547&gt;-0.5,O547&lt;&gt;"sellY"),"close",IF(AND(OR(O546="buyY",P546="buyhold"),L547&gt;-0.5,O547="sellY"),"close&amp;sell",""))))))</f>
        <v/>
      </c>
      <c r="Q547">
        <f t="shared" ref="Q547:Q610" si="138">IF(O547="sellY",MAX(10+R547,Q546),IF(O547="buyY",MIN(-10+R547,Q546),IF(P547="sellhold",Q546+R547,IF(P547="buyhold",Q546+R547,0))))</f>
        <v>0</v>
      </c>
      <c r="R547">
        <f t="shared" ref="R547:R610" si="139">IF(AND(L547&gt;2.5,Q546&lt;15),10,IF(AND(L547&gt;2,Q546&lt;15),5,IF(AND(L547&lt;-2.5,Q546&gt;-15),-10,IF(AND(L547&lt;-2,Q546&gt;-15),-5,0))))</f>
        <v>0</v>
      </c>
      <c r="S547">
        <f t="shared" ref="S547:S610" si="140">IF(O547="sellY",MIN(-10+T547,S546),IF(O547="buyY",MAX(10+T547,S546),IF(P547="sellhold",S546+T547,IF(P547="buyhold",S546+T547,0))))</f>
        <v>0</v>
      </c>
      <c r="T547">
        <f t="shared" ref="T547:T610" si="141">IF(AND(L547&gt;2.5,Q546&lt;15),-10,IF(AND(L547&gt;2,Q546&lt;15),-5,IF(AND(L547&lt;-2.5,Q546&gt;-15),10,IF(AND(L547&lt;-2,Q546&gt;-15),5,0))))</f>
        <v>0</v>
      </c>
      <c r="U547">
        <f t="shared" si="136"/>
        <v>0</v>
      </c>
      <c r="V547">
        <f t="shared" ref="V547:V610" si="142">Q547-Q546</f>
        <v>0</v>
      </c>
      <c r="W547">
        <f t="shared" si="130"/>
        <v>0</v>
      </c>
      <c r="X547">
        <f>SUM($W$34:W547)</f>
        <v>173.65982549999993</v>
      </c>
      <c r="Y547">
        <f t="shared" si="127"/>
        <v>0</v>
      </c>
    </row>
    <row r="548" spans="1:25">
      <c r="A548">
        <v>119.1951845</v>
      </c>
      <c r="B548" s="2">
        <f t="shared" si="128"/>
        <v>-9.9624254929665916E-3</v>
      </c>
      <c r="C548">
        <v>102.2358593</v>
      </c>
      <c r="D548" s="3">
        <f t="shared" si="129"/>
        <v>1.4265793617899198E-2</v>
      </c>
      <c r="E548" s="3">
        <f t="shared" si="131"/>
        <v>1.6501628162173515E-2</v>
      </c>
      <c r="F548" s="3">
        <f>STDEV($E$32:E548)</f>
        <v>1.31504511372497E-2</v>
      </c>
      <c r="G548" s="14">
        <f t="shared" si="134"/>
        <v>1.2548336167290368</v>
      </c>
      <c r="H548" s="15">
        <f>yint($B$3:B548,$D$3:D548)</f>
        <v>3.884028944071345E-5</v>
      </c>
      <c r="I548" s="16">
        <f>MyReg($B$3:B548,$D$3:D548)</f>
        <v>0.22832540482445129</v>
      </c>
      <c r="J548" s="17">
        <f>STDEV($D$3:D548)</f>
        <v>1.3383916133447759E-2</v>
      </c>
      <c r="K548" s="4">
        <f t="shared" si="132"/>
        <v>-2.2358345442743169E-3</v>
      </c>
      <c r="L548">
        <f t="shared" si="135"/>
        <v>1.2548336167290368</v>
      </c>
      <c r="M548">
        <f>RSQ($D$3:D548,$B$3:B548)</f>
        <v>4.5071611036511132E-2</v>
      </c>
      <c r="N548">
        <v>516</v>
      </c>
      <c r="O548" t="str">
        <f t="shared" si="133"/>
        <v/>
      </c>
      <c r="P548" t="str">
        <f t="shared" si="137"/>
        <v/>
      </c>
      <c r="Q548">
        <f t="shared" si="138"/>
        <v>0</v>
      </c>
      <c r="R548">
        <f t="shared" si="139"/>
        <v>0</v>
      </c>
      <c r="S548">
        <f t="shared" si="140"/>
        <v>0</v>
      </c>
      <c r="T548">
        <f t="shared" si="141"/>
        <v>0</v>
      </c>
      <c r="U548">
        <f t="shared" si="136"/>
        <v>0</v>
      </c>
      <c r="V548">
        <f t="shared" si="142"/>
        <v>0</v>
      </c>
      <c r="W548">
        <f t="shared" si="130"/>
        <v>0</v>
      </c>
      <c r="X548">
        <f>SUM($W$34:W548)</f>
        <v>173.65982549999993</v>
      </c>
      <c r="Y548">
        <f t="shared" ref="Y548:Y611" si="143">IF(P548="close",X548,0)</f>
        <v>0</v>
      </c>
    </row>
    <row r="549" spans="1:25">
      <c r="A549">
        <v>118.976849</v>
      </c>
      <c r="B549" s="2">
        <f t="shared" si="128"/>
        <v>-1.8317476575573815E-3</v>
      </c>
      <c r="C549">
        <v>100.8794747</v>
      </c>
      <c r="D549" s="3">
        <f t="shared" si="129"/>
        <v>-1.3267209854615056E-2</v>
      </c>
      <c r="E549" s="3">
        <f t="shared" si="131"/>
        <v>-1.2863497702335684E-2</v>
      </c>
      <c r="F549" s="3">
        <f>STDEV($E$32:E549)</f>
        <v>1.3149661361597287E-2</v>
      </c>
      <c r="G549" s="14">
        <f t="shared" si="134"/>
        <v>-0.97823794458332403</v>
      </c>
      <c r="H549" s="15">
        <f>yint($B$3:B549,$D$3:D549)</f>
        <v>1.5145124447614165E-5</v>
      </c>
      <c r="I549" s="16">
        <f>MyReg($B$3:B549,$D$3:D549)</f>
        <v>0.22866538139075779</v>
      </c>
      <c r="J549" s="17">
        <f>STDEV($D$3:D549)</f>
        <v>1.3383917929651528E-2</v>
      </c>
      <c r="K549" s="4">
        <f t="shared" si="132"/>
        <v>-4.037121522793717E-4</v>
      </c>
      <c r="L549">
        <f t="shared" si="135"/>
        <v>-0.97823794458332403</v>
      </c>
      <c r="M549">
        <f>RSQ($D$3:D549,$B$3:B549)</f>
        <v>4.5125782848442028E-2</v>
      </c>
      <c r="N549">
        <v>517</v>
      </c>
      <c r="O549" t="str">
        <f t="shared" si="133"/>
        <v/>
      </c>
      <c r="P549" t="str">
        <f t="shared" si="137"/>
        <v/>
      </c>
      <c r="Q549">
        <f t="shared" si="138"/>
        <v>0</v>
      </c>
      <c r="R549">
        <f t="shared" si="139"/>
        <v>0</v>
      </c>
      <c r="S549">
        <f t="shared" si="140"/>
        <v>0</v>
      </c>
      <c r="T549">
        <f t="shared" si="141"/>
        <v>0</v>
      </c>
      <c r="U549">
        <f t="shared" si="136"/>
        <v>0</v>
      </c>
      <c r="V549">
        <f t="shared" si="142"/>
        <v>0</v>
      </c>
      <c r="W549">
        <f t="shared" si="130"/>
        <v>0</v>
      </c>
      <c r="X549">
        <f>SUM($W$34:W549)</f>
        <v>173.65982549999993</v>
      </c>
      <c r="Y549">
        <f t="shared" si="143"/>
        <v>0</v>
      </c>
    </row>
    <row r="550" spans="1:25">
      <c r="A550">
        <v>119.4328593</v>
      </c>
      <c r="B550" s="2">
        <f t="shared" si="128"/>
        <v>3.8327649776638702E-3</v>
      </c>
      <c r="C550">
        <v>100.5528304</v>
      </c>
      <c r="D550" s="3">
        <f t="shared" si="129"/>
        <v>-3.2379659090353897E-3</v>
      </c>
      <c r="E550" s="3">
        <f t="shared" si="131"/>
        <v>-4.121420025142996E-3</v>
      </c>
      <c r="F550" s="3">
        <f>STDEV($E$32:E550)</f>
        <v>1.3138124818913792E-2</v>
      </c>
      <c r="G550" s="14">
        <f t="shared" si="134"/>
        <v>-0.31369925936536647</v>
      </c>
      <c r="H550" s="15">
        <f>yint($B$3:B550,$D$3:D550)</f>
        <v>7.6768254260102428E-6</v>
      </c>
      <c r="I550" s="16">
        <f>MyReg($B$3:B550,$D$3:D550)</f>
        <v>0.22849751961973824</v>
      </c>
      <c r="J550" s="17">
        <f>STDEV($D$3:D550)</f>
        <v>1.3372441134910358E-2</v>
      </c>
      <c r="K550" s="4">
        <f t="shared" si="132"/>
        <v>8.8345411610760605E-4</v>
      </c>
      <c r="L550">
        <f t="shared" si="135"/>
        <v>-0.31369925936536647</v>
      </c>
      <c r="M550">
        <f>RSQ($D$3:D550,$B$3:B550)</f>
        <v>4.5060711106373837E-2</v>
      </c>
      <c r="N550">
        <v>518</v>
      </c>
      <c r="O550" t="str">
        <f t="shared" si="133"/>
        <v/>
      </c>
      <c r="P550" t="str">
        <f t="shared" si="137"/>
        <v/>
      </c>
      <c r="Q550">
        <f t="shared" si="138"/>
        <v>0</v>
      </c>
      <c r="R550">
        <f t="shared" si="139"/>
        <v>0</v>
      </c>
      <c r="S550">
        <f t="shared" si="140"/>
        <v>0</v>
      </c>
      <c r="T550">
        <f t="shared" si="141"/>
        <v>0</v>
      </c>
      <c r="U550">
        <f t="shared" si="136"/>
        <v>0</v>
      </c>
      <c r="V550">
        <f t="shared" si="142"/>
        <v>0</v>
      </c>
      <c r="W550">
        <f t="shared" si="130"/>
        <v>0</v>
      </c>
      <c r="X550">
        <f>SUM($W$34:W550)</f>
        <v>173.65982549999993</v>
      </c>
      <c r="Y550">
        <f t="shared" si="143"/>
        <v>0</v>
      </c>
    </row>
    <row r="551" spans="1:25">
      <c r="A551">
        <v>120.90616660000001</v>
      </c>
      <c r="B551" s="2">
        <f t="shared" si="128"/>
        <v>1.2335862246245341E-2</v>
      </c>
      <c r="C551">
        <v>99.893273129999997</v>
      </c>
      <c r="D551" s="3">
        <f t="shared" si="129"/>
        <v>-6.5593108356699981E-3</v>
      </c>
      <c r="E551" s="3">
        <f t="shared" si="131"/>
        <v>-9.3528537866481402E-3</v>
      </c>
      <c r="F551" s="3">
        <f>STDEV($E$32:E551)</f>
        <v>1.3131667341551053E-2</v>
      </c>
      <c r="G551" s="14">
        <f t="shared" si="134"/>
        <v>-0.71223657616226388</v>
      </c>
      <c r="H551" s="15">
        <f>yint($B$3:B551,$D$3:D551)</f>
        <v>-8.85996877793086E-6</v>
      </c>
      <c r="I551" s="16">
        <f>MyReg($B$3:B551,$D$3:D551)</f>
        <v>0.22717527675124927</v>
      </c>
      <c r="J551" s="17">
        <f>STDEV($D$3:D551)</f>
        <v>1.3363256523031214E-2</v>
      </c>
      <c r="K551" s="4">
        <f t="shared" si="132"/>
        <v>2.7935429509781421E-3</v>
      </c>
      <c r="L551">
        <f t="shared" si="135"/>
        <v>-0.71223657616226388</v>
      </c>
      <c r="M551">
        <f>RSQ($D$3:D551,$B$3:B551)</f>
        <v>4.4595552656366791E-2</v>
      </c>
      <c r="N551">
        <v>519</v>
      </c>
      <c r="O551" t="str">
        <f t="shared" si="133"/>
        <v/>
      </c>
      <c r="P551" t="str">
        <f t="shared" si="137"/>
        <v/>
      </c>
      <c r="Q551">
        <f t="shared" si="138"/>
        <v>0</v>
      </c>
      <c r="R551">
        <f t="shared" si="139"/>
        <v>0</v>
      </c>
      <c r="S551">
        <f t="shared" si="140"/>
        <v>0</v>
      </c>
      <c r="T551">
        <f t="shared" si="141"/>
        <v>0</v>
      </c>
      <c r="U551">
        <f t="shared" si="136"/>
        <v>0</v>
      </c>
      <c r="V551">
        <f t="shared" si="142"/>
        <v>0</v>
      </c>
      <c r="W551">
        <f t="shared" si="130"/>
        <v>0</v>
      </c>
      <c r="X551">
        <f>SUM($W$34:W551)</f>
        <v>173.65982549999993</v>
      </c>
      <c r="Y551">
        <f t="shared" si="143"/>
        <v>0</v>
      </c>
    </row>
    <row r="552" spans="1:25">
      <c r="A552">
        <v>119.7771771</v>
      </c>
      <c r="B552" s="2">
        <f t="shared" si="128"/>
        <v>-9.3377329854075694E-3</v>
      </c>
      <c r="C552">
        <v>102.4151079</v>
      </c>
      <c r="D552" s="3">
        <f t="shared" si="129"/>
        <v>2.5245291209129873E-2</v>
      </c>
      <c r="E552" s="3">
        <f t="shared" si="131"/>
        <v>2.7294984142173122E-2</v>
      </c>
      <c r="F552" s="3">
        <f>STDEV($E$32:E552)</f>
        <v>1.3174082287890269E-2</v>
      </c>
      <c r="G552" s="14">
        <f t="shared" si="134"/>
        <v>2.0718698688608397</v>
      </c>
      <c r="H552" s="15">
        <f>yint($B$3:B552,$D$3:D552)</f>
        <v>4.2190099885434655E-5</v>
      </c>
      <c r="I552" s="16">
        <f>MyReg($B$3:B552,$D$3:D552)</f>
        <v>0.22402472165329099</v>
      </c>
      <c r="J552" s="17">
        <f>STDEV($D$3:D552)</f>
        <v>1.3394107965511673E-2</v>
      </c>
      <c r="K552" s="4">
        <f t="shared" si="132"/>
        <v>-2.04969293304325E-3</v>
      </c>
      <c r="L552">
        <f t="shared" si="135"/>
        <v>2.0718698688608397</v>
      </c>
      <c r="M552">
        <f>RSQ($D$3:D552,$B$3:B552)</f>
        <v>4.3137470230608592E-2</v>
      </c>
      <c r="N552">
        <v>520</v>
      </c>
      <c r="O552" t="str">
        <f t="shared" si="133"/>
        <v>sellY</v>
      </c>
      <c r="P552" t="str">
        <f t="shared" si="137"/>
        <v/>
      </c>
      <c r="Q552">
        <f t="shared" si="138"/>
        <v>15</v>
      </c>
      <c r="R552">
        <f t="shared" si="139"/>
        <v>5</v>
      </c>
      <c r="S552">
        <f t="shared" si="140"/>
        <v>-15</v>
      </c>
      <c r="T552">
        <f t="shared" si="141"/>
        <v>-5</v>
      </c>
      <c r="U552">
        <f t="shared" si="136"/>
        <v>30</v>
      </c>
      <c r="V552">
        <f t="shared" si="142"/>
        <v>15</v>
      </c>
      <c r="W552">
        <f t="shared" si="130"/>
        <v>-260.43103800000011</v>
      </c>
      <c r="X552">
        <f>SUM($W$34:W552)</f>
        <v>-86.771212500000189</v>
      </c>
      <c r="Y552">
        <f t="shared" si="143"/>
        <v>0</v>
      </c>
    </row>
    <row r="553" spans="1:25">
      <c r="A553">
        <v>121.26499699999999</v>
      </c>
      <c r="B553" s="2">
        <f t="shared" si="128"/>
        <v>1.2421564241389947E-2</v>
      </c>
      <c r="C553">
        <v>104.0430728</v>
      </c>
      <c r="D553" s="3">
        <f t="shared" si="129"/>
        <v>1.5895749498107098E-2</v>
      </c>
      <c r="E553" s="3">
        <f t="shared" si="131"/>
        <v>1.302492451098692E-2</v>
      </c>
      <c r="F553" s="3">
        <f>STDEV($E$32:E553)</f>
        <v>1.317398861960436E-2</v>
      </c>
      <c r="G553" s="14">
        <f t="shared" si="134"/>
        <v>0.98868496755829771</v>
      </c>
      <c r="H553" s="15">
        <f>yint($B$3:B553,$D$3:D553)</f>
        <v>6.5122704244172707E-5</v>
      </c>
      <c r="I553" s="16">
        <f>MyReg($B$3:B553,$D$3:D553)</f>
        <v>0.22587350742244788</v>
      </c>
      <c r="J553" s="17">
        <f>STDEV($D$3:D553)</f>
        <v>1.339876405533335E-2</v>
      </c>
      <c r="K553" s="4">
        <f t="shared" si="132"/>
        <v>2.8708249871201783E-3</v>
      </c>
      <c r="L553">
        <f t="shared" si="135"/>
        <v>0.98868496755829771</v>
      </c>
      <c r="M553">
        <f>RSQ($D$3:D553,$B$3:B553)</f>
        <v>4.3816724766719127E-2</v>
      </c>
      <c r="N553">
        <v>521</v>
      </c>
      <c r="O553" t="str">
        <f t="shared" si="133"/>
        <v/>
      </c>
      <c r="P553" t="str">
        <f t="shared" si="137"/>
        <v>sellhold</v>
      </c>
      <c r="Q553">
        <f t="shared" si="138"/>
        <v>15</v>
      </c>
      <c r="R553">
        <f t="shared" si="139"/>
        <v>0</v>
      </c>
      <c r="S553">
        <f t="shared" si="140"/>
        <v>-15</v>
      </c>
      <c r="T553">
        <f t="shared" si="141"/>
        <v>0</v>
      </c>
      <c r="U553">
        <f t="shared" si="136"/>
        <v>30</v>
      </c>
      <c r="V553">
        <f t="shared" si="142"/>
        <v>0</v>
      </c>
      <c r="W553">
        <f t="shared" si="130"/>
        <v>0</v>
      </c>
      <c r="X553">
        <f>SUM($W$34:W553)</f>
        <v>-86.771212500000189</v>
      </c>
      <c r="Y553">
        <f t="shared" si="143"/>
        <v>0</v>
      </c>
    </row>
    <row r="554" spans="1:25">
      <c r="A554">
        <v>120.9946075</v>
      </c>
      <c r="B554" s="2">
        <f t="shared" si="128"/>
        <v>-2.2297407058031195E-3</v>
      </c>
      <c r="C554">
        <v>105.1492818</v>
      </c>
      <c r="D554" s="3">
        <f t="shared" si="129"/>
        <v>1.0632221542768511E-2</v>
      </c>
      <c r="E554" s="3">
        <f t="shared" si="131"/>
        <v>1.1049764479049869E-2</v>
      </c>
      <c r="F554" s="3">
        <f>STDEV($E$32:E554)</f>
        <v>1.3170371023060489E-2</v>
      </c>
      <c r="G554" s="14">
        <f t="shared" si="134"/>
        <v>0.8389865752227047</v>
      </c>
      <c r="H554" s="15">
        <f>yint($B$3:B554,$D$3:D554)</f>
        <v>8.5324533862223497E-5</v>
      </c>
      <c r="I554" s="16">
        <f>MyReg($B$3:B554,$D$3:D554)</f>
        <v>0.22552733097387495</v>
      </c>
      <c r="J554" s="17">
        <f>STDEV($D$3:D554)</f>
        <v>1.3394016259113125E-2</v>
      </c>
      <c r="K554" s="4">
        <f t="shared" si="132"/>
        <v>-4.1754293628135818E-4</v>
      </c>
      <c r="L554">
        <f t="shared" si="135"/>
        <v>0.8389865752227047</v>
      </c>
      <c r="M554">
        <f>RSQ($D$3:D554,$B$3:B554)</f>
        <v>4.3637783857439515E-2</v>
      </c>
      <c r="N554">
        <v>522</v>
      </c>
      <c r="O554" t="str">
        <f t="shared" si="133"/>
        <v/>
      </c>
      <c r="P554" t="str">
        <f t="shared" si="137"/>
        <v>sellhold</v>
      </c>
      <c r="Q554">
        <f t="shared" si="138"/>
        <v>15</v>
      </c>
      <c r="R554">
        <f t="shared" si="139"/>
        <v>0</v>
      </c>
      <c r="S554">
        <f t="shared" si="140"/>
        <v>-15</v>
      </c>
      <c r="T554">
        <f t="shared" si="141"/>
        <v>0</v>
      </c>
      <c r="U554">
        <f t="shared" si="136"/>
        <v>30</v>
      </c>
      <c r="V554">
        <f t="shared" si="142"/>
        <v>0</v>
      </c>
      <c r="W554">
        <f t="shared" si="130"/>
        <v>0</v>
      </c>
      <c r="X554">
        <f>SUM($W$34:W554)</f>
        <v>-86.771212500000189</v>
      </c>
      <c r="Y554">
        <f t="shared" si="143"/>
        <v>0</v>
      </c>
    </row>
    <row r="555" spans="1:25">
      <c r="A555">
        <v>121.8606056</v>
      </c>
      <c r="B555" s="2">
        <f t="shared" si="128"/>
        <v>7.1573280652197559E-3</v>
      </c>
      <c r="C555">
        <v>105.4082658</v>
      </c>
      <c r="D555" s="3">
        <f t="shared" si="129"/>
        <v>2.4630125433723897E-3</v>
      </c>
      <c r="E555" s="3">
        <f t="shared" si="131"/>
        <v>7.6172753819617146E-4</v>
      </c>
      <c r="F555" s="3">
        <f>STDEV($E$32:E555)</f>
        <v>1.3157823554411347E-2</v>
      </c>
      <c r="G555" s="14">
        <f t="shared" si="134"/>
        <v>5.7891606088667412E-2</v>
      </c>
      <c r="H555" s="15">
        <f>yint($B$3:B555,$D$3:D555)</f>
        <v>8.6678936580064357E-5</v>
      </c>
      <c r="I555" s="16">
        <f>MyReg($B$3:B555,$D$3:D555)</f>
        <v>0.22558782465794092</v>
      </c>
      <c r="J555" s="17">
        <f>STDEV($D$3:D555)</f>
        <v>1.3382230492257041E-2</v>
      </c>
      <c r="K555" s="4">
        <f t="shared" si="132"/>
        <v>1.7012850051762183E-3</v>
      </c>
      <c r="L555">
        <f t="shared" si="135"/>
        <v>5.7891606088667412E-2</v>
      </c>
      <c r="M555">
        <f>RSQ($D$3:D555,$B$3:B555)</f>
        <v>4.3682210443240249E-2</v>
      </c>
      <c r="N555">
        <v>523</v>
      </c>
      <c r="O555" t="str">
        <f t="shared" si="133"/>
        <v/>
      </c>
      <c r="P555" t="str">
        <f t="shared" si="137"/>
        <v>close</v>
      </c>
      <c r="Q555">
        <f t="shared" si="138"/>
        <v>0</v>
      </c>
      <c r="R555">
        <f t="shared" si="139"/>
        <v>0</v>
      </c>
      <c r="S555">
        <f t="shared" si="140"/>
        <v>0</v>
      </c>
      <c r="T555">
        <f t="shared" si="141"/>
        <v>0</v>
      </c>
      <c r="U555">
        <f t="shared" si="136"/>
        <v>0</v>
      </c>
      <c r="V555">
        <f t="shared" si="142"/>
        <v>-15</v>
      </c>
      <c r="W555">
        <f t="shared" si="130"/>
        <v>246.78509700000006</v>
      </c>
      <c r="X555">
        <f>SUM($W$34:W555)</f>
        <v>160.01388449999988</v>
      </c>
      <c r="Y555">
        <f t="shared" si="143"/>
        <v>160.01388449999988</v>
      </c>
    </row>
    <row r="556" spans="1:25">
      <c r="A556">
        <v>120.8843909</v>
      </c>
      <c r="B556" s="2">
        <f t="shared" si="128"/>
        <v>-8.0109129213124467E-3</v>
      </c>
      <c r="C556">
        <v>106.2925661</v>
      </c>
      <c r="D556" s="3">
        <f t="shared" si="129"/>
        <v>8.3892880059127841E-3</v>
      </c>
      <c r="E556" s="3">
        <f t="shared" si="131"/>
        <v>1.0083064912814185E-2</v>
      </c>
      <c r="F556" s="3">
        <f>STDEV($E$32:E556)</f>
        <v>1.3152721178190817E-2</v>
      </c>
      <c r="G556" s="14">
        <f t="shared" si="134"/>
        <v>0.76661435882434859</v>
      </c>
      <c r="H556" s="15">
        <f>yint($B$3:B556,$D$3:D556)</f>
        <v>1.0534821305414417E-4</v>
      </c>
      <c r="I556" s="16">
        <f>MyReg($B$3:B556,$D$3:D556)</f>
        <v>0.2245842811708893</v>
      </c>
      <c r="J556" s="17">
        <f>STDEV($D$3:D556)</f>
        <v>1.3374668621142562E-2</v>
      </c>
      <c r="K556" s="4">
        <f t="shared" si="132"/>
        <v>-1.6937769069014007E-3</v>
      </c>
      <c r="L556">
        <f t="shared" si="135"/>
        <v>0.76661435882434859</v>
      </c>
      <c r="M556">
        <f>RSQ($D$3:D556,$B$3:B556)</f>
        <v>4.3301319697274417E-2</v>
      </c>
      <c r="N556">
        <v>524</v>
      </c>
      <c r="O556" t="str">
        <f t="shared" si="133"/>
        <v/>
      </c>
      <c r="P556" t="str">
        <f t="shared" si="137"/>
        <v/>
      </c>
      <c r="Q556">
        <f t="shared" si="138"/>
        <v>0</v>
      </c>
      <c r="R556">
        <f t="shared" si="139"/>
        <v>0</v>
      </c>
      <c r="S556">
        <f t="shared" si="140"/>
        <v>0</v>
      </c>
      <c r="T556">
        <f t="shared" si="141"/>
        <v>0</v>
      </c>
      <c r="U556">
        <f t="shared" si="136"/>
        <v>0</v>
      </c>
      <c r="V556">
        <f t="shared" si="142"/>
        <v>0</v>
      </c>
      <c r="W556">
        <f t="shared" si="130"/>
        <v>0</v>
      </c>
      <c r="X556">
        <f>SUM($W$34:W556)</f>
        <v>160.01388449999988</v>
      </c>
      <c r="Y556">
        <f t="shared" si="143"/>
        <v>0</v>
      </c>
    </row>
    <row r="557" spans="1:25">
      <c r="A557">
        <v>121.3277709</v>
      </c>
      <c r="B557" s="2">
        <f t="shared" si="128"/>
        <v>3.6678019113880879E-3</v>
      </c>
      <c r="C557">
        <v>106.2786756</v>
      </c>
      <c r="D557" s="3">
        <f t="shared" si="129"/>
        <v>-1.306817636421918E-4</v>
      </c>
      <c r="E557" s="3">
        <f t="shared" si="131"/>
        <v>-1.0577199420397918E-3</v>
      </c>
      <c r="F557" s="3">
        <f>STDEV($E$32:E557)</f>
        <v>1.314026292819925E-2</v>
      </c>
      <c r="G557" s="14">
        <f t="shared" si="134"/>
        <v>-8.0494579737054192E-2</v>
      </c>
      <c r="H557" s="15">
        <f>yint($B$3:B557,$D$3:D557)</f>
        <v>1.0345592898804248E-4</v>
      </c>
      <c r="I557" s="16">
        <f>MyReg($B$3:B557,$D$3:D557)</f>
        <v>0.22454381924291844</v>
      </c>
      <c r="J557" s="17">
        <f>STDEV($D$3:D557)</f>
        <v>1.336259951730096E-2</v>
      </c>
      <c r="K557" s="4">
        <f t="shared" si="132"/>
        <v>9.2703817839760001E-4</v>
      </c>
      <c r="L557">
        <f t="shared" si="135"/>
        <v>-8.0494579737054192E-2</v>
      </c>
      <c r="M557">
        <f>RSQ($D$3:D557,$B$3:B557)</f>
        <v>4.3291040497153946E-2</v>
      </c>
      <c r="N557">
        <v>525</v>
      </c>
      <c r="O557" t="str">
        <f t="shared" si="133"/>
        <v/>
      </c>
      <c r="P557" t="str">
        <f t="shared" si="137"/>
        <v/>
      </c>
      <c r="Q557">
        <f t="shared" si="138"/>
        <v>0</v>
      </c>
      <c r="R557">
        <f t="shared" si="139"/>
        <v>0</v>
      </c>
      <c r="S557">
        <f t="shared" si="140"/>
        <v>0</v>
      </c>
      <c r="T557">
        <f t="shared" si="141"/>
        <v>0</v>
      </c>
      <c r="U557">
        <f t="shared" si="136"/>
        <v>0</v>
      </c>
      <c r="V557">
        <f t="shared" si="142"/>
        <v>0</v>
      </c>
      <c r="W557">
        <f t="shared" si="130"/>
        <v>0</v>
      </c>
      <c r="X557">
        <f>SUM($W$34:W557)</f>
        <v>160.01388449999988</v>
      </c>
      <c r="Y557">
        <f t="shared" si="143"/>
        <v>0</v>
      </c>
    </row>
    <row r="558" spans="1:25">
      <c r="A558">
        <v>122.03375560000001</v>
      </c>
      <c r="B558" s="2">
        <f t="shared" si="128"/>
        <v>5.8188219791978548E-3</v>
      </c>
      <c r="C558">
        <v>106.55852</v>
      </c>
      <c r="D558" s="3">
        <f t="shared" si="129"/>
        <v>2.6331189998382121E-3</v>
      </c>
      <c r="E558" s="3">
        <f t="shared" si="131"/>
        <v>1.2204654636118737E-3</v>
      </c>
      <c r="F558" s="3">
        <f>STDEV($E$32:E558)</f>
        <v>1.312788241809314E-2</v>
      </c>
      <c r="G558" s="14">
        <f t="shared" si="134"/>
        <v>9.2967428008785408E-2</v>
      </c>
      <c r="H558" s="15">
        <f>yint($B$3:B558,$D$3:D558)</f>
        <v>1.0562202898352799E-4</v>
      </c>
      <c r="I558" s="16">
        <f>MyReg($B$3:B558,$D$3:D558)</f>
        <v>0.22462132574521371</v>
      </c>
      <c r="J558" s="17">
        <f>STDEV($D$3:D558)</f>
        <v>1.3350954844000862E-2</v>
      </c>
      <c r="K558" s="4">
        <f t="shared" si="132"/>
        <v>1.4126535362263383E-3</v>
      </c>
      <c r="L558">
        <f t="shared" si="135"/>
        <v>9.2967428008785408E-2</v>
      </c>
      <c r="M558">
        <f>RSQ($D$3:D558,$B$3:B558)</f>
        <v>4.333315293906876E-2</v>
      </c>
      <c r="N558">
        <v>526</v>
      </c>
      <c r="O558" t="str">
        <f t="shared" si="133"/>
        <v/>
      </c>
      <c r="P558" t="str">
        <f t="shared" si="137"/>
        <v/>
      </c>
      <c r="Q558">
        <f t="shared" si="138"/>
        <v>0</v>
      </c>
      <c r="R558">
        <f t="shared" si="139"/>
        <v>0</v>
      </c>
      <c r="S558">
        <f t="shared" si="140"/>
        <v>0</v>
      </c>
      <c r="T558">
        <f t="shared" si="141"/>
        <v>0</v>
      </c>
      <c r="U558">
        <f t="shared" si="136"/>
        <v>0</v>
      </c>
      <c r="V558">
        <f t="shared" si="142"/>
        <v>0</v>
      </c>
      <c r="W558">
        <f t="shared" si="130"/>
        <v>0</v>
      </c>
      <c r="X558">
        <f>SUM($W$34:W558)</f>
        <v>160.01388449999988</v>
      </c>
      <c r="Y558">
        <f t="shared" si="143"/>
        <v>0</v>
      </c>
    </row>
    <row r="559" spans="1:25">
      <c r="A559">
        <v>121.3546413</v>
      </c>
      <c r="B559" s="2">
        <f t="shared" si="128"/>
        <v>-5.5649709103930012E-3</v>
      </c>
      <c r="C559">
        <v>105.3907552</v>
      </c>
      <c r="D559" s="3">
        <f t="shared" si="129"/>
        <v>-1.0958905960780991E-2</v>
      </c>
      <c r="E559" s="3">
        <f t="shared" si="131"/>
        <v>-9.7927552233647869E-3</v>
      </c>
      <c r="F559" s="3">
        <f>STDEV($E$32:E559)</f>
        <v>1.312228002714359E-2</v>
      </c>
      <c r="G559" s="14">
        <f t="shared" si="134"/>
        <v>-0.74626933757764335</v>
      </c>
      <c r="H559" s="15">
        <f>yint($B$3:B559,$D$3:D559)</f>
        <v>8.7708593452363892E-5</v>
      </c>
      <c r="I559" s="16">
        <f>MyReg($B$3:B559,$D$3:D559)</f>
        <v>0.22531282751665266</v>
      </c>
      <c r="J559" s="17">
        <f>STDEV($D$3:D559)</f>
        <v>1.3347325299925503E-2</v>
      </c>
      <c r="K559" s="4">
        <f t="shared" si="132"/>
        <v>-1.166150737416204E-3</v>
      </c>
      <c r="L559">
        <f t="shared" si="135"/>
        <v>-0.74626933757764335</v>
      </c>
      <c r="M559">
        <f>RSQ($D$3:D559,$B$3:B559)</f>
        <v>4.3564038174292254E-2</v>
      </c>
      <c r="N559">
        <v>527</v>
      </c>
      <c r="O559" t="str">
        <f t="shared" si="133"/>
        <v/>
      </c>
      <c r="P559" t="str">
        <f t="shared" si="137"/>
        <v/>
      </c>
      <c r="Q559">
        <f t="shared" si="138"/>
        <v>0</v>
      </c>
      <c r="R559">
        <f t="shared" si="139"/>
        <v>0</v>
      </c>
      <c r="S559">
        <f t="shared" si="140"/>
        <v>0</v>
      </c>
      <c r="T559">
        <f t="shared" si="141"/>
        <v>0</v>
      </c>
      <c r="U559">
        <f t="shared" si="136"/>
        <v>0</v>
      </c>
      <c r="V559">
        <f t="shared" si="142"/>
        <v>0</v>
      </c>
      <c r="W559">
        <f t="shared" si="130"/>
        <v>0</v>
      </c>
      <c r="X559">
        <f>SUM($W$34:W559)</f>
        <v>160.01388449999988</v>
      </c>
      <c r="Y559">
        <f t="shared" si="143"/>
        <v>0</v>
      </c>
    </row>
    <row r="560" spans="1:25">
      <c r="A560">
        <v>124.8517487</v>
      </c>
      <c r="B560" s="2">
        <f t="shared" si="128"/>
        <v>2.8817252991212992E-2</v>
      </c>
      <c r="C560">
        <v>105.7782136</v>
      </c>
      <c r="D560" s="3">
        <f t="shared" si="129"/>
        <v>3.676398364018933E-3</v>
      </c>
      <c r="E560" s="3">
        <f t="shared" si="131"/>
        <v>-2.8718134232751458E-3</v>
      </c>
      <c r="F560" s="3">
        <f>STDEV($E$32:E560)</f>
        <v>1.3110416340151795E-2</v>
      </c>
      <c r="G560" s="14">
        <f t="shared" si="134"/>
        <v>-0.21904822461510748</v>
      </c>
      <c r="H560" s="15">
        <f>yint($B$3:B560,$D$3:D560)</f>
        <v>8.2959367672461653E-5</v>
      </c>
      <c r="I560" s="16">
        <f>MyReg($B$3:B560,$D$3:D560)</f>
        <v>0.22435352951903548</v>
      </c>
      <c r="J560" s="17">
        <f>STDEV($D$3:D560)</f>
        <v>1.3336158376678826E-2</v>
      </c>
      <c r="K560" s="4">
        <f t="shared" si="132"/>
        <v>6.5482117872940789E-3</v>
      </c>
      <c r="L560">
        <f t="shared" si="135"/>
        <v>-0.21904822461510748</v>
      </c>
      <c r="M560">
        <f>RSQ($D$3:D560,$B$3:B560)</f>
        <v>4.3597445680125892E-2</v>
      </c>
      <c r="N560">
        <v>528</v>
      </c>
      <c r="O560" t="str">
        <f t="shared" si="133"/>
        <v/>
      </c>
      <c r="P560" t="str">
        <f t="shared" si="137"/>
        <v/>
      </c>
      <c r="Q560">
        <f t="shared" si="138"/>
        <v>0</v>
      </c>
      <c r="R560">
        <f t="shared" si="139"/>
        <v>0</v>
      </c>
      <c r="S560">
        <f t="shared" si="140"/>
        <v>0</v>
      </c>
      <c r="T560">
        <f t="shared" si="141"/>
        <v>0</v>
      </c>
      <c r="U560">
        <f t="shared" si="136"/>
        <v>0</v>
      </c>
      <c r="V560">
        <f t="shared" si="142"/>
        <v>0</v>
      </c>
      <c r="W560">
        <f t="shared" si="130"/>
        <v>0</v>
      </c>
      <c r="X560">
        <f>SUM($W$34:W560)</f>
        <v>160.01388449999988</v>
      </c>
      <c r="Y560">
        <f t="shared" si="143"/>
        <v>0</v>
      </c>
    </row>
    <row r="561" spans="1:25">
      <c r="A561">
        <v>126.5609455</v>
      </c>
      <c r="B561" s="2">
        <f t="shared" si="128"/>
        <v>1.3689810657814204E-2</v>
      </c>
      <c r="C561">
        <v>107.7113221</v>
      </c>
      <c r="D561" s="3">
        <f t="shared" si="129"/>
        <v>1.8275110102634624E-2</v>
      </c>
      <c r="E561" s="3">
        <f t="shared" si="131"/>
        <v>1.5063140746663359E-2</v>
      </c>
      <c r="F561" s="3">
        <f>STDEV($E$32:E561)</f>
        <v>1.3114500519294102E-2</v>
      </c>
      <c r="G561" s="14">
        <f t="shared" si="134"/>
        <v>1.1485866903205662</v>
      </c>
      <c r="H561" s="15">
        <f>yint($B$3:B561,$D$3:D561)</f>
        <v>1.0885281664849406E-4</v>
      </c>
      <c r="I561" s="16">
        <f>MyReg($B$3:B561,$D$3:D561)</f>
        <v>0.22667344471645393</v>
      </c>
      <c r="J561" s="17">
        <f>STDEV($D$3:D561)</f>
        <v>1.3346142571112204E-2</v>
      </c>
      <c r="K561" s="4">
        <f t="shared" si="132"/>
        <v>3.211969355971264E-3</v>
      </c>
      <c r="L561">
        <f t="shared" si="135"/>
        <v>1.1485866903205662</v>
      </c>
      <c r="M561">
        <f>RSQ($D$3:D561,$B$3:B561)</f>
        <v>4.444766221067354E-2</v>
      </c>
      <c r="N561">
        <v>529</v>
      </c>
      <c r="O561" t="str">
        <f t="shared" si="133"/>
        <v/>
      </c>
      <c r="P561" t="str">
        <f t="shared" si="137"/>
        <v/>
      </c>
      <c r="Q561">
        <f t="shared" si="138"/>
        <v>0</v>
      </c>
      <c r="R561">
        <f t="shared" si="139"/>
        <v>0</v>
      </c>
      <c r="S561">
        <f t="shared" si="140"/>
        <v>0</v>
      </c>
      <c r="T561">
        <f t="shared" si="141"/>
        <v>0</v>
      </c>
      <c r="U561">
        <f t="shared" si="136"/>
        <v>0</v>
      </c>
      <c r="V561">
        <f t="shared" si="142"/>
        <v>0</v>
      </c>
      <c r="W561">
        <f t="shared" si="130"/>
        <v>0</v>
      </c>
      <c r="X561">
        <f>SUM($W$34:W561)</f>
        <v>160.01388449999988</v>
      </c>
      <c r="Y561">
        <f t="shared" si="143"/>
        <v>0</v>
      </c>
    </row>
    <row r="562" spans="1:25">
      <c r="A562">
        <v>126.3256035</v>
      </c>
      <c r="B562" s="2">
        <f t="shared" si="128"/>
        <v>-1.8595151851169033E-3</v>
      </c>
      <c r="C562">
        <v>108.0781077</v>
      </c>
      <c r="D562" s="3">
        <f t="shared" si="129"/>
        <v>3.4052650440914052E-3</v>
      </c>
      <c r="E562" s="3">
        <f t="shared" si="131"/>
        <v>3.7110362617602186E-3</v>
      </c>
      <c r="F562" s="3">
        <f>STDEV($E$32:E562)</f>
        <v>1.3103133786166066E-2</v>
      </c>
      <c r="G562" s="14">
        <f t="shared" si="134"/>
        <v>0.28321745945067206</v>
      </c>
      <c r="H562" s="15">
        <f>yint($B$3:B562,$D$3:D562)</f>
        <v>1.1554224664780118E-4</v>
      </c>
      <c r="I562" s="16">
        <f>MyReg($B$3:B562,$D$3:D562)</f>
        <v>0.22657167184688934</v>
      </c>
      <c r="J562" s="17">
        <f>STDEV($D$3:D562)</f>
        <v>1.3334878284158223E-2</v>
      </c>
      <c r="K562" s="4">
        <f t="shared" si="132"/>
        <v>-3.0577121766881351E-4</v>
      </c>
      <c r="L562">
        <f t="shared" si="135"/>
        <v>0.28321745945067206</v>
      </c>
      <c r="M562">
        <f>RSQ($D$3:D562,$B$3:B562)</f>
        <v>4.4406105295760563E-2</v>
      </c>
      <c r="N562">
        <v>530</v>
      </c>
      <c r="O562" t="str">
        <f t="shared" si="133"/>
        <v/>
      </c>
      <c r="P562" t="str">
        <f t="shared" si="137"/>
        <v/>
      </c>
      <c r="Q562">
        <f t="shared" si="138"/>
        <v>0</v>
      </c>
      <c r="R562">
        <f t="shared" si="139"/>
        <v>0</v>
      </c>
      <c r="S562">
        <f t="shared" si="140"/>
        <v>0</v>
      </c>
      <c r="T562">
        <f t="shared" si="141"/>
        <v>0</v>
      </c>
      <c r="U562">
        <f t="shared" si="136"/>
        <v>0</v>
      </c>
      <c r="V562">
        <f t="shared" si="142"/>
        <v>0</v>
      </c>
      <c r="W562">
        <f t="shared" si="130"/>
        <v>0</v>
      </c>
      <c r="X562">
        <f>SUM($W$34:W562)</f>
        <v>160.01388449999988</v>
      </c>
      <c r="Y562">
        <f t="shared" si="143"/>
        <v>0</v>
      </c>
    </row>
    <row r="563" spans="1:25">
      <c r="A563">
        <v>124.565411</v>
      </c>
      <c r="B563" s="2">
        <f t="shared" si="128"/>
        <v>-1.3933774715748753E-2</v>
      </c>
      <c r="C563">
        <v>104.91342349999999</v>
      </c>
      <c r="D563" s="3">
        <f t="shared" si="129"/>
        <v>-2.9281454564179146E-2</v>
      </c>
      <c r="E563" s="3">
        <f t="shared" si="131"/>
        <v>-2.6130077198023131E-2</v>
      </c>
      <c r="F563" s="3">
        <f>STDEV($E$32:E563)</f>
        <v>1.3139594570585715E-2</v>
      </c>
      <c r="G563" s="14">
        <f t="shared" si="134"/>
        <v>-1.9886517089741793</v>
      </c>
      <c r="H563" s="15">
        <f>yint($B$3:B563,$D$3:D563)</f>
        <v>6.6714550480759743E-5</v>
      </c>
      <c r="I563" s="16">
        <f>MyReg($B$3:B563,$D$3:D563)</f>
        <v>0.2309562184179354</v>
      </c>
      <c r="J563" s="17">
        <f>STDEV($D$3:D563)</f>
        <v>1.338109248522933E-2</v>
      </c>
      <c r="K563" s="4">
        <f t="shared" si="132"/>
        <v>-3.1513773661560151E-3</v>
      </c>
      <c r="L563">
        <f t="shared" si="135"/>
        <v>-1.9886517089741793</v>
      </c>
      <c r="M563">
        <f>RSQ($D$3:D563,$B$3:B563)</f>
        <v>4.585194969885506E-2</v>
      </c>
      <c r="N563">
        <v>531</v>
      </c>
      <c r="O563" t="str">
        <f t="shared" si="133"/>
        <v>buyY</v>
      </c>
      <c r="P563" t="str">
        <f t="shared" si="137"/>
        <v/>
      </c>
      <c r="Q563">
        <f t="shared" si="138"/>
        <v>-10</v>
      </c>
      <c r="R563">
        <f t="shared" si="139"/>
        <v>0</v>
      </c>
      <c r="S563">
        <f t="shared" si="140"/>
        <v>10</v>
      </c>
      <c r="T563">
        <f t="shared" si="141"/>
        <v>0</v>
      </c>
      <c r="U563">
        <f t="shared" si="136"/>
        <v>20</v>
      </c>
      <c r="V563">
        <f t="shared" si="142"/>
        <v>-10</v>
      </c>
      <c r="W563">
        <f t="shared" si="130"/>
        <v>196.51987500000004</v>
      </c>
      <c r="X563">
        <f>SUM($W$34:W563)</f>
        <v>356.53375949999992</v>
      </c>
      <c r="Y563">
        <f t="shared" si="143"/>
        <v>0</v>
      </c>
    </row>
    <row r="564" spans="1:25">
      <c r="A564">
        <v>125.2131155</v>
      </c>
      <c r="B564" s="2">
        <f t="shared" si="128"/>
        <v>5.1997139077396316E-3</v>
      </c>
      <c r="C564">
        <v>106.0275276</v>
      </c>
      <c r="D564" s="3">
        <f t="shared" si="129"/>
        <v>1.0619271231769555E-2</v>
      </c>
      <c r="E564" s="3">
        <f t="shared" si="131"/>
        <v>9.3325910733221724E-3</v>
      </c>
      <c r="F564" s="3">
        <f>STDEV($E$32:E564)</f>
        <v>1.3133572191595574E-2</v>
      </c>
      <c r="G564" s="14">
        <f t="shared" si="134"/>
        <v>0.71059045758276462</v>
      </c>
      <c r="H564" s="15">
        <f>yint($B$3:B564,$D$3:D564)</f>
        <v>8.3110191586583114E-5</v>
      </c>
      <c r="I564" s="16">
        <f>MyReg($B$3:B564,$D$3:D564)</f>
        <v>0.23146849773202308</v>
      </c>
      <c r="J564" s="17">
        <f>STDEV($D$3:D564)</f>
        <v>1.3376418359865132E-2</v>
      </c>
      <c r="K564" s="4">
        <f t="shared" si="132"/>
        <v>1.2866801584473829E-3</v>
      </c>
      <c r="L564">
        <f t="shared" si="135"/>
        <v>0.71059045758276462</v>
      </c>
      <c r="M564">
        <f>RSQ($D$3:D564,$B$3:B564)</f>
        <v>4.6017547594439059E-2</v>
      </c>
      <c r="N564">
        <v>532</v>
      </c>
      <c r="O564" t="str">
        <f t="shared" si="133"/>
        <v/>
      </c>
      <c r="P564" t="str">
        <f t="shared" si="137"/>
        <v>close</v>
      </c>
      <c r="Q564">
        <f t="shared" si="138"/>
        <v>0</v>
      </c>
      <c r="R564">
        <f t="shared" si="139"/>
        <v>0</v>
      </c>
      <c r="S564">
        <f t="shared" si="140"/>
        <v>0</v>
      </c>
      <c r="T564">
        <f t="shared" si="141"/>
        <v>0</v>
      </c>
      <c r="U564">
        <f t="shared" si="136"/>
        <v>0</v>
      </c>
      <c r="V564">
        <f t="shared" si="142"/>
        <v>10</v>
      </c>
      <c r="W564">
        <f t="shared" si="130"/>
        <v>-191.85587900000002</v>
      </c>
      <c r="X564">
        <f>SUM($W$34:W564)</f>
        <v>164.6778804999999</v>
      </c>
      <c r="Y564">
        <f t="shared" si="143"/>
        <v>164.6778804999999</v>
      </c>
    </row>
    <row r="565" spans="1:25">
      <c r="A565">
        <v>125.3460111</v>
      </c>
      <c r="B565" s="2">
        <f t="shared" si="128"/>
        <v>1.061355269927755E-3</v>
      </c>
      <c r="C565">
        <v>105.0863342</v>
      </c>
      <c r="D565" s="3">
        <f t="shared" si="129"/>
        <v>-8.8768777439643242E-3</v>
      </c>
      <c r="E565" s="3">
        <f t="shared" si="131"/>
        <v>-9.1892708214251009E-3</v>
      </c>
      <c r="F565" s="3">
        <f>STDEV($E$32:E565)</f>
        <v>1.3127186097504026E-2</v>
      </c>
      <c r="G565" s="14">
        <f t="shared" si="134"/>
        <v>-0.70001832480856874</v>
      </c>
      <c r="H565" s="15">
        <f>yint($B$3:B565,$D$3:D565)</f>
        <v>6.6788884169812911E-5</v>
      </c>
      <c r="I565" s="16">
        <f>MyReg($B$3:B565,$D$3:D565)</f>
        <v>0.23140620322889868</v>
      </c>
      <c r="J565" s="17">
        <f>STDEV($D$3:D565)</f>
        <v>1.3369978340511473E-2</v>
      </c>
      <c r="K565" s="4">
        <f t="shared" si="132"/>
        <v>3.1239307746077759E-4</v>
      </c>
      <c r="L565">
        <f t="shared" si="135"/>
        <v>-0.70001832480856874</v>
      </c>
      <c r="M565">
        <f>RSQ($D$3:D565,$B$3:B565)</f>
        <v>4.5955365030052493E-2</v>
      </c>
      <c r="N565">
        <v>533</v>
      </c>
      <c r="O565" t="str">
        <f t="shared" si="133"/>
        <v/>
      </c>
      <c r="P565" t="str">
        <f t="shared" si="137"/>
        <v/>
      </c>
      <c r="Q565">
        <f t="shared" si="138"/>
        <v>0</v>
      </c>
      <c r="R565">
        <f t="shared" si="139"/>
        <v>0</v>
      </c>
      <c r="S565">
        <f t="shared" si="140"/>
        <v>0</v>
      </c>
      <c r="T565">
        <f t="shared" si="141"/>
        <v>0</v>
      </c>
      <c r="U565">
        <f t="shared" si="136"/>
        <v>0</v>
      </c>
      <c r="V565">
        <f t="shared" si="142"/>
        <v>0</v>
      </c>
      <c r="W565">
        <f t="shared" si="130"/>
        <v>0</v>
      </c>
      <c r="X565">
        <f>SUM($W$34:W565)</f>
        <v>164.6778804999999</v>
      </c>
      <c r="Y565">
        <f t="shared" si="143"/>
        <v>0</v>
      </c>
    </row>
    <row r="566" spans="1:25">
      <c r="A566">
        <v>124.23014209999999</v>
      </c>
      <c r="B566" s="2">
        <f t="shared" si="128"/>
        <v>-8.9023096164565826E-3</v>
      </c>
      <c r="C566">
        <v>105.7067359</v>
      </c>
      <c r="D566" s="3">
        <f t="shared" si="129"/>
        <v>5.9037333895314639E-3</v>
      </c>
      <c r="E566" s="3">
        <f t="shared" si="131"/>
        <v>7.8749696677180413E-3</v>
      </c>
      <c r="F566" s="3">
        <f>STDEV($E$32:E566)</f>
        <v>1.3119399545762958E-2</v>
      </c>
      <c r="G566" s="14">
        <f t="shared" si="134"/>
        <v>0.60025381803859634</v>
      </c>
      <c r="H566" s="15">
        <f>yint($B$3:B566,$D$3:D566)</f>
        <v>8.1185894524772007E-5</v>
      </c>
      <c r="I566" s="16">
        <f>MyReg($B$3:B566,$D$3:D566)</f>
        <v>0.23054940359716256</v>
      </c>
      <c r="J566" s="17">
        <f>STDEV($D$3:D566)</f>
        <v>1.336027522880813E-2</v>
      </c>
      <c r="K566" s="4">
        <f t="shared" si="132"/>
        <v>-1.9712362781865778E-3</v>
      </c>
      <c r="L566">
        <f t="shared" si="135"/>
        <v>0.60025381803859634</v>
      </c>
      <c r="M566">
        <f>RSQ($D$3:D566,$B$3:B566)</f>
        <v>4.5647286898869689E-2</v>
      </c>
      <c r="N566">
        <v>534</v>
      </c>
      <c r="O566" t="str">
        <f t="shared" si="133"/>
        <v/>
      </c>
      <c r="P566" t="str">
        <f t="shared" si="137"/>
        <v/>
      </c>
      <c r="Q566">
        <f t="shared" si="138"/>
        <v>0</v>
      </c>
      <c r="R566">
        <f t="shared" si="139"/>
        <v>0</v>
      </c>
      <c r="S566">
        <f t="shared" si="140"/>
        <v>0</v>
      </c>
      <c r="T566">
        <f t="shared" si="141"/>
        <v>0</v>
      </c>
      <c r="U566">
        <f t="shared" si="136"/>
        <v>0</v>
      </c>
      <c r="V566">
        <f t="shared" si="142"/>
        <v>0</v>
      </c>
      <c r="W566">
        <f t="shared" si="130"/>
        <v>0</v>
      </c>
      <c r="X566">
        <f>SUM($W$34:W566)</f>
        <v>164.6778804999999</v>
      </c>
      <c r="Y566">
        <f t="shared" si="143"/>
        <v>0</v>
      </c>
    </row>
    <row r="567" spans="1:25">
      <c r="A567">
        <v>124.0487165</v>
      </c>
      <c r="B567" s="2">
        <f t="shared" si="128"/>
        <v>-1.4603991988832894E-3</v>
      </c>
      <c r="C567">
        <v>105.60469740000001</v>
      </c>
      <c r="D567" s="3">
        <f t="shared" si="129"/>
        <v>-9.6529799289727129E-4</v>
      </c>
      <c r="E567" s="3">
        <f t="shared" si="131"/>
        <v>-7.0850319453154514E-4</v>
      </c>
      <c r="F567" s="3">
        <f>STDEV($E$32:E567)</f>
        <v>1.3107161999847747E-2</v>
      </c>
      <c r="G567" s="14">
        <f t="shared" si="134"/>
        <v>-5.4054660691595563E-2</v>
      </c>
      <c r="H567" s="15">
        <f>yint($B$3:B567,$D$3:D567)</f>
        <v>7.9922405512298245E-5</v>
      </c>
      <c r="I567" s="16">
        <f>MyReg($B$3:B567,$D$3:D567)</f>
        <v>0.23056517980528815</v>
      </c>
      <c r="J567" s="17">
        <f>STDEV($D$3:D567)</f>
        <v>1.3348513868706139E-2</v>
      </c>
      <c r="K567" s="4">
        <f t="shared" si="132"/>
        <v>-2.5679479836572614E-4</v>
      </c>
      <c r="L567">
        <f t="shared" si="135"/>
        <v>-5.4054660691595563E-2</v>
      </c>
      <c r="M567">
        <f>RSQ($D$3:D567,$B$3:B567)</f>
        <v>4.5654881648928343E-2</v>
      </c>
      <c r="N567">
        <v>535</v>
      </c>
      <c r="O567" t="str">
        <f t="shared" si="133"/>
        <v/>
      </c>
      <c r="P567" t="str">
        <f t="shared" si="137"/>
        <v/>
      </c>
      <c r="Q567">
        <f t="shared" si="138"/>
        <v>0</v>
      </c>
      <c r="R567">
        <f t="shared" si="139"/>
        <v>0</v>
      </c>
      <c r="S567">
        <f t="shared" si="140"/>
        <v>0</v>
      </c>
      <c r="T567">
        <f t="shared" si="141"/>
        <v>0</v>
      </c>
      <c r="U567">
        <f t="shared" si="136"/>
        <v>0</v>
      </c>
      <c r="V567">
        <f t="shared" si="142"/>
        <v>0</v>
      </c>
      <c r="W567">
        <f t="shared" si="130"/>
        <v>0</v>
      </c>
      <c r="X567">
        <f>SUM($W$34:W567)</f>
        <v>164.6778804999999</v>
      </c>
      <c r="Y567">
        <f t="shared" si="143"/>
        <v>0</v>
      </c>
    </row>
    <row r="568" spans="1:25">
      <c r="A568">
        <v>123.21532910000001</v>
      </c>
      <c r="B568" s="2">
        <f t="shared" si="128"/>
        <v>-6.7182267057151884E-3</v>
      </c>
      <c r="C568">
        <v>102.9334448</v>
      </c>
      <c r="D568" s="3">
        <f t="shared" si="129"/>
        <v>-2.529482746285491E-2</v>
      </c>
      <c r="E568" s="3">
        <f t="shared" si="131"/>
        <v>-2.3769508177343041E-2</v>
      </c>
      <c r="F568" s="3">
        <f>STDEV($E$32:E568)</f>
        <v>1.3134812214924126E-2</v>
      </c>
      <c r="G568" s="14">
        <f t="shared" si="134"/>
        <v>-1.8096572519198628</v>
      </c>
      <c r="H568" s="15">
        <f>yint($B$3:B568,$D$3:D568)</f>
        <v>3.6947493280724668E-5</v>
      </c>
      <c r="I568" s="16">
        <f>MyReg($B$3:B568,$D$3:D568)</f>
        <v>0.23254153919271187</v>
      </c>
      <c r="J568" s="17">
        <f>STDEV($D$3:D568)</f>
        <v>1.3379631321241457E-2</v>
      </c>
      <c r="K568" s="4">
        <f t="shared" si="132"/>
        <v>-1.5253192855118672E-3</v>
      </c>
      <c r="L568">
        <f t="shared" si="135"/>
        <v>-1.8096572519198628</v>
      </c>
      <c r="M568">
        <f>RSQ($D$3:D568,$B$3:B568)</f>
        <v>4.6170827703895322E-2</v>
      </c>
      <c r="N568">
        <v>536</v>
      </c>
      <c r="O568" t="str">
        <f t="shared" si="133"/>
        <v>buyY</v>
      </c>
      <c r="P568" t="str">
        <f t="shared" si="137"/>
        <v/>
      </c>
      <c r="Q568">
        <f t="shared" si="138"/>
        <v>-10</v>
      </c>
      <c r="R568">
        <f t="shared" si="139"/>
        <v>0</v>
      </c>
      <c r="S568">
        <f t="shared" si="140"/>
        <v>10</v>
      </c>
      <c r="T568">
        <f t="shared" si="141"/>
        <v>0</v>
      </c>
      <c r="U568">
        <f t="shared" si="136"/>
        <v>20</v>
      </c>
      <c r="V568">
        <f t="shared" si="142"/>
        <v>-10</v>
      </c>
      <c r="W568">
        <f t="shared" si="130"/>
        <v>202.81884300000002</v>
      </c>
      <c r="X568">
        <f>SUM($W$34:W568)</f>
        <v>367.49672349999992</v>
      </c>
      <c r="Y568">
        <f t="shared" si="143"/>
        <v>0</v>
      </c>
    </row>
    <row r="569" spans="1:25">
      <c r="A569">
        <v>125.01154699999999</v>
      </c>
      <c r="B569" s="2">
        <f t="shared" si="128"/>
        <v>1.4577876901519292E-2</v>
      </c>
      <c r="C569">
        <v>102.60290449999999</v>
      </c>
      <c r="D569" s="3">
        <f t="shared" si="129"/>
        <v>-3.2112041003023906E-3</v>
      </c>
      <c r="E569" s="3">
        <f t="shared" si="131"/>
        <v>-6.6111426074558013E-3</v>
      </c>
      <c r="F569" s="3">
        <f>STDEV($E$32:E569)</f>
        <v>1.3125567722520116E-2</v>
      </c>
      <c r="G569" s="14">
        <f t="shared" si="134"/>
        <v>-0.50368431653533519</v>
      </c>
      <c r="H569" s="15">
        <f>yint($B$3:B569,$D$3:D569)</f>
        <v>2.5748731183582239E-5</v>
      </c>
      <c r="I569" s="16">
        <f>MyReg($B$3:B569,$D$3:D569)</f>
        <v>0.23145961505671475</v>
      </c>
      <c r="J569" s="17">
        <f>STDEV($D$3:D569)</f>
        <v>1.3368547673017329E-2</v>
      </c>
      <c r="K569" s="4">
        <f t="shared" si="132"/>
        <v>3.3999385071534112E-3</v>
      </c>
      <c r="L569">
        <f t="shared" si="135"/>
        <v>-0.50368431653533519</v>
      </c>
      <c r="M569">
        <f>RSQ($D$3:D569,$B$3:B569)</f>
        <v>4.5842722516483435E-2</v>
      </c>
      <c r="N569">
        <v>537</v>
      </c>
      <c r="O569" t="str">
        <f t="shared" si="133"/>
        <v/>
      </c>
      <c r="P569" t="str">
        <f t="shared" si="137"/>
        <v>buyhold</v>
      </c>
      <c r="Q569">
        <f t="shared" si="138"/>
        <v>-10</v>
      </c>
      <c r="R569">
        <f t="shared" si="139"/>
        <v>0</v>
      </c>
      <c r="S569">
        <f t="shared" si="140"/>
        <v>10</v>
      </c>
      <c r="T569">
        <f t="shared" si="141"/>
        <v>0</v>
      </c>
      <c r="U569">
        <f t="shared" si="136"/>
        <v>20</v>
      </c>
      <c r="V569">
        <f t="shared" si="142"/>
        <v>0</v>
      </c>
      <c r="W569">
        <f t="shared" si="130"/>
        <v>0</v>
      </c>
      <c r="X569">
        <f>SUM($W$34:W569)</f>
        <v>367.49672349999992</v>
      </c>
      <c r="Y569">
        <f t="shared" si="143"/>
        <v>0</v>
      </c>
    </row>
    <row r="570" spans="1:25">
      <c r="A570">
        <v>124.2768351</v>
      </c>
      <c r="B570" s="2">
        <f t="shared" si="128"/>
        <v>-5.8771522921798065E-3</v>
      </c>
      <c r="C570">
        <v>105.1706561</v>
      </c>
      <c r="D570" s="3">
        <f t="shared" si="129"/>
        <v>2.502611025012463E-2</v>
      </c>
      <c r="E570" s="3">
        <f t="shared" si="131"/>
        <v>2.6302054508762999E-2</v>
      </c>
      <c r="F570" s="3">
        <f>STDEV($E$32:E570)</f>
        <v>1.3162672073564969E-2</v>
      </c>
      <c r="G570" s="14">
        <f t="shared" si="134"/>
        <v>1.998230629902745</v>
      </c>
      <c r="H570" s="15">
        <f>yint($B$3:B570,$D$3:D570)</f>
        <v>7.3043637025798483E-5</v>
      </c>
      <c r="I570" s="16">
        <f>MyReg($B$3:B570,$D$3:D570)</f>
        <v>0.22953087287854421</v>
      </c>
      <c r="J570" s="17">
        <f>STDEV($D$3:D570)</f>
        <v>1.3397525621627016E-2</v>
      </c>
      <c r="K570" s="4">
        <f t="shared" si="132"/>
        <v>-1.2759442586383694E-3</v>
      </c>
      <c r="L570">
        <f t="shared" si="135"/>
        <v>1.998230629902745</v>
      </c>
      <c r="M570">
        <f>RSQ($D$3:D570,$B$3:B570)</f>
        <v>4.4828741118415456E-2</v>
      </c>
      <c r="N570">
        <v>538</v>
      </c>
      <c r="O570" t="str">
        <f t="shared" si="133"/>
        <v>sellY</v>
      </c>
      <c r="P570" t="str">
        <f t="shared" si="137"/>
        <v>close&amp;sell</v>
      </c>
      <c r="Q570">
        <f t="shared" si="138"/>
        <v>10</v>
      </c>
      <c r="R570">
        <f t="shared" si="139"/>
        <v>0</v>
      </c>
      <c r="S570">
        <f t="shared" si="140"/>
        <v>-10</v>
      </c>
      <c r="T570">
        <f t="shared" si="141"/>
        <v>0</v>
      </c>
      <c r="U570">
        <f t="shared" si="136"/>
        <v>20</v>
      </c>
      <c r="V570">
        <f t="shared" si="142"/>
        <v>20</v>
      </c>
      <c r="W570">
        <f t="shared" si="130"/>
        <v>-382.12357999999995</v>
      </c>
      <c r="X570">
        <f>SUM($W$34:W570)</f>
        <v>-14.626856500000031</v>
      </c>
      <c r="Y570">
        <f t="shared" si="143"/>
        <v>0</v>
      </c>
    </row>
    <row r="571" spans="1:25">
      <c r="A571">
        <v>125.7218927</v>
      </c>
      <c r="B571" s="2">
        <f t="shared" si="128"/>
        <v>1.1627730935030856E-2</v>
      </c>
      <c r="C571">
        <v>106.62825840000001</v>
      </c>
      <c r="D571" s="3">
        <f t="shared" si="129"/>
        <v>1.3859401034962308E-2</v>
      </c>
      <c r="E571" s="3">
        <f t="shared" si="131"/>
        <v>1.1081960492453854E-2</v>
      </c>
      <c r="F571" s="3">
        <f>STDEV($E$32:E571)</f>
        <v>1.31592179500732E-2</v>
      </c>
      <c r="G571" s="14">
        <f t="shared" si="134"/>
        <v>0.84214430785320404</v>
      </c>
      <c r="H571" s="15">
        <f>yint($B$3:B571,$D$3:D571)</f>
        <v>9.1898127393684204E-5</v>
      </c>
      <c r="I571" s="16">
        <f>MyReg($B$3:B571,$D$3:D571)</f>
        <v>0.23096014434114903</v>
      </c>
      <c r="J571" s="17">
        <f>STDEV($D$3:D571)</f>
        <v>1.3398008368315581E-2</v>
      </c>
      <c r="K571" s="4">
        <f t="shared" si="132"/>
        <v>2.7774405425084543E-3</v>
      </c>
      <c r="L571">
        <f t="shared" si="135"/>
        <v>0.84214430785320404</v>
      </c>
      <c r="M571">
        <f>RSQ($D$3:D571,$B$3:B571)</f>
        <v>4.5370741357825255E-2</v>
      </c>
      <c r="N571">
        <v>539</v>
      </c>
      <c r="O571" t="str">
        <f t="shared" si="133"/>
        <v/>
      </c>
      <c r="P571" t="str">
        <f t="shared" si="137"/>
        <v>sellhold</v>
      </c>
      <c r="Q571">
        <f t="shared" si="138"/>
        <v>10</v>
      </c>
      <c r="R571">
        <f t="shared" si="139"/>
        <v>0</v>
      </c>
      <c r="S571">
        <f t="shared" si="140"/>
        <v>-10</v>
      </c>
      <c r="T571">
        <f t="shared" si="141"/>
        <v>0</v>
      </c>
      <c r="U571">
        <f t="shared" si="136"/>
        <v>20</v>
      </c>
      <c r="V571">
        <f t="shared" si="142"/>
        <v>0</v>
      </c>
      <c r="W571">
        <f t="shared" si="130"/>
        <v>0</v>
      </c>
      <c r="X571">
        <f>SUM($W$34:W571)</f>
        <v>-14.626856500000031</v>
      </c>
      <c r="Y571">
        <f t="shared" si="143"/>
        <v>0</v>
      </c>
    </row>
    <row r="572" spans="1:25">
      <c r="A572">
        <v>125.5326958</v>
      </c>
      <c r="B572" s="2">
        <f t="shared" si="128"/>
        <v>-1.5048842801902783E-3</v>
      </c>
      <c r="C572">
        <v>106.192386</v>
      </c>
      <c r="D572" s="3">
        <f t="shared" si="129"/>
        <v>-4.0877756660424643E-3</v>
      </c>
      <c r="E572" s="3">
        <f t="shared" si="131"/>
        <v>-3.8252092810942859E-3</v>
      </c>
      <c r="F572" s="3">
        <f>STDEV($E$32:E572)</f>
        <v>1.3148027331020939E-2</v>
      </c>
      <c r="G572" s="14">
        <f t="shared" si="134"/>
        <v>-0.29093408347800109</v>
      </c>
      <c r="H572" s="15">
        <f>yint($B$3:B572,$D$3:D572)</f>
        <v>8.5133566825122849E-5</v>
      </c>
      <c r="I572" s="16">
        <f>MyReg($B$3:B572,$D$3:D572)</f>
        <v>0.23104763359567954</v>
      </c>
      <c r="J572" s="17">
        <f>STDEV($D$3:D572)</f>
        <v>1.3387435973950632E-2</v>
      </c>
      <c r="K572" s="4">
        <f t="shared" si="132"/>
        <v>-2.6256638494817852E-4</v>
      </c>
      <c r="L572">
        <f t="shared" si="135"/>
        <v>-0.29093408347800109</v>
      </c>
      <c r="M572">
        <f>RSQ($D$3:D572,$B$3:B572)</f>
        <v>4.5398996467578563E-2</v>
      </c>
      <c r="N572">
        <v>540</v>
      </c>
      <c r="O572" t="str">
        <f t="shared" si="133"/>
        <v/>
      </c>
      <c r="P572" t="str">
        <f t="shared" si="137"/>
        <v>close</v>
      </c>
      <c r="Q572">
        <f t="shared" si="138"/>
        <v>0</v>
      </c>
      <c r="R572">
        <f t="shared" si="139"/>
        <v>0</v>
      </c>
      <c r="S572">
        <f t="shared" si="140"/>
        <v>0</v>
      </c>
      <c r="T572">
        <f t="shared" si="141"/>
        <v>0</v>
      </c>
      <c r="U572">
        <f t="shared" si="136"/>
        <v>0</v>
      </c>
      <c r="V572">
        <f t="shared" si="142"/>
        <v>-10</v>
      </c>
      <c r="W572">
        <f t="shared" si="130"/>
        <v>193.403098</v>
      </c>
      <c r="X572">
        <f>SUM($W$34:W572)</f>
        <v>178.77624149999997</v>
      </c>
      <c r="Y572">
        <f t="shared" si="143"/>
        <v>178.77624149999997</v>
      </c>
    </row>
    <row r="573" spans="1:25">
      <c r="A573">
        <v>124.5248502</v>
      </c>
      <c r="B573" s="2">
        <f t="shared" si="128"/>
        <v>-8.028550598528578E-3</v>
      </c>
      <c r="C573">
        <v>106.3893382</v>
      </c>
      <c r="D573" s="3">
        <f t="shared" si="129"/>
        <v>1.8546734602987295E-3</v>
      </c>
      <c r="E573" s="3">
        <f t="shared" si="131"/>
        <v>3.615160792730806E-3</v>
      </c>
      <c r="F573" s="3">
        <f>STDEV($E$32:E573)</f>
        <v>1.31368193915966E-2</v>
      </c>
      <c r="G573" s="14">
        <f t="shared" si="134"/>
        <v>0.27519300410290809</v>
      </c>
      <c r="H573" s="15">
        <f>yint($B$3:B573,$D$3:D573)</f>
        <v>9.1644374037688523E-5</v>
      </c>
      <c r="I573" s="16">
        <f>MyReg($B$3:B573,$D$3:D573)</f>
        <v>0.23069315983500335</v>
      </c>
      <c r="J573" s="17">
        <f>STDEV($D$3:D573)</f>
        <v>1.3375867800158597E-2</v>
      </c>
      <c r="K573" s="4">
        <f t="shared" si="132"/>
        <v>-1.7604873324320765E-3</v>
      </c>
      <c r="L573">
        <f t="shared" si="135"/>
        <v>0.27519300410290809</v>
      </c>
      <c r="M573">
        <f>RSQ($D$3:D573,$B$3:B573)</f>
        <v>4.5296251025393815E-2</v>
      </c>
      <c r="N573">
        <v>541</v>
      </c>
      <c r="O573" t="str">
        <f t="shared" si="133"/>
        <v/>
      </c>
      <c r="P573" t="str">
        <f t="shared" si="137"/>
        <v/>
      </c>
      <c r="Q573">
        <f t="shared" si="138"/>
        <v>0</v>
      </c>
      <c r="R573">
        <f t="shared" si="139"/>
        <v>0</v>
      </c>
      <c r="S573">
        <f t="shared" si="140"/>
        <v>0</v>
      </c>
      <c r="T573">
        <f t="shared" si="141"/>
        <v>0</v>
      </c>
      <c r="U573">
        <f t="shared" si="136"/>
        <v>0</v>
      </c>
      <c r="V573">
        <f t="shared" si="142"/>
        <v>0</v>
      </c>
      <c r="W573">
        <f t="shared" si="130"/>
        <v>0</v>
      </c>
      <c r="X573">
        <f>SUM($W$34:W573)</f>
        <v>178.77624149999997</v>
      </c>
      <c r="Y573">
        <f t="shared" si="143"/>
        <v>0</v>
      </c>
    </row>
    <row r="574" spans="1:25">
      <c r="A574">
        <v>125.52210119999999</v>
      </c>
      <c r="B574" s="2">
        <f t="shared" si="128"/>
        <v>8.0084497062096558E-3</v>
      </c>
      <c r="C574">
        <v>106.45390089999999</v>
      </c>
      <c r="D574" s="3">
        <f t="shared" si="129"/>
        <v>6.0685310287977899E-4</v>
      </c>
      <c r="E574" s="3">
        <f t="shared" si="131"/>
        <v>-1.3290857645972011E-3</v>
      </c>
      <c r="F574" s="3">
        <f>STDEV($E$32:E574)</f>
        <v>1.3124808905399649E-2</v>
      </c>
      <c r="G574" s="14">
        <f t="shared" si="134"/>
        <v>-0.10126515168159171</v>
      </c>
      <c r="H574" s="15">
        <f>yint($B$3:B574,$D$3:D574)</f>
        <v>8.9369922411404587E-5</v>
      </c>
      <c r="I574" s="16">
        <f>MyReg($B$3:B574,$D$3:D574)</f>
        <v>0.23057757903302659</v>
      </c>
      <c r="J574" s="17">
        <f>STDEV($D$3:D574)</f>
        <v>1.3364160942175832E-2</v>
      </c>
      <c r="K574" s="4">
        <f t="shared" si="132"/>
        <v>1.9359388674769801E-3</v>
      </c>
      <c r="L574">
        <f t="shared" si="135"/>
        <v>-0.10126515168159171</v>
      </c>
      <c r="M574">
        <f>RSQ($D$3:D574,$B$3:B574)</f>
        <v>4.5280451330750572E-2</v>
      </c>
      <c r="N574">
        <v>542</v>
      </c>
      <c r="O574" t="str">
        <f t="shared" si="133"/>
        <v/>
      </c>
      <c r="P574" t="str">
        <f t="shared" si="137"/>
        <v/>
      </c>
      <c r="Q574">
        <f t="shared" si="138"/>
        <v>0</v>
      </c>
      <c r="R574">
        <f t="shared" si="139"/>
        <v>0</v>
      </c>
      <c r="S574">
        <f t="shared" si="140"/>
        <v>0</v>
      </c>
      <c r="T574">
        <f t="shared" si="141"/>
        <v>0</v>
      </c>
      <c r="U574">
        <f t="shared" si="136"/>
        <v>0</v>
      </c>
      <c r="V574">
        <f t="shared" si="142"/>
        <v>0</v>
      </c>
      <c r="W574">
        <f t="shared" si="130"/>
        <v>0</v>
      </c>
      <c r="X574">
        <f>SUM($W$34:W574)</f>
        <v>178.77624149999997</v>
      </c>
      <c r="Y574">
        <f t="shared" si="143"/>
        <v>0</v>
      </c>
    </row>
    <row r="575" spans="1:25">
      <c r="A575">
        <v>124.6051889</v>
      </c>
      <c r="B575" s="2">
        <f t="shared" si="128"/>
        <v>-7.3047876926393644E-3</v>
      </c>
      <c r="C575">
        <v>105.2337727</v>
      </c>
      <c r="D575" s="3">
        <f t="shared" si="129"/>
        <v>-1.1461564016767662E-2</v>
      </c>
      <c r="E575" s="3">
        <f t="shared" si="131"/>
        <v>-9.8425504070390902E-3</v>
      </c>
      <c r="F575" s="3">
        <f>STDEV($E$32:E575)</f>
        <v>1.3119428084194664E-2</v>
      </c>
      <c r="G575" s="14">
        <f t="shared" si="134"/>
        <v>-0.75022709403748178</v>
      </c>
      <c r="H575" s="15">
        <f>yint($B$3:B575,$D$3:D575)</f>
        <v>7.174536736687272E-5</v>
      </c>
      <c r="I575" s="16">
        <f>MyReg($B$3:B575,$D$3:D575)</f>
        <v>0.23145901677596062</v>
      </c>
      <c r="J575" s="17">
        <f>STDEV($D$3:D575)</f>
        <v>1.3361355928883887E-2</v>
      </c>
      <c r="K575" s="4">
        <f t="shared" si="132"/>
        <v>-1.6190136097285726E-3</v>
      </c>
      <c r="L575">
        <f t="shared" si="135"/>
        <v>-0.75022709403748178</v>
      </c>
      <c r="M575">
        <f>RSQ($D$3:D575,$B$3:B575)</f>
        <v>4.5598346604575984E-2</v>
      </c>
      <c r="N575">
        <v>543</v>
      </c>
      <c r="O575" t="str">
        <f t="shared" si="133"/>
        <v/>
      </c>
      <c r="P575" t="str">
        <f t="shared" si="137"/>
        <v/>
      </c>
      <c r="Q575">
        <f t="shared" si="138"/>
        <v>0</v>
      </c>
      <c r="R575">
        <f t="shared" si="139"/>
        <v>0</v>
      </c>
      <c r="S575">
        <f t="shared" si="140"/>
        <v>0</v>
      </c>
      <c r="T575">
        <f t="shared" si="141"/>
        <v>0</v>
      </c>
      <c r="U575">
        <f t="shared" si="136"/>
        <v>0</v>
      </c>
      <c r="V575">
        <f t="shared" si="142"/>
        <v>0</v>
      </c>
      <c r="W575">
        <f t="shared" si="130"/>
        <v>0</v>
      </c>
      <c r="X575">
        <f>SUM($W$34:W575)</f>
        <v>178.77624149999997</v>
      </c>
      <c r="Y575">
        <f t="shared" si="143"/>
        <v>0</v>
      </c>
    </row>
    <row r="576" spans="1:25">
      <c r="A576">
        <v>124.64243930000001</v>
      </c>
      <c r="B576" s="2">
        <f t="shared" si="128"/>
        <v>2.9894742208448193E-4</v>
      </c>
      <c r="C576">
        <v>108.1436374</v>
      </c>
      <c r="D576" s="3">
        <f t="shared" si="129"/>
        <v>2.7651433806287932E-2</v>
      </c>
      <c r="E576" s="3">
        <f t="shared" si="131"/>
        <v>2.7462558505410909E-2</v>
      </c>
      <c r="F576" s="3">
        <f>STDEV($E$32:E576)</f>
        <v>1.3160334562103203E-2</v>
      </c>
      <c r="G576" s="14">
        <f t="shared" si="134"/>
        <v>2.0867675039578941</v>
      </c>
      <c r="H576" s="15">
        <f>yint($B$3:B576,$D$3:D576)</f>
        <v>1.1969642351370636E-4</v>
      </c>
      <c r="I576" s="16">
        <f>MyReg($B$3:B576,$D$3:D576)</f>
        <v>0.23140817499261626</v>
      </c>
      <c r="J576" s="17">
        <f>STDEV($D$3:D576)</f>
        <v>1.3398851283845029E-2</v>
      </c>
      <c r="K576" s="4">
        <f t="shared" si="132"/>
        <v>1.8887530087702368E-4</v>
      </c>
      <c r="L576">
        <f t="shared" si="135"/>
        <v>2.0867675039578941</v>
      </c>
      <c r="M576">
        <f>RSQ($D$3:D576,$B$3:B576)</f>
        <v>4.5244495585177673E-2</v>
      </c>
      <c r="N576">
        <v>544</v>
      </c>
      <c r="O576" t="str">
        <f t="shared" si="133"/>
        <v>sellY</v>
      </c>
      <c r="P576" t="str">
        <f t="shared" si="137"/>
        <v/>
      </c>
      <c r="Q576">
        <f t="shared" si="138"/>
        <v>15</v>
      </c>
      <c r="R576">
        <f t="shared" si="139"/>
        <v>5</v>
      </c>
      <c r="S576">
        <f t="shared" si="140"/>
        <v>-15</v>
      </c>
      <c r="T576">
        <f t="shared" si="141"/>
        <v>-5</v>
      </c>
      <c r="U576">
        <f t="shared" si="136"/>
        <v>30</v>
      </c>
      <c r="V576">
        <f t="shared" si="142"/>
        <v>15</v>
      </c>
      <c r="W576">
        <f t="shared" si="130"/>
        <v>-247.48202850000007</v>
      </c>
      <c r="X576">
        <f>SUM($W$34:W576)</f>
        <v>-68.7057870000001</v>
      </c>
      <c r="Y576">
        <f t="shared" si="143"/>
        <v>0</v>
      </c>
    </row>
    <row r="577" spans="1:25">
      <c r="A577">
        <v>125.455808</v>
      </c>
      <c r="B577" s="2">
        <f t="shared" si="128"/>
        <v>6.5256160306868928E-3</v>
      </c>
      <c r="C577">
        <v>109.34627140000001</v>
      </c>
      <c r="D577" s="3">
        <f t="shared" si="129"/>
        <v>1.1120709723788182E-2</v>
      </c>
      <c r="E577" s="3">
        <f t="shared" si="131"/>
        <v>9.4704239834996901E-3</v>
      </c>
      <c r="F577" s="3">
        <f>STDEV($E$32:E577)</f>
        <v>1.3154532818887846E-2</v>
      </c>
      <c r="G577" s="14">
        <f t="shared" si="134"/>
        <v>0.71993617058765069</v>
      </c>
      <c r="H577" s="15">
        <f>yint($B$3:B577,$D$3:D577)</f>
        <v>1.3589165818959559E-4</v>
      </c>
      <c r="I577" s="16">
        <f>MyReg($B$3:B577,$D$3:D577)</f>
        <v>0.23206913722435021</v>
      </c>
      <c r="J577" s="17">
        <f>STDEV($D$3:D577)</f>
        <v>1.339488226469659E-2</v>
      </c>
      <c r="K577" s="4">
        <f t="shared" si="132"/>
        <v>1.6502857402884918E-3</v>
      </c>
      <c r="L577">
        <f t="shared" si="135"/>
        <v>0.71993617058765069</v>
      </c>
      <c r="M577">
        <f>RSQ($D$3:D577,$B$3:B577)</f>
        <v>4.5470182670006201E-2</v>
      </c>
      <c r="N577">
        <v>545</v>
      </c>
      <c r="O577" t="str">
        <f t="shared" si="133"/>
        <v/>
      </c>
      <c r="P577" t="str">
        <f t="shared" si="137"/>
        <v>sellhold</v>
      </c>
      <c r="Q577">
        <f t="shared" si="138"/>
        <v>15</v>
      </c>
      <c r="R577">
        <f t="shared" si="139"/>
        <v>0</v>
      </c>
      <c r="S577">
        <f t="shared" si="140"/>
        <v>-15</v>
      </c>
      <c r="T577">
        <f t="shared" si="141"/>
        <v>0</v>
      </c>
      <c r="U577">
        <f t="shared" si="136"/>
        <v>30</v>
      </c>
      <c r="V577">
        <f t="shared" si="142"/>
        <v>0</v>
      </c>
      <c r="W577">
        <f t="shared" si="130"/>
        <v>0</v>
      </c>
      <c r="X577">
        <f>SUM($W$34:W577)</f>
        <v>-68.7057870000001</v>
      </c>
      <c r="Y577">
        <f t="shared" si="143"/>
        <v>0</v>
      </c>
    </row>
    <row r="578" spans="1:25">
      <c r="A578">
        <v>124.65893939999999</v>
      </c>
      <c r="B578" s="2">
        <f t="shared" si="128"/>
        <v>-6.351787236506503E-3</v>
      </c>
      <c r="C578">
        <v>109.19483820000001</v>
      </c>
      <c r="D578" s="3">
        <f t="shared" si="129"/>
        <v>-1.3848958730932968E-3</v>
      </c>
      <c r="E578" s="3">
        <f t="shared" si="131"/>
        <v>-4.6627699843819871E-5</v>
      </c>
      <c r="F578" s="3">
        <f>STDEV($E$32:E578)</f>
        <v>1.3142481131379464E-2</v>
      </c>
      <c r="G578" s="14">
        <f t="shared" si="134"/>
        <v>-3.5478612735071681E-3</v>
      </c>
      <c r="H578" s="15">
        <f>yint($B$3:B578,$D$3:D578)</f>
        <v>1.3580884672310131E-4</v>
      </c>
      <c r="I578" s="16">
        <f>MyReg($B$3:B578,$D$3:D578)</f>
        <v>0.23207279543313608</v>
      </c>
      <c r="J578" s="17">
        <f>STDEV($D$3:D578)</f>
        <v>1.3383401778133129E-2</v>
      </c>
      <c r="K578" s="4">
        <f t="shared" si="132"/>
        <v>-1.3382681732494769E-3</v>
      </c>
      <c r="L578">
        <f t="shared" si="135"/>
        <v>-3.5478612735071681E-3</v>
      </c>
      <c r="M578">
        <f>RSQ($D$3:D578,$B$3:B578)</f>
        <v>4.5494739709696551E-2</v>
      </c>
      <c r="N578">
        <v>546</v>
      </c>
      <c r="O578" t="str">
        <f t="shared" si="133"/>
        <v/>
      </c>
      <c r="P578" t="str">
        <f t="shared" si="137"/>
        <v>close</v>
      </c>
      <c r="Q578">
        <f t="shared" si="138"/>
        <v>0</v>
      </c>
      <c r="R578">
        <f t="shared" si="139"/>
        <v>0</v>
      </c>
      <c r="S578">
        <f t="shared" si="140"/>
        <v>0</v>
      </c>
      <c r="T578">
        <f t="shared" si="141"/>
        <v>0</v>
      </c>
      <c r="U578">
        <f t="shared" si="136"/>
        <v>0</v>
      </c>
      <c r="V578">
        <f t="shared" si="142"/>
        <v>-15</v>
      </c>
      <c r="W578">
        <f t="shared" si="130"/>
        <v>231.96151799999981</v>
      </c>
      <c r="X578">
        <f>SUM($W$34:W578)</f>
        <v>163.25573099999971</v>
      </c>
      <c r="Y578">
        <f t="shared" si="143"/>
        <v>163.25573099999971</v>
      </c>
    </row>
    <row r="579" spans="1:25">
      <c r="A579">
        <v>124.76401370000001</v>
      </c>
      <c r="B579" s="2">
        <f t="shared" si="128"/>
        <v>8.4289422407850603E-4</v>
      </c>
      <c r="C579">
        <v>109.266192</v>
      </c>
      <c r="D579" s="3">
        <f t="shared" si="129"/>
        <v>6.5345396518932822E-4</v>
      </c>
      <c r="E579" s="3">
        <f t="shared" si="131"/>
        <v>3.214736390603911E-4</v>
      </c>
      <c r="F579" s="3">
        <f>STDEV($E$32:E579)</f>
        <v>1.3130469903842317E-2</v>
      </c>
      <c r="G579" s="14">
        <f t="shared" si="134"/>
        <v>2.4483026229420741E-2</v>
      </c>
      <c r="H579" s="15">
        <f>yint($B$3:B579,$D$3:D579)</f>
        <v>1.3636630936971638E-4</v>
      </c>
      <c r="I579" s="16">
        <f>MyReg($B$3:B579,$D$3:D579)</f>
        <v>0.23207421663504188</v>
      </c>
      <c r="J579" s="17">
        <f>STDEV($D$3:D579)</f>
        <v>1.3371790157465801E-2</v>
      </c>
      <c r="K579" s="4">
        <f t="shared" si="132"/>
        <v>3.3198032612893712E-4</v>
      </c>
      <c r="L579">
        <f t="shared" si="135"/>
        <v>2.4483026229420741E-2</v>
      </c>
      <c r="M579">
        <f>RSQ($D$3:D579,$B$3:B579)</f>
        <v>4.5495299554474698E-2</v>
      </c>
      <c r="N579">
        <v>547</v>
      </c>
      <c r="O579" t="str">
        <f t="shared" si="133"/>
        <v/>
      </c>
      <c r="P579" t="str">
        <f t="shared" si="137"/>
        <v/>
      </c>
      <c r="Q579">
        <f t="shared" si="138"/>
        <v>0</v>
      </c>
      <c r="R579">
        <f t="shared" si="139"/>
        <v>0</v>
      </c>
      <c r="S579">
        <f t="shared" si="140"/>
        <v>0</v>
      </c>
      <c r="T579">
        <f t="shared" si="141"/>
        <v>0</v>
      </c>
      <c r="U579">
        <f t="shared" si="136"/>
        <v>0</v>
      </c>
      <c r="V579">
        <f t="shared" si="142"/>
        <v>0</v>
      </c>
      <c r="W579">
        <f t="shared" si="130"/>
        <v>0</v>
      </c>
      <c r="X579">
        <f>SUM($W$34:W579)</f>
        <v>163.25573099999971</v>
      </c>
      <c r="Y579">
        <f t="shared" si="143"/>
        <v>0</v>
      </c>
    </row>
    <row r="580" spans="1:25">
      <c r="A580">
        <v>123.5992892</v>
      </c>
      <c r="B580" s="2">
        <f t="shared" ref="B580:B643" si="144">(A580-A579)/A579</f>
        <v>-9.3354202502704941E-3</v>
      </c>
      <c r="C580">
        <v>108.17642410000001</v>
      </c>
      <c r="D580" s="3">
        <f t="shared" ref="D580:D643" si="145">(C580-C579)/C579</f>
        <v>-9.9735140399145432E-3</v>
      </c>
      <c r="E580" s="3">
        <f t="shared" si="131"/>
        <v>-7.9209082577648589E-3</v>
      </c>
      <c r="F580" s="3">
        <f>STDEV($E$32:E580)</f>
        <v>1.3122831901372719E-2</v>
      </c>
      <c r="G580" s="14">
        <f t="shared" si="134"/>
        <v>-0.60359747936238439</v>
      </c>
      <c r="H580" s="15">
        <f>yint($B$3:B580,$D$3:D580)</f>
        <v>1.2222930446206917E-4</v>
      </c>
      <c r="I580" s="16">
        <f>MyReg($B$3:B580,$D$3:D580)</f>
        <v>0.23296595421601257</v>
      </c>
      <c r="J580" s="17">
        <f>STDEV($D$3:D580)</f>
        <v>1.3366954178408061E-2</v>
      </c>
      <c r="K580" s="4">
        <f t="shared" si="132"/>
        <v>-2.0526057821496834E-3</v>
      </c>
      <c r="L580">
        <f t="shared" si="135"/>
        <v>-0.60359747936238439</v>
      </c>
      <c r="M580">
        <f>RSQ($D$3:D580,$B$3:B580)</f>
        <v>4.5849678949404712E-2</v>
      </c>
      <c r="N580">
        <v>548</v>
      </c>
      <c r="O580" t="str">
        <f t="shared" si="133"/>
        <v/>
      </c>
      <c r="P580" t="str">
        <f t="shared" si="137"/>
        <v/>
      </c>
      <c r="Q580">
        <f t="shared" si="138"/>
        <v>0</v>
      </c>
      <c r="R580">
        <f t="shared" si="139"/>
        <v>0</v>
      </c>
      <c r="S580">
        <f t="shared" si="140"/>
        <v>0</v>
      </c>
      <c r="T580">
        <f t="shared" si="141"/>
        <v>0</v>
      </c>
      <c r="U580">
        <f t="shared" si="136"/>
        <v>0</v>
      </c>
      <c r="V580">
        <f t="shared" si="142"/>
        <v>0</v>
      </c>
      <c r="W580">
        <f t="shared" si="130"/>
        <v>0</v>
      </c>
      <c r="X580">
        <f>SUM($W$34:W580)</f>
        <v>163.25573099999971</v>
      </c>
      <c r="Y580">
        <f t="shared" si="143"/>
        <v>0</v>
      </c>
    </row>
    <row r="581" spans="1:25">
      <c r="A581">
        <v>124.0725379</v>
      </c>
      <c r="B581" s="2">
        <f t="shared" si="144"/>
        <v>3.8288949965903135E-3</v>
      </c>
      <c r="C581">
        <v>110.42725009999999</v>
      </c>
      <c r="D581" s="3">
        <f t="shared" si="145"/>
        <v>2.0806992084701284E-2</v>
      </c>
      <c r="E581" s="3">
        <f t="shared" si="131"/>
        <v>1.9755978698020156E-2</v>
      </c>
      <c r="F581" s="3">
        <f>STDEV($E$32:E581)</f>
        <v>1.3137967194712013E-2</v>
      </c>
      <c r="G581" s="14">
        <f t="shared" si="134"/>
        <v>1.5037317725965909</v>
      </c>
      <c r="H581" s="15">
        <f>yint($B$3:B581,$D$3:D581)</f>
        <v>1.560696258697395E-4</v>
      </c>
      <c r="I581" s="16">
        <f>MyReg($B$3:B581,$D$3:D581)</f>
        <v>0.23373421355465432</v>
      </c>
      <c r="J581" s="17">
        <f>STDEV($D$3:D581)</f>
        <v>1.3382748619863832E-2</v>
      </c>
      <c r="K581" s="4">
        <f t="shared" si="132"/>
        <v>1.0510133866811272E-3</v>
      </c>
      <c r="L581">
        <f t="shared" si="135"/>
        <v>1.5037317725965909</v>
      </c>
      <c r="M581">
        <f>RSQ($D$3:D581,$B$3:B581)</f>
        <v>4.597008537055098E-2</v>
      </c>
      <c r="N581">
        <v>549</v>
      </c>
      <c r="O581" t="str">
        <f t="shared" si="133"/>
        <v>sellY</v>
      </c>
      <c r="P581" t="str">
        <f t="shared" si="137"/>
        <v/>
      </c>
      <c r="Q581">
        <f t="shared" si="138"/>
        <v>10</v>
      </c>
      <c r="R581">
        <f t="shared" si="139"/>
        <v>0</v>
      </c>
      <c r="S581">
        <f t="shared" si="140"/>
        <v>-10</v>
      </c>
      <c r="T581">
        <f t="shared" si="141"/>
        <v>0</v>
      </c>
      <c r="U581">
        <f t="shared" si="136"/>
        <v>20</v>
      </c>
      <c r="V581">
        <f t="shared" si="142"/>
        <v>10</v>
      </c>
      <c r="W581">
        <f t="shared" si="130"/>
        <v>-136.45287800000006</v>
      </c>
      <c r="X581">
        <f>SUM($W$34:W581)</f>
        <v>26.802852999999658</v>
      </c>
      <c r="Y581">
        <f t="shared" si="143"/>
        <v>0</v>
      </c>
    </row>
    <row r="582" spans="1:25">
      <c r="A582">
        <v>127.7679354</v>
      </c>
      <c r="B582" s="2">
        <f t="shared" si="144"/>
        <v>2.9784169507183093E-2</v>
      </c>
      <c r="C582">
        <v>110.6858569</v>
      </c>
      <c r="D582" s="3">
        <f t="shared" si="145"/>
        <v>2.3418748521386E-3</v>
      </c>
      <c r="E582" s="3">
        <f t="shared" si="131"/>
        <v>-4.7209767455982359E-3</v>
      </c>
      <c r="F582" s="3">
        <f>STDEV($E$32:E582)</f>
        <v>1.3127568665479641E-2</v>
      </c>
      <c r="G582" s="14">
        <f t="shared" si="134"/>
        <v>-0.35962308527187931</v>
      </c>
      <c r="H582" s="15">
        <f>yint($B$3:B582,$D$3:D582)</f>
        <v>1.4862802291288441E-4</v>
      </c>
      <c r="I582" s="16">
        <f>MyReg($B$3:B582,$D$3:D582)</f>
        <v>0.23214424606186979</v>
      </c>
      <c r="J582" s="17">
        <f>STDEV($D$3:D582)</f>
        <v>1.3371466079485901E-2</v>
      </c>
      <c r="K582" s="4">
        <f t="shared" si="132"/>
        <v>7.0628515977368359E-3</v>
      </c>
      <c r="L582">
        <f t="shared" si="135"/>
        <v>-0.35962308527187931</v>
      </c>
      <c r="M582">
        <f>RSQ($D$3:D582,$B$3:B582)</f>
        <v>4.5792139751217931E-2</v>
      </c>
      <c r="N582">
        <v>550</v>
      </c>
      <c r="O582" t="str">
        <f t="shared" si="133"/>
        <v/>
      </c>
      <c r="P582" t="str">
        <f t="shared" si="137"/>
        <v>close</v>
      </c>
      <c r="Q582">
        <f t="shared" si="138"/>
        <v>0</v>
      </c>
      <c r="R582">
        <f t="shared" si="139"/>
        <v>0</v>
      </c>
      <c r="S582">
        <f t="shared" si="140"/>
        <v>0</v>
      </c>
      <c r="T582">
        <f t="shared" si="141"/>
        <v>0</v>
      </c>
      <c r="U582">
        <f t="shared" si="136"/>
        <v>0</v>
      </c>
      <c r="V582">
        <f t="shared" si="142"/>
        <v>-10</v>
      </c>
      <c r="W582">
        <f t="shared" si="130"/>
        <v>170.82078499999994</v>
      </c>
      <c r="X582">
        <f>SUM($W$34:W582)</f>
        <v>197.6236379999996</v>
      </c>
      <c r="Y582">
        <f t="shared" si="143"/>
        <v>197.6236379999996</v>
      </c>
    </row>
    <row r="583" spans="1:25">
      <c r="A583">
        <v>127.81348819999999</v>
      </c>
      <c r="B583" s="2">
        <f t="shared" si="144"/>
        <v>3.5652763627575874E-4</v>
      </c>
      <c r="C583">
        <v>108.3171732</v>
      </c>
      <c r="D583" s="3">
        <f t="shared" si="145"/>
        <v>-2.1400057481056601E-2</v>
      </c>
      <c r="E583" s="3">
        <f t="shared" si="131"/>
        <v>-2.1594214994834028E-2</v>
      </c>
      <c r="F583" s="3">
        <f>STDEV($E$32:E583)</f>
        <v>1.3147834768254691E-2</v>
      </c>
      <c r="G583" s="14">
        <f t="shared" si="134"/>
        <v>-1.6424160613101888</v>
      </c>
      <c r="H583" s="15">
        <f>yint($B$3:B583,$D$3:D583)</f>
        <v>1.1137925466151013E-4</v>
      </c>
      <c r="I583" s="16">
        <f>MyReg($B$3:B583,$D$3:D583)</f>
        <v>0.23217908148890562</v>
      </c>
      <c r="J583" s="17">
        <f>STDEV($D$3:D583)</f>
        <v>1.3390132946418462E-2</v>
      </c>
      <c r="K583" s="4">
        <f t="shared" si="132"/>
        <v>1.9415751377742642E-4</v>
      </c>
      <c r="L583">
        <f t="shared" si="135"/>
        <v>-1.6424160613101888</v>
      </c>
      <c r="M583">
        <f>RSQ($D$3:D583,$B$3:B583)</f>
        <v>4.5599513893741922E-2</v>
      </c>
      <c r="N583">
        <v>551</v>
      </c>
      <c r="O583" t="str">
        <f t="shared" si="133"/>
        <v>buyY</v>
      </c>
      <c r="P583" t="str">
        <f t="shared" si="137"/>
        <v/>
      </c>
      <c r="Q583">
        <f t="shared" si="138"/>
        <v>-10</v>
      </c>
      <c r="R583">
        <f t="shared" si="139"/>
        <v>0</v>
      </c>
      <c r="S583">
        <f t="shared" si="140"/>
        <v>10</v>
      </c>
      <c r="T583">
        <f t="shared" si="141"/>
        <v>0</v>
      </c>
      <c r="U583">
        <f t="shared" si="136"/>
        <v>20</v>
      </c>
      <c r="V583">
        <f t="shared" si="142"/>
        <v>-10</v>
      </c>
      <c r="W583">
        <f t="shared" si="130"/>
        <v>194.96314999999996</v>
      </c>
      <c r="X583">
        <f>SUM($W$34:W583)</f>
        <v>392.58678799999956</v>
      </c>
      <c r="Y583">
        <f t="shared" si="143"/>
        <v>0</v>
      </c>
    </row>
    <row r="584" spans="1:25">
      <c r="A584">
        <v>126.29840900000001</v>
      </c>
      <c r="B584" s="2">
        <f t="shared" si="144"/>
        <v>-1.1853828741683526E-2</v>
      </c>
      <c r="C584">
        <v>108.2615569</v>
      </c>
      <c r="D584" s="3">
        <f t="shared" si="145"/>
        <v>-5.1345782350971619E-4</v>
      </c>
      <c r="E584" s="3">
        <f t="shared" si="131"/>
        <v>2.1200478924521897E-3</v>
      </c>
      <c r="F584" s="3">
        <f>STDEV($E$32:E584)</f>
        <v>1.3136239094863193E-2</v>
      </c>
      <c r="G584" s="14">
        <f t="shared" si="134"/>
        <v>0.16138925891514985</v>
      </c>
      <c r="H584" s="15">
        <f>yint($B$3:B584,$D$3:D584)</f>
        <v>1.1517652636777624E-4</v>
      </c>
      <c r="I584" s="16">
        <f>MyReg($B$3:B584,$D$3:D584)</f>
        <v>0.23188138636287606</v>
      </c>
      <c r="J584" s="17">
        <f>STDEV($D$3:D584)</f>
        <v>1.3378639845676337E-2</v>
      </c>
      <c r="K584" s="4">
        <f t="shared" si="132"/>
        <v>-2.633505715961906E-3</v>
      </c>
      <c r="L584">
        <f t="shared" si="135"/>
        <v>0.16138925891514985</v>
      </c>
      <c r="M584">
        <f>RSQ($D$3:D584,$B$3:B584)</f>
        <v>4.5561167786762412E-2</v>
      </c>
      <c r="N584">
        <v>552</v>
      </c>
      <c r="O584" t="str">
        <f t="shared" si="133"/>
        <v/>
      </c>
      <c r="P584" t="str">
        <f t="shared" si="137"/>
        <v>close</v>
      </c>
      <c r="Q584">
        <f t="shared" si="138"/>
        <v>0</v>
      </c>
      <c r="R584">
        <f t="shared" si="139"/>
        <v>0</v>
      </c>
      <c r="S584">
        <f t="shared" si="140"/>
        <v>0</v>
      </c>
      <c r="T584">
        <f t="shared" si="141"/>
        <v>0</v>
      </c>
      <c r="U584">
        <f t="shared" si="136"/>
        <v>0</v>
      </c>
      <c r="V584">
        <f t="shared" si="142"/>
        <v>10</v>
      </c>
      <c r="W584">
        <f t="shared" si="130"/>
        <v>-180.36852100000004</v>
      </c>
      <c r="X584">
        <f>SUM($W$34:W584)</f>
        <v>212.21826699999951</v>
      </c>
      <c r="Y584">
        <f t="shared" si="143"/>
        <v>212.21826699999951</v>
      </c>
    </row>
    <row r="585" spans="1:25">
      <c r="A585">
        <v>127.36047379999999</v>
      </c>
      <c r="B585" s="2">
        <f t="shared" si="144"/>
        <v>8.409170063258576E-3</v>
      </c>
      <c r="C585">
        <v>110.3906015</v>
      </c>
      <c r="D585" s="3">
        <f t="shared" si="145"/>
        <v>1.9665748959869247E-2</v>
      </c>
      <c r="E585" s="3">
        <f t="shared" si="131"/>
        <v>1.7557937009320925E-2</v>
      </c>
      <c r="F585" s="3">
        <f>STDEV($E$32:E585)</f>
        <v>1.314560867602413E-2</v>
      </c>
      <c r="G585" s="14">
        <f t="shared" si="134"/>
        <v>1.3356503637099972</v>
      </c>
      <c r="H585" s="15">
        <f>yint($B$3:B585,$D$3:D585)</f>
        <v>1.4459094394229723E-4</v>
      </c>
      <c r="I585" s="16">
        <f>MyReg($B$3:B585,$D$3:D585)</f>
        <v>0.23346192214422531</v>
      </c>
      <c r="J585" s="17">
        <f>STDEV($D$3:D585)</f>
        <v>1.3391366065947726E-2</v>
      </c>
      <c r="K585" s="4">
        <f t="shared" si="132"/>
        <v>2.1078119505483213E-3</v>
      </c>
      <c r="L585">
        <f t="shared" si="135"/>
        <v>1.3356503637099972</v>
      </c>
      <c r="M585">
        <f>RSQ($D$3:D585,$B$3:B585)</f>
        <v>4.6050246175409343E-2</v>
      </c>
      <c r="N585">
        <v>553</v>
      </c>
      <c r="O585" t="str">
        <f t="shared" si="133"/>
        <v/>
      </c>
      <c r="P585" t="str">
        <f t="shared" si="137"/>
        <v/>
      </c>
      <c r="Q585">
        <f t="shared" si="138"/>
        <v>0</v>
      </c>
      <c r="R585">
        <f t="shared" si="139"/>
        <v>0</v>
      </c>
      <c r="S585">
        <f t="shared" si="140"/>
        <v>0</v>
      </c>
      <c r="T585">
        <f t="shared" si="141"/>
        <v>0</v>
      </c>
      <c r="U585">
        <f t="shared" si="136"/>
        <v>0</v>
      </c>
      <c r="V585">
        <f t="shared" si="142"/>
        <v>0</v>
      </c>
      <c r="W585">
        <f t="shared" si="130"/>
        <v>0</v>
      </c>
      <c r="X585">
        <f>SUM($W$34:W585)</f>
        <v>212.21826699999951</v>
      </c>
      <c r="Y585">
        <f t="shared" si="143"/>
        <v>0</v>
      </c>
    </row>
    <row r="586" spans="1:25">
      <c r="A586">
        <v>127.7055999</v>
      </c>
      <c r="B586" s="2">
        <f t="shared" si="144"/>
        <v>2.7098368096680377E-3</v>
      </c>
      <c r="C586">
        <v>111.757249</v>
      </c>
      <c r="D586" s="3">
        <f t="shared" si="145"/>
        <v>1.2380107377166516E-2</v>
      </c>
      <c r="E586" s="3">
        <f t="shared" si="131"/>
        <v>1.1582358988569047E-2</v>
      </c>
      <c r="F586" s="3">
        <f>STDEV($E$32:E586)</f>
        <v>1.3142933249960303E-2</v>
      </c>
      <c r="G586" s="14">
        <f t="shared" si="134"/>
        <v>0.88126134161139635</v>
      </c>
      <c r="H586" s="15">
        <f>yint($B$3:B586,$D$3:D586)</f>
        <v>1.6431476930642901E-4</v>
      </c>
      <c r="I586" s="16">
        <f>MyReg($B$3:B586,$D$3:D586)</f>
        <v>0.23375341903656444</v>
      </c>
      <c r="J586" s="17">
        <f>STDEV($D$3:D586)</f>
        <v>1.3389274110846569E-2</v>
      </c>
      <c r="K586" s="4">
        <f t="shared" si="132"/>
        <v>7.977483885974688E-4</v>
      </c>
      <c r="L586">
        <f t="shared" si="135"/>
        <v>0.88126134161139635</v>
      </c>
      <c r="M586">
        <f>RSQ($D$3:D586,$B$3:B586)</f>
        <v>4.610310007363113E-2</v>
      </c>
      <c r="N586">
        <v>554</v>
      </c>
      <c r="O586" t="str">
        <f t="shared" si="133"/>
        <v/>
      </c>
      <c r="P586" t="str">
        <f t="shared" si="137"/>
        <v/>
      </c>
      <c r="Q586">
        <f t="shared" si="138"/>
        <v>0</v>
      </c>
      <c r="R586">
        <f t="shared" si="139"/>
        <v>0</v>
      </c>
      <c r="S586">
        <f t="shared" si="140"/>
        <v>0</v>
      </c>
      <c r="T586">
        <f t="shared" si="141"/>
        <v>0</v>
      </c>
      <c r="U586">
        <f t="shared" si="136"/>
        <v>0</v>
      </c>
      <c r="V586">
        <f t="shared" si="142"/>
        <v>0</v>
      </c>
      <c r="W586">
        <f t="shared" si="130"/>
        <v>0</v>
      </c>
      <c r="X586">
        <f>SUM($W$34:W586)</f>
        <v>212.21826699999951</v>
      </c>
      <c r="Y586">
        <f t="shared" si="143"/>
        <v>0</v>
      </c>
    </row>
    <row r="587" spans="1:25">
      <c r="A587">
        <v>128.06871380000001</v>
      </c>
      <c r="B587" s="2">
        <f t="shared" si="144"/>
        <v>2.8433670902791482E-3</v>
      </c>
      <c r="C587">
        <v>109.6053565</v>
      </c>
      <c r="D587" s="3">
        <f t="shared" si="145"/>
        <v>-1.9255059687448128E-2</v>
      </c>
      <c r="E587" s="3">
        <f t="shared" si="131"/>
        <v>-2.0048437283525084E-2</v>
      </c>
      <c r="F587" s="3">
        <f>STDEV($E$32:E587)</f>
        <v>1.3158650559373659E-2</v>
      </c>
      <c r="G587" s="14">
        <f t="shared" si="134"/>
        <v>-1.5235937144970717</v>
      </c>
      <c r="H587" s="15">
        <f>yint($B$3:B587,$D$3:D587)</f>
        <v>1.3024926224171476E-4</v>
      </c>
      <c r="I587" s="16">
        <f>MyReg($B$3:B587,$D$3:D587)</f>
        <v>0.23321938841535159</v>
      </c>
      <c r="J587" s="17">
        <f>STDEV($D$3:D587)</f>
        <v>1.3402164697502335E-2</v>
      </c>
      <c r="K587" s="4">
        <f t="shared" si="132"/>
        <v>7.9337759607695543E-4</v>
      </c>
      <c r="L587">
        <f t="shared" si="135"/>
        <v>-1.5235937144970717</v>
      </c>
      <c r="M587">
        <f>RSQ($D$3:D587,$B$3:B587)</f>
        <v>4.5728871952339059E-2</v>
      </c>
      <c r="N587">
        <v>555</v>
      </c>
      <c r="O587" t="str">
        <f t="shared" si="133"/>
        <v>buyY</v>
      </c>
      <c r="P587" t="str">
        <f t="shared" si="137"/>
        <v/>
      </c>
      <c r="Q587">
        <f t="shared" si="138"/>
        <v>-10</v>
      </c>
      <c r="R587">
        <f t="shared" si="139"/>
        <v>0</v>
      </c>
      <c r="S587">
        <f t="shared" si="140"/>
        <v>10</v>
      </c>
      <c r="T587">
        <f t="shared" si="141"/>
        <v>0</v>
      </c>
      <c r="U587">
        <f t="shared" si="136"/>
        <v>20</v>
      </c>
      <c r="V587">
        <f t="shared" si="142"/>
        <v>-10</v>
      </c>
      <c r="W587">
        <f t="shared" si="130"/>
        <v>184.63357300000013</v>
      </c>
      <c r="X587">
        <f>SUM($W$34:W587)</f>
        <v>396.85183999999964</v>
      </c>
      <c r="Y587">
        <f t="shared" si="143"/>
        <v>0</v>
      </c>
    </row>
    <row r="588" spans="1:25">
      <c r="A588">
        <v>128.60401590000001</v>
      </c>
      <c r="B588" s="2">
        <f t="shared" si="144"/>
        <v>4.1798038265298447E-3</v>
      </c>
      <c r="C588">
        <v>108.0014034</v>
      </c>
      <c r="D588" s="3">
        <f t="shared" si="145"/>
        <v>-1.4633893371807958E-2</v>
      </c>
      <c r="E588" s="3">
        <f t="shared" si="131"/>
        <v>-1.5709685559302636E-2</v>
      </c>
      <c r="F588" s="3">
        <f>STDEV($E$32:E588)</f>
        <v>1.3163625826318611E-2</v>
      </c>
      <c r="G588" s="14">
        <f t="shared" si="134"/>
        <v>-1.1934162947638316</v>
      </c>
      <c r="H588" s="15">
        <f>yint($B$3:B588,$D$3:D588)</f>
        <v>1.0372193061115539E-4</v>
      </c>
      <c r="I588" s="16">
        <f>MyReg($B$3:B588,$D$3:D588)</f>
        <v>0.23256360758216613</v>
      </c>
      <c r="J588" s="17">
        <f>STDEV($D$3:D588)</f>
        <v>1.3404806548030335E-2</v>
      </c>
      <c r="K588" s="4">
        <f t="shared" si="132"/>
        <v>1.0757921874946785E-3</v>
      </c>
      <c r="L588">
        <f t="shared" si="135"/>
        <v>-1.1934162947638316</v>
      </c>
      <c r="M588">
        <f>RSQ($D$3:D588,$B$3:B588)</f>
        <v>4.5383407185138648E-2</v>
      </c>
      <c r="N588">
        <v>556</v>
      </c>
      <c r="O588" t="str">
        <f t="shared" si="133"/>
        <v/>
      </c>
      <c r="P588" t="str">
        <f t="shared" si="137"/>
        <v>buyhold</v>
      </c>
      <c r="Q588">
        <f t="shared" si="138"/>
        <v>-10</v>
      </c>
      <c r="R588">
        <f t="shared" si="139"/>
        <v>0</v>
      </c>
      <c r="S588">
        <f t="shared" si="140"/>
        <v>10</v>
      </c>
      <c r="T588">
        <f t="shared" si="141"/>
        <v>0</v>
      </c>
      <c r="U588">
        <f t="shared" si="136"/>
        <v>20</v>
      </c>
      <c r="V588">
        <f t="shared" si="142"/>
        <v>0</v>
      </c>
      <c r="W588">
        <f t="shared" ref="W588:W651" si="146">IF(ABS(V588)&gt;0,V588*(C588-A588),0)</f>
        <v>0</v>
      </c>
      <c r="X588">
        <f>SUM($W$34:W588)</f>
        <v>396.85183999999964</v>
      </c>
      <c r="Y588">
        <f t="shared" si="143"/>
        <v>0</v>
      </c>
    </row>
    <row r="589" spans="1:25">
      <c r="A589">
        <v>130.7774168</v>
      </c>
      <c r="B589" s="2">
        <f t="shared" si="144"/>
        <v>1.6899945812656306E-2</v>
      </c>
      <c r="C589">
        <v>108.62292239999999</v>
      </c>
      <c r="D589" s="3">
        <f t="shared" si="145"/>
        <v>5.7547307760261214E-3</v>
      </c>
      <c r="E589" s="3">
        <f t="shared" si="131"/>
        <v>1.7125549795722547E-3</v>
      </c>
      <c r="F589" s="3">
        <f>STDEV($E$32:E589)</f>
        <v>1.3152013366094398E-2</v>
      </c>
      <c r="G589" s="14">
        <f t="shared" si="134"/>
        <v>0.1302123813215689</v>
      </c>
      <c r="H589" s="15">
        <f>yint($B$3:B589,$D$3:D589)</f>
        <v>1.0648373023880789E-4</v>
      </c>
      <c r="I589" s="16">
        <f>MyReg($B$3:B589,$D$3:D589)</f>
        <v>0.23288193405138813</v>
      </c>
      <c r="J589" s="17">
        <f>STDEV($D$3:D589)</f>
        <v>1.3395311415335662E-2</v>
      </c>
      <c r="K589" s="4">
        <f t="shared" si="132"/>
        <v>4.0421757964538667E-3</v>
      </c>
      <c r="L589">
        <f t="shared" si="135"/>
        <v>0.1302123813215689</v>
      </c>
      <c r="M589">
        <f>RSQ($D$3:D589,$B$3:B589)</f>
        <v>4.5632910494193206E-2</v>
      </c>
      <c r="N589">
        <v>557</v>
      </c>
      <c r="O589" t="str">
        <f t="shared" si="133"/>
        <v/>
      </c>
      <c r="P589" t="str">
        <f t="shared" si="137"/>
        <v>close</v>
      </c>
      <c r="Q589">
        <f t="shared" si="138"/>
        <v>0</v>
      </c>
      <c r="R589">
        <f t="shared" si="139"/>
        <v>0</v>
      </c>
      <c r="S589">
        <f t="shared" si="140"/>
        <v>0</v>
      </c>
      <c r="T589">
        <f t="shared" si="141"/>
        <v>0</v>
      </c>
      <c r="U589">
        <f t="shared" si="136"/>
        <v>0</v>
      </c>
      <c r="V589">
        <f t="shared" si="142"/>
        <v>10</v>
      </c>
      <c r="W589">
        <f t="shared" si="146"/>
        <v>-221.54494400000004</v>
      </c>
      <c r="X589">
        <f>SUM($W$34:W589)</f>
        <v>175.3068959999996</v>
      </c>
      <c r="Y589">
        <f t="shared" si="143"/>
        <v>175.3068959999996</v>
      </c>
    </row>
    <row r="590" spans="1:25">
      <c r="A590">
        <v>133.69449230000001</v>
      </c>
      <c r="B590" s="2">
        <f t="shared" si="144"/>
        <v>2.2305651628378165E-2</v>
      </c>
      <c r="C590">
        <v>108.3111834</v>
      </c>
      <c r="D590" s="3">
        <f t="shared" si="145"/>
        <v>-2.8699191028208671E-3</v>
      </c>
      <c r="E590" s="3">
        <f t="shared" si="131"/>
        <v>-8.1136880706950635E-3</v>
      </c>
      <c r="F590" s="3">
        <f>STDEV($E$32:E590)</f>
        <v>1.3144662346791866E-2</v>
      </c>
      <c r="G590" s="14">
        <f t="shared" si="134"/>
        <v>-0.61726104913416202</v>
      </c>
      <c r="H590" s="15">
        <f>yint($B$3:B590,$D$3:D590)</f>
        <v>9.3724909869858438E-5</v>
      </c>
      <c r="I590" s="16">
        <f>MyReg($B$3:B590,$D$3:D590)</f>
        <v>0.23088516506068985</v>
      </c>
      <c r="J590" s="17">
        <f>STDEV($D$3:D590)</f>
        <v>1.3384507300918447E-2</v>
      </c>
      <c r="K590" s="4">
        <f t="shared" si="132"/>
        <v>5.2437689678741959E-3</v>
      </c>
      <c r="L590">
        <f t="shared" si="135"/>
        <v>-0.61726104913416202</v>
      </c>
      <c r="M590">
        <f>RSQ($D$3:D590,$B$3:B590)</f>
        <v>4.5089553672345135E-2</v>
      </c>
      <c r="N590">
        <v>558</v>
      </c>
      <c r="O590" t="str">
        <f t="shared" si="133"/>
        <v/>
      </c>
      <c r="P590" t="str">
        <f t="shared" si="137"/>
        <v/>
      </c>
      <c r="Q590">
        <f t="shared" si="138"/>
        <v>0</v>
      </c>
      <c r="R590">
        <f t="shared" si="139"/>
        <v>0</v>
      </c>
      <c r="S590">
        <f t="shared" si="140"/>
        <v>0</v>
      </c>
      <c r="T590">
        <f t="shared" si="141"/>
        <v>0</v>
      </c>
      <c r="U590">
        <f t="shared" si="136"/>
        <v>0</v>
      </c>
      <c r="V590">
        <f t="shared" si="142"/>
        <v>0</v>
      </c>
      <c r="W590">
        <f t="shared" si="146"/>
        <v>0</v>
      </c>
      <c r="X590">
        <f>SUM($W$34:W590)</f>
        <v>175.3068959999996</v>
      </c>
      <c r="Y590">
        <f t="shared" si="143"/>
        <v>0</v>
      </c>
    </row>
    <row r="591" spans="1:25">
      <c r="A591">
        <v>134.36108909999999</v>
      </c>
      <c r="B591" s="2">
        <f t="shared" si="144"/>
        <v>4.9859705402387714E-3</v>
      </c>
      <c r="C591">
        <v>108.36733030000001</v>
      </c>
      <c r="D591" s="3">
        <f t="shared" si="145"/>
        <v>5.1838506641228019E-4</v>
      </c>
      <c r="E591" s="3">
        <f t="shared" si="131"/>
        <v>-7.2513424575059349E-4</v>
      </c>
      <c r="F591" s="3">
        <f>STDEV($E$32:E591)</f>
        <v>1.3132930603323019E-2</v>
      </c>
      <c r="G591" s="14">
        <f t="shared" si="134"/>
        <v>-5.5214960594333236E-2</v>
      </c>
      <c r="H591" s="15">
        <f>yint($B$3:B591,$D$3:D591)</f>
        <v>9.2512197407133281E-5</v>
      </c>
      <c r="I591" s="16">
        <f>MyReg($B$3:B591,$D$3:D591)</f>
        <v>0.23084916075348896</v>
      </c>
      <c r="J591" s="17">
        <f>STDEV($D$3:D591)</f>
        <v>1.3373126528790745E-2</v>
      </c>
      <c r="K591" s="4">
        <f t="shared" si="132"/>
        <v>1.2435193121628737E-3</v>
      </c>
      <c r="L591">
        <f t="shared" si="135"/>
        <v>-5.5214960594333236E-2</v>
      </c>
      <c r="M591">
        <f>RSQ($D$3:D591,$B$3:B591)</f>
        <v>4.5085322798477635E-2</v>
      </c>
      <c r="N591">
        <v>559</v>
      </c>
      <c r="O591" t="str">
        <f t="shared" si="133"/>
        <v/>
      </c>
      <c r="P591" t="str">
        <f t="shared" si="137"/>
        <v/>
      </c>
      <c r="Q591">
        <f t="shared" si="138"/>
        <v>0</v>
      </c>
      <c r="R591">
        <f t="shared" si="139"/>
        <v>0</v>
      </c>
      <c r="S591">
        <f t="shared" si="140"/>
        <v>0</v>
      </c>
      <c r="T591">
        <f t="shared" si="141"/>
        <v>0</v>
      </c>
      <c r="U591">
        <f t="shared" si="136"/>
        <v>0</v>
      </c>
      <c r="V591">
        <f t="shared" si="142"/>
        <v>0</v>
      </c>
      <c r="W591">
        <f t="shared" si="146"/>
        <v>0</v>
      </c>
      <c r="X591">
        <f>SUM($W$34:W591)</f>
        <v>175.3068959999996</v>
      </c>
      <c r="Y591">
        <f t="shared" si="143"/>
        <v>0</v>
      </c>
    </row>
    <row r="592" spans="1:25">
      <c r="A592">
        <v>133.62774049999999</v>
      </c>
      <c r="B592" s="2">
        <f t="shared" si="144"/>
        <v>-5.458042986345512E-3</v>
      </c>
      <c r="C592">
        <v>108.7013395</v>
      </c>
      <c r="D592" s="3">
        <f t="shared" si="145"/>
        <v>3.0821945975354251E-3</v>
      </c>
      <c r="E592" s="3">
        <f t="shared" si="131"/>
        <v>4.2407309682526723E-3</v>
      </c>
      <c r="F592" s="3">
        <f>STDEV($E$32:E592)</f>
        <v>1.3122451780545056E-2</v>
      </c>
      <c r="G592" s="14">
        <f t="shared" si="134"/>
        <v>0.32316605457372299</v>
      </c>
      <c r="H592" s="15">
        <f>yint($B$3:B592,$D$3:D592)</f>
        <v>9.9878107159687721E-5</v>
      </c>
      <c r="I592" s="16">
        <f>MyReg($B$3:B592,$D$3:D592)</f>
        <v>0.23056148165654505</v>
      </c>
      <c r="J592" s="17">
        <f>STDEV($D$3:D592)</f>
        <v>1.336228679432307E-2</v>
      </c>
      <c r="K592" s="4">
        <f t="shared" si="132"/>
        <v>-1.1585363707172474E-3</v>
      </c>
      <c r="L592">
        <f t="shared" si="135"/>
        <v>0.32316605457372299</v>
      </c>
      <c r="M592">
        <f>RSQ($D$3:D592,$B$3:B592)</f>
        <v>4.4987920555751154E-2</v>
      </c>
      <c r="N592">
        <v>560</v>
      </c>
      <c r="O592" t="str">
        <f t="shared" si="133"/>
        <v/>
      </c>
      <c r="P592" t="str">
        <f t="shared" si="137"/>
        <v/>
      </c>
      <c r="Q592">
        <f t="shared" si="138"/>
        <v>0</v>
      </c>
      <c r="R592">
        <f t="shared" si="139"/>
        <v>0</v>
      </c>
      <c r="S592">
        <f t="shared" si="140"/>
        <v>0</v>
      </c>
      <c r="T592">
        <f t="shared" si="141"/>
        <v>0</v>
      </c>
      <c r="U592">
        <f t="shared" si="136"/>
        <v>0</v>
      </c>
      <c r="V592">
        <f t="shared" si="142"/>
        <v>0</v>
      </c>
      <c r="W592">
        <f t="shared" si="146"/>
        <v>0</v>
      </c>
      <c r="X592">
        <f>SUM($W$34:W592)</f>
        <v>175.3068959999996</v>
      </c>
      <c r="Y592">
        <f t="shared" si="143"/>
        <v>0</v>
      </c>
    </row>
    <row r="593" spans="1:25">
      <c r="A593">
        <v>132.42394340000001</v>
      </c>
      <c r="B593" s="2">
        <f t="shared" si="144"/>
        <v>-9.0085868061203535E-3</v>
      </c>
      <c r="C593">
        <v>107.8907344</v>
      </c>
      <c r="D593" s="3">
        <f t="shared" si="145"/>
        <v>-7.457176735158849E-3</v>
      </c>
      <c r="E593" s="3">
        <f t="shared" si="131"/>
        <v>-5.4651286079048372E-3</v>
      </c>
      <c r="F593" s="3">
        <f>STDEV($E$32:E593)</f>
        <v>1.3112744081749584E-2</v>
      </c>
      <c r="G593" s="14">
        <f t="shared" si="134"/>
        <v>-0.4167799336152106</v>
      </c>
      <c r="H593" s="15">
        <f>yint($B$3:B593,$D$3:D593)</f>
        <v>9.0281854122011208E-5</v>
      </c>
      <c r="I593" s="16">
        <f>MyReg($B$3:B593,$D$3:D593)</f>
        <v>0.23114946064140784</v>
      </c>
      <c r="J593" s="17">
        <f>STDEV($D$3:D593)</f>
        <v>1.3354702648702328E-2</v>
      </c>
      <c r="K593" s="4">
        <f t="shared" si="132"/>
        <v>-1.9920481272540113E-3</v>
      </c>
      <c r="L593">
        <f t="shared" si="135"/>
        <v>-0.4167799336152106</v>
      </c>
      <c r="M593">
        <f>RSQ($D$3:D593,$B$3:B593)</f>
        <v>4.5238794050902531E-2</v>
      </c>
      <c r="N593">
        <v>561</v>
      </c>
      <c r="O593" t="str">
        <f t="shared" si="133"/>
        <v/>
      </c>
      <c r="P593" t="str">
        <f t="shared" si="137"/>
        <v/>
      </c>
      <c r="Q593">
        <f t="shared" si="138"/>
        <v>0</v>
      </c>
      <c r="R593">
        <f t="shared" si="139"/>
        <v>0</v>
      </c>
      <c r="S593">
        <f t="shared" si="140"/>
        <v>0</v>
      </c>
      <c r="T593">
        <f t="shared" si="141"/>
        <v>0</v>
      </c>
      <c r="U593">
        <f t="shared" si="136"/>
        <v>0</v>
      </c>
      <c r="V593">
        <f t="shared" si="142"/>
        <v>0</v>
      </c>
      <c r="W593">
        <f t="shared" si="146"/>
        <v>0</v>
      </c>
      <c r="X593">
        <f>SUM($W$34:W593)</f>
        <v>175.3068959999996</v>
      </c>
      <c r="Y593">
        <f t="shared" si="143"/>
        <v>0</v>
      </c>
    </row>
    <row r="594" spans="1:25">
      <c r="A594">
        <v>132.92461610000001</v>
      </c>
      <c r="B594" s="2">
        <f t="shared" si="144"/>
        <v>3.780832130090422E-3</v>
      </c>
      <c r="C594">
        <v>107.18690049999999</v>
      </c>
      <c r="D594" s="3">
        <f t="shared" si="145"/>
        <v>-6.5235805828383203E-3</v>
      </c>
      <c r="E594" s="3">
        <f t="shared" si="131"/>
        <v>-7.4742775952609626E-3</v>
      </c>
      <c r="F594" s="3">
        <f>STDEV($E$32:E594)</f>
        <v>1.3104803639174805E-2</v>
      </c>
      <c r="G594" s="14">
        <f t="shared" si="134"/>
        <v>-0.57034640129347325</v>
      </c>
      <c r="H594" s="15">
        <f>yint($B$3:B594,$D$3:D594)</f>
        <v>7.7784251973408406E-5</v>
      </c>
      <c r="I594" s="16">
        <f>MyReg($B$3:B594,$D$3:D594)</f>
        <v>0.23087847606403966</v>
      </c>
      <c r="J594" s="17">
        <f>STDEV($D$3:D594)</f>
        <v>1.3346275568296612E-2</v>
      </c>
      <c r="K594" s="4">
        <f t="shared" si="132"/>
        <v>9.5069701242264193E-4</v>
      </c>
      <c r="L594">
        <f t="shared" si="135"/>
        <v>-0.57034640129347325</v>
      </c>
      <c r="M594">
        <f>RSQ($D$3:D594,$B$3:B594)</f>
        <v>4.511861055181534E-2</v>
      </c>
      <c r="N594">
        <v>562</v>
      </c>
      <c r="O594" t="str">
        <f t="shared" si="133"/>
        <v/>
      </c>
      <c r="P594" t="str">
        <f t="shared" si="137"/>
        <v/>
      </c>
      <c r="Q594">
        <f t="shared" si="138"/>
        <v>0</v>
      </c>
      <c r="R594">
        <f t="shared" si="139"/>
        <v>0</v>
      </c>
      <c r="S594">
        <f t="shared" si="140"/>
        <v>0</v>
      </c>
      <c r="T594">
        <f t="shared" si="141"/>
        <v>0</v>
      </c>
      <c r="U594">
        <f t="shared" si="136"/>
        <v>0</v>
      </c>
      <c r="V594">
        <f t="shared" si="142"/>
        <v>0</v>
      </c>
      <c r="W594">
        <f t="shared" si="146"/>
        <v>0</v>
      </c>
      <c r="X594">
        <f>SUM($W$34:W594)</f>
        <v>175.3068959999996</v>
      </c>
      <c r="Y594">
        <f t="shared" si="143"/>
        <v>0</v>
      </c>
    </row>
    <row r="595" spans="1:25">
      <c r="A595">
        <v>132.8809407</v>
      </c>
      <c r="B595" s="2">
        <f t="shared" si="144"/>
        <v>-3.2857269993659307E-4</v>
      </c>
      <c r="C595">
        <v>107.56933739999999</v>
      </c>
      <c r="D595" s="3">
        <f t="shared" si="145"/>
        <v>3.5679443870102567E-3</v>
      </c>
      <c r="E595" s="3">
        <f t="shared" si="131"/>
        <v>3.5599757540100852E-3</v>
      </c>
      <c r="F595" s="3">
        <f>STDEV($E$32:E595)</f>
        <v>1.3094051368192142E-2</v>
      </c>
      <c r="G595" s="14">
        <f t="shared" si="134"/>
        <v>0.27187733222567928</v>
      </c>
      <c r="H595" s="15">
        <f>yint($B$3:B595,$D$3:D595)</f>
        <v>8.381738303259116E-5</v>
      </c>
      <c r="I595" s="16">
        <f>MyReg($B$3:B595,$D$3:D595)</f>
        <v>0.23084312861980516</v>
      </c>
      <c r="J595" s="17">
        <f>STDEV($D$3:D595)</f>
        <v>1.3335713179450917E-2</v>
      </c>
      <c r="K595" s="4">
        <f t="shared" si="132"/>
        <v>7.9686330001715552E-6</v>
      </c>
      <c r="L595">
        <f t="shared" si="135"/>
        <v>0.27187733222567928</v>
      </c>
      <c r="M595">
        <f>RSQ($D$3:D595,$B$3:B595)</f>
        <v>4.510035825269966E-2</v>
      </c>
      <c r="N595">
        <v>563</v>
      </c>
      <c r="O595" t="str">
        <f t="shared" si="133"/>
        <v/>
      </c>
      <c r="P595" t="str">
        <f t="shared" si="137"/>
        <v/>
      </c>
      <c r="Q595">
        <f t="shared" si="138"/>
        <v>0</v>
      </c>
      <c r="R595">
        <f t="shared" si="139"/>
        <v>0</v>
      </c>
      <c r="S595">
        <f t="shared" si="140"/>
        <v>0</v>
      </c>
      <c r="T595">
        <f t="shared" si="141"/>
        <v>0</v>
      </c>
      <c r="U595">
        <f t="shared" si="136"/>
        <v>0</v>
      </c>
      <c r="V595">
        <f t="shared" si="142"/>
        <v>0</v>
      </c>
      <c r="W595">
        <f t="shared" si="146"/>
        <v>0</v>
      </c>
      <c r="X595">
        <f>SUM($W$34:W595)</f>
        <v>175.3068959999996</v>
      </c>
      <c r="Y595">
        <f t="shared" si="143"/>
        <v>0</v>
      </c>
    </row>
    <row r="596" spans="1:25">
      <c r="A596">
        <v>133.8879853</v>
      </c>
      <c r="B596" s="2">
        <f t="shared" si="144"/>
        <v>7.5785480949714587E-3</v>
      </c>
      <c r="C596">
        <v>109.2993661</v>
      </c>
      <c r="D596" s="3">
        <f t="shared" si="145"/>
        <v>1.6082916766204842E-2</v>
      </c>
      <c r="E596" s="3">
        <f t="shared" si="131"/>
        <v>1.421779554370926E-2</v>
      </c>
      <c r="F596" s="3">
        <f>STDEV($E$32:E596)</f>
        <v>1.3096223889422332E-2</v>
      </c>
      <c r="G596" s="14">
        <f t="shared" si="134"/>
        <v>1.0856408430213849</v>
      </c>
      <c r="H596" s="15">
        <f>yint($B$3:B596,$D$3:D596)</f>
        <v>1.0717179452684482E-4</v>
      </c>
      <c r="I596" s="16">
        <f>MyReg($B$3:B596,$D$3:D596)</f>
        <v>0.23196388093587172</v>
      </c>
      <c r="J596" s="17">
        <f>STDEV($D$3:D596)</f>
        <v>1.3340367433264956E-2</v>
      </c>
      <c r="K596" s="4">
        <f t="shared" si="132"/>
        <v>1.8651212224955818E-3</v>
      </c>
      <c r="L596">
        <f t="shared" si="135"/>
        <v>1.0856408430213849</v>
      </c>
      <c r="M596">
        <f>RSQ($D$3:D596,$B$3:B596)</f>
        <v>4.5455949151580528E-2</v>
      </c>
      <c r="N596">
        <v>564</v>
      </c>
      <c r="O596" t="str">
        <f t="shared" si="133"/>
        <v/>
      </c>
      <c r="P596" t="str">
        <f t="shared" si="137"/>
        <v/>
      </c>
      <c r="Q596">
        <f t="shared" si="138"/>
        <v>0</v>
      </c>
      <c r="R596">
        <f t="shared" si="139"/>
        <v>0</v>
      </c>
      <c r="S596">
        <f t="shared" si="140"/>
        <v>0</v>
      </c>
      <c r="T596">
        <f t="shared" si="141"/>
        <v>0</v>
      </c>
      <c r="U596">
        <f t="shared" si="136"/>
        <v>0</v>
      </c>
      <c r="V596">
        <f t="shared" si="142"/>
        <v>0</v>
      </c>
      <c r="W596">
        <f t="shared" si="146"/>
        <v>0</v>
      </c>
      <c r="X596">
        <f>SUM($W$34:W596)</f>
        <v>175.3068959999996</v>
      </c>
      <c r="Y596">
        <f t="shared" si="143"/>
        <v>0</v>
      </c>
    </row>
    <row r="597" spans="1:25">
      <c r="A597">
        <v>131.5935125</v>
      </c>
      <c r="B597" s="2">
        <f t="shared" si="144"/>
        <v>-1.7137256900675718E-2</v>
      </c>
      <c r="C597">
        <v>110.9760263</v>
      </c>
      <c r="D597" s="3">
        <f t="shared" si="145"/>
        <v>1.5340072498371065E-2</v>
      </c>
      <c r="E597" s="3">
        <f t="shared" si="131"/>
        <v>1.9108778337499452E-2</v>
      </c>
      <c r="F597" s="3">
        <f>STDEV($E$32:E597)</f>
        <v>1.3109352418164397E-2</v>
      </c>
      <c r="G597" s="14">
        <f t="shared" si="134"/>
        <v>1.4576447201939751</v>
      </c>
      <c r="H597" s="15">
        <f>yint($B$3:B597,$D$3:D597)</f>
        <v>1.4149099161316292E-4</v>
      </c>
      <c r="I597" s="16">
        <f>MyReg($B$3:B597,$D$3:D597)</f>
        <v>0.22816935367219543</v>
      </c>
      <c r="J597" s="17">
        <f>STDEV($D$3:D597)</f>
        <v>1.3343503448109008E-2</v>
      </c>
      <c r="K597" s="4">
        <f t="shared" si="132"/>
        <v>-3.7687058391283868E-3</v>
      </c>
      <c r="L597">
        <f t="shared" si="135"/>
        <v>1.4576447201939751</v>
      </c>
      <c r="M597">
        <f>RSQ($D$3:D597,$B$3:B597)</f>
        <v>4.4040297773575744E-2</v>
      </c>
      <c r="N597">
        <v>565</v>
      </c>
      <c r="O597" t="str">
        <f t="shared" si="133"/>
        <v/>
      </c>
      <c r="P597" t="str">
        <f t="shared" si="137"/>
        <v/>
      </c>
      <c r="Q597">
        <f t="shared" si="138"/>
        <v>0</v>
      </c>
      <c r="R597">
        <f t="shared" si="139"/>
        <v>0</v>
      </c>
      <c r="S597">
        <f t="shared" si="140"/>
        <v>0</v>
      </c>
      <c r="T597">
        <f t="shared" si="141"/>
        <v>0</v>
      </c>
      <c r="U597">
        <f t="shared" si="136"/>
        <v>0</v>
      </c>
      <c r="V597">
        <f t="shared" si="142"/>
        <v>0</v>
      </c>
      <c r="W597">
        <f t="shared" si="146"/>
        <v>0</v>
      </c>
      <c r="X597">
        <f>SUM($W$34:W597)</f>
        <v>175.3068959999996</v>
      </c>
      <c r="Y597">
        <f t="shared" si="143"/>
        <v>0</v>
      </c>
    </row>
    <row r="598" spans="1:25">
      <c r="A598">
        <v>130.89781719999999</v>
      </c>
      <c r="B598" s="2">
        <f t="shared" si="144"/>
        <v>-5.286699068846659E-3</v>
      </c>
      <c r="C598">
        <v>108.8461336</v>
      </c>
      <c r="D598" s="3">
        <f t="shared" si="145"/>
        <v>-1.9192367676260896E-2</v>
      </c>
      <c r="E598" s="3">
        <f t="shared" si="131"/>
        <v>-1.8090334906110617E-2</v>
      </c>
      <c r="F598" s="3">
        <f>STDEV($E$32:E598)</f>
        <v>1.3119775066086997E-2</v>
      </c>
      <c r="G598" s="14">
        <f t="shared" si="134"/>
        <v>-1.3788601416553172</v>
      </c>
      <c r="H598" s="15">
        <f>yint($B$3:B598,$D$3:D598)</f>
        <v>1.1045506499217221E-4</v>
      </c>
      <c r="I598" s="16">
        <f>MyReg($B$3:B598,$D$3:D598)</f>
        <v>0.22934686074480262</v>
      </c>
      <c r="J598" s="17">
        <f>STDEV($D$3:D598)</f>
        <v>1.3356084406086086E-2</v>
      </c>
      <c r="K598" s="4">
        <f t="shared" si="132"/>
        <v>-1.1020327701502801E-3</v>
      </c>
      <c r="L598">
        <f t="shared" si="135"/>
        <v>-1.3788601416553172</v>
      </c>
      <c r="M598">
        <f>RSQ($D$3:D598,$B$3:B598)</f>
        <v>4.4354373335875601E-2</v>
      </c>
      <c r="N598">
        <v>566</v>
      </c>
      <c r="O598" t="str">
        <f t="shared" si="133"/>
        <v/>
      </c>
      <c r="P598" t="str">
        <f t="shared" si="137"/>
        <v/>
      </c>
      <c r="Q598">
        <f t="shared" si="138"/>
        <v>0</v>
      </c>
      <c r="R598">
        <f t="shared" si="139"/>
        <v>0</v>
      </c>
      <c r="S598">
        <f t="shared" si="140"/>
        <v>0</v>
      </c>
      <c r="T598">
        <f t="shared" si="141"/>
        <v>0</v>
      </c>
      <c r="U598">
        <f t="shared" si="136"/>
        <v>0</v>
      </c>
      <c r="V598">
        <f t="shared" si="142"/>
        <v>0</v>
      </c>
      <c r="W598">
        <f t="shared" si="146"/>
        <v>0</v>
      </c>
      <c r="X598">
        <f>SUM($W$34:W598)</f>
        <v>175.3068959999996</v>
      </c>
      <c r="Y598">
        <f t="shared" si="143"/>
        <v>0</v>
      </c>
    </row>
    <row r="599" spans="1:25">
      <c r="A599">
        <v>132.018719</v>
      </c>
      <c r="B599" s="2">
        <f t="shared" si="144"/>
        <v>8.5631817548750752E-3</v>
      </c>
      <c r="C599">
        <v>108.4283009</v>
      </c>
      <c r="D599" s="3">
        <f t="shared" si="145"/>
        <v>-3.8387463677442492E-3</v>
      </c>
      <c r="E599" s="3">
        <f t="shared" si="131"/>
        <v>-5.8989861327933771E-3</v>
      </c>
      <c r="F599" s="3">
        <f>STDEV($E$32:E599)</f>
        <v>1.3110509841204454E-2</v>
      </c>
      <c r="G599" s="14">
        <f t="shared" si="134"/>
        <v>-0.44994330535138372</v>
      </c>
      <c r="H599" s="15">
        <f>yint($B$3:B599,$D$3:D599)</f>
        <v>1.0083654990808267E-4</v>
      </c>
      <c r="I599" s="16">
        <f>MyReg($B$3:B599,$D$3:D599)</f>
        <v>0.22881719333185294</v>
      </c>
      <c r="J599" s="17">
        <f>STDEV($D$3:D599)</f>
        <v>1.3345914531211703E-2</v>
      </c>
      <c r="K599" s="4">
        <f t="shared" si="132"/>
        <v>2.0602397650491284E-3</v>
      </c>
      <c r="L599">
        <f t="shared" si="135"/>
        <v>-0.44994330535138372</v>
      </c>
      <c r="M599">
        <f>RSQ($D$3:D599,$B$3:B599)</f>
        <v>4.4174661428378288E-2</v>
      </c>
      <c r="N599">
        <v>567</v>
      </c>
      <c r="O599" t="str">
        <f t="shared" si="133"/>
        <v/>
      </c>
      <c r="P599" t="str">
        <f t="shared" si="137"/>
        <v/>
      </c>
      <c r="Q599">
        <f t="shared" si="138"/>
        <v>0</v>
      </c>
      <c r="R599">
        <f t="shared" si="139"/>
        <v>0</v>
      </c>
      <c r="S599">
        <f t="shared" si="140"/>
        <v>0</v>
      </c>
      <c r="T599">
        <f t="shared" si="141"/>
        <v>0</v>
      </c>
      <c r="U599">
        <f t="shared" si="136"/>
        <v>0</v>
      </c>
      <c r="V599">
        <f t="shared" si="142"/>
        <v>0</v>
      </c>
      <c r="W599">
        <f t="shared" si="146"/>
        <v>0</v>
      </c>
      <c r="X599">
        <f>SUM($W$34:W599)</f>
        <v>175.3068959999996</v>
      </c>
      <c r="Y599">
        <f t="shared" si="143"/>
        <v>0</v>
      </c>
    </row>
    <row r="600" spans="1:25">
      <c r="A600">
        <v>131.7146213</v>
      </c>
      <c r="B600" s="2">
        <f t="shared" si="144"/>
        <v>-2.3034438017838954E-3</v>
      </c>
      <c r="C600">
        <v>110.0102516</v>
      </c>
      <c r="D600" s="3">
        <f t="shared" si="145"/>
        <v>1.4589832053708842E-2</v>
      </c>
      <c r="E600" s="3">
        <f t="shared" si="131"/>
        <v>1.4989601307378255E-2</v>
      </c>
      <c r="F600" s="3">
        <f>STDEV($E$32:E600)</f>
        <v>1.3114118525583928E-2</v>
      </c>
      <c r="G600" s="14">
        <f t="shared" si="134"/>
        <v>1.1430124928439152</v>
      </c>
      <c r="H600" s="15">
        <f>yint($B$3:B600,$D$3:D600)</f>
        <v>1.2620197154981805E-4</v>
      </c>
      <c r="I600" s="16">
        <f>MyReg($B$3:B600,$D$3:D600)</f>
        <v>0.2283412448838105</v>
      </c>
      <c r="J600" s="17">
        <f>STDEV($D$3:D600)</f>
        <v>1.3347665554206987E-2</v>
      </c>
      <c r="K600" s="4">
        <f t="shared" si="132"/>
        <v>-3.9976925366941383E-4</v>
      </c>
      <c r="L600">
        <f t="shared" si="135"/>
        <v>1.1430124928439152</v>
      </c>
      <c r="M600">
        <f>RSQ($D$3:D600,$B$3:B600)</f>
        <v>4.390983177443307E-2</v>
      </c>
      <c r="N600">
        <v>568</v>
      </c>
      <c r="O600" t="str">
        <f t="shared" si="133"/>
        <v/>
      </c>
      <c r="P600" t="str">
        <f t="shared" si="137"/>
        <v/>
      </c>
      <c r="Q600">
        <f t="shared" si="138"/>
        <v>0</v>
      </c>
      <c r="R600">
        <f t="shared" si="139"/>
        <v>0</v>
      </c>
      <c r="S600">
        <f t="shared" si="140"/>
        <v>0</v>
      </c>
      <c r="T600">
        <f t="shared" si="141"/>
        <v>0</v>
      </c>
      <c r="U600">
        <f t="shared" si="136"/>
        <v>0</v>
      </c>
      <c r="V600">
        <f t="shared" si="142"/>
        <v>0</v>
      </c>
      <c r="W600">
        <f t="shared" si="146"/>
        <v>0</v>
      </c>
      <c r="X600">
        <f>SUM($W$34:W600)</f>
        <v>175.3068959999996</v>
      </c>
      <c r="Y600">
        <f t="shared" si="143"/>
        <v>0</v>
      </c>
    </row>
    <row r="601" spans="1:25">
      <c r="A601">
        <v>133.6582598</v>
      </c>
      <c r="B601" s="2">
        <f t="shared" si="144"/>
        <v>1.4756436915026013E-2</v>
      </c>
      <c r="C601">
        <v>112.0654215</v>
      </c>
      <c r="D601" s="3">
        <f t="shared" si="145"/>
        <v>1.8681621668066393E-2</v>
      </c>
      <c r="E601" s="3">
        <f t="shared" si="131"/>
        <v>1.5126470217418107E-2</v>
      </c>
      <c r="F601" s="3">
        <f>STDEV($E$32:E601)</f>
        <v>1.3117936477357022E-2</v>
      </c>
      <c r="G601" s="14">
        <f t="shared" si="134"/>
        <v>1.1531135436985864</v>
      </c>
      <c r="H601" s="15">
        <f>yint($B$3:B601,$D$3:D601)</f>
        <v>1.5021067521603886E-4</v>
      </c>
      <c r="I601" s="16">
        <f>MyReg($B$3:B601,$D$3:D601)</f>
        <v>0.23074274603275699</v>
      </c>
      <c r="J601" s="17">
        <f>STDEV($D$3:D601)</f>
        <v>1.3357750312369999E-2</v>
      </c>
      <c r="K601" s="4">
        <f t="shared" si="132"/>
        <v>3.5551514506482864E-3</v>
      </c>
      <c r="L601">
        <f t="shared" si="135"/>
        <v>1.1531135436985864</v>
      </c>
      <c r="M601">
        <f>RSQ($D$3:D601,$B$3:B601)</f>
        <v>4.4796498435928742E-2</v>
      </c>
      <c r="N601">
        <v>569</v>
      </c>
      <c r="O601" t="str">
        <f t="shared" si="133"/>
        <v/>
      </c>
      <c r="P601" t="str">
        <f t="shared" si="137"/>
        <v/>
      </c>
      <c r="Q601">
        <f t="shared" si="138"/>
        <v>0</v>
      </c>
      <c r="R601">
        <f t="shared" si="139"/>
        <v>0</v>
      </c>
      <c r="S601">
        <f t="shared" si="140"/>
        <v>0</v>
      </c>
      <c r="T601">
        <f t="shared" si="141"/>
        <v>0</v>
      </c>
      <c r="U601">
        <f t="shared" si="136"/>
        <v>0</v>
      </c>
      <c r="V601">
        <f t="shared" si="142"/>
        <v>0</v>
      </c>
      <c r="W601">
        <f t="shared" si="146"/>
        <v>0</v>
      </c>
      <c r="X601">
        <f>SUM($W$34:W601)</f>
        <v>175.3068959999996</v>
      </c>
      <c r="Y601">
        <f t="shared" si="143"/>
        <v>0</v>
      </c>
    </row>
    <row r="602" spans="1:25">
      <c r="A602">
        <v>132.32490250000001</v>
      </c>
      <c r="B602" s="2">
        <f t="shared" si="144"/>
        <v>-9.975869070831556E-3</v>
      </c>
      <c r="C602">
        <v>111.8704494</v>
      </c>
      <c r="D602" s="3">
        <f t="shared" si="145"/>
        <v>-1.7398060649778673E-3</v>
      </c>
      <c r="E602" s="3">
        <f t="shared" si="131"/>
        <v>4.1064942506601051E-4</v>
      </c>
      <c r="F602" s="3">
        <f>STDEV($E$32:E602)</f>
        <v>1.310643529102057E-2</v>
      </c>
      <c r="G602" s="14">
        <f t="shared" si="134"/>
        <v>3.1331892764720932E-2</v>
      </c>
      <c r="H602" s="15">
        <f>yint($B$3:B602,$D$3:D602)</f>
        <v>1.5092319149698073E-4</v>
      </c>
      <c r="I602" s="16">
        <f>MyReg($B$3:B602,$D$3:D602)</f>
        <v>0.23069455555204307</v>
      </c>
      <c r="J602" s="17">
        <f>STDEV($D$3:D602)</f>
        <v>1.3346850153874738E-2</v>
      </c>
      <c r="K602" s="4">
        <f t="shared" si="132"/>
        <v>-2.1504554900438778E-3</v>
      </c>
      <c r="L602">
        <f t="shared" si="135"/>
        <v>3.1331892764720932E-2</v>
      </c>
      <c r="M602">
        <f>RSQ($D$3:D602,$B$3:B602)</f>
        <v>4.4831346961501053E-2</v>
      </c>
      <c r="N602">
        <v>570</v>
      </c>
      <c r="O602" t="str">
        <f t="shared" si="133"/>
        <v/>
      </c>
      <c r="P602" t="str">
        <f t="shared" si="137"/>
        <v/>
      </c>
      <c r="Q602">
        <f t="shared" si="138"/>
        <v>0</v>
      </c>
      <c r="R602">
        <f t="shared" si="139"/>
        <v>0</v>
      </c>
      <c r="S602">
        <f t="shared" si="140"/>
        <v>0</v>
      </c>
      <c r="T602">
        <f t="shared" si="141"/>
        <v>0</v>
      </c>
      <c r="U602">
        <f t="shared" si="136"/>
        <v>0</v>
      </c>
      <c r="V602">
        <f t="shared" si="142"/>
        <v>0</v>
      </c>
      <c r="W602">
        <f t="shared" si="146"/>
        <v>0</v>
      </c>
      <c r="X602">
        <f>SUM($W$34:W602)</f>
        <v>175.3068959999996</v>
      </c>
      <c r="Y602">
        <f t="shared" si="143"/>
        <v>0</v>
      </c>
    </row>
    <row r="603" spans="1:25">
      <c r="A603">
        <v>130.1404756</v>
      </c>
      <c r="B603" s="2">
        <f t="shared" si="144"/>
        <v>-1.6508055994978007E-2</v>
      </c>
      <c r="C603">
        <v>113.1318662</v>
      </c>
      <c r="D603" s="3">
        <f t="shared" si="145"/>
        <v>1.1275692613781583E-2</v>
      </c>
      <c r="E603" s="3">
        <f t="shared" si="131"/>
        <v>1.4860261518265975E-2</v>
      </c>
      <c r="F603" s="3">
        <f>STDEV($E$32:E603)</f>
        <v>1.3109668667768562E-2</v>
      </c>
      <c r="G603" s="14">
        <f t="shared" si="134"/>
        <v>1.1335344847273998</v>
      </c>
      <c r="H603" s="15">
        <f>yint($B$3:B603,$D$3:D603)</f>
        <v>1.7721762283747319E-4</v>
      </c>
      <c r="I603" s="16">
        <f>MyReg($B$3:B603,$D$3:D603)</f>
        <v>0.22787580369646529</v>
      </c>
      <c r="J603" s="17">
        <f>STDEV($D$3:D603)</f>
        <v>1.334326925172827E-2</v>
      </c>
      <c r="K603" s="4">
        <f t="shared" si="132"/>
        <v>-3.5845689044843921E-3</v>
      </c>
      <c r="L603">
        <f t="shared" si="135"/>
        <v>1.1335344847273998</v>
      </c>
      <c r="M603">
        <f>RSQ($D$3:D603,$B$3:B603)</f>
        <v>4.3834102413290242E-2</v>
      </c>
      <c r="N603">
        <v>571</v>
      </c>
      <c r="O603" t="str">
        <f t="shared" si="133"/>
        <v/>
      </c>
      <c r="P603" t="str">
        <f t="shared" si="137"/>
        <v/>
      </c>
      <c r="Q603">
        <f t="shared" si="138"/>
        <v>0</v>
      </c>
      <c r="R603">
        <f t="shared" si="139"/>
        <v>0</v>
      </c>
      <c r="S603">
        <f t="shared" si="140"/>
        <v>0</v>
      </c>
      <c r="T603">
        <f t="shared" si="141"/>
        <v>0</v>
      </c>
      <c r="U603">
        <f t="shared" si="136"/>
        <v>0</v>
      </c>
      <c r="V603">
        <f t="shared" si="142"/>
        <v>0</v>
      </c>
      <c r="W603">
        <f t="shared" si="146"/>
        <v>0</v>
      </c>
      <c r="X603">
        <f>SUM($W$34:W603)</f>
        <v>175.3068959999996</v>
      </c>
      <c r="Y603">
        <f t="shared" si="143"/>
        <v>0</v>
      </c>
    </row>
    <row r="604" spans="1:25">
      <c r="A604">
        <v>130.14367619999999</v>
      </c>
      <c r="B604" s="2">
        <f t="shared" si="144"/>
        <v>2.4593424799081822E-5</v>
      </c>
      <c r="C604">
        <v>112.9039039</v>
      </c>
      <c r="D604" s="3">
        <f t="shared" si="145"/>
        <v>-2.0150140509217684E-3</v>
      </c>
      <c r="E604" s="3">
        <f t="shared" si="131"/>
        <v>-2.1941792240787201E-3</v>
      </c>
      <c r="F604" s="3">
        <f>STDEV($E$32:E604)</f>
        <v>1.3098535129675407E-2</v>
      </c>
      <c r="G604" s="14">
        <f t="shared" si="134"/>
        <v>-0.16751332896055635</v>
      </c>
      <c r="H604" s="15">
        <f>yint($B$3:B604,$D$3:D604)</f>
        <v>1.7356063416209644E-4</v>
      </c>
      <c r="I604" s="16">
        <f>MyReg($B$3:B604,$D$3:D604)</f>
        <v>0.22788769927905195</v>
      </c>
      <c r="J604" s="17">
        <f>STDEV($D$3:D604)</f>
        <v>1.3332495945381389E-2</v>
      </c>
      <c r="K604" s="4">
        <f t="shared" si="132"/>
        <v>1.7916517315695157E-4</v>
      </c>
      <c r="L604">
        <f t="shared" si="135"/>
        <v>-0.16751332896055635</v>
      </c>
      <c r="M604">
        <f>RSQ($D$3:D604,$B$3:B604)</f>
        <v>4.383661036286534E-2</v>
      </c>
      <c r="N604">
        <v>572</v>
      </c>
      <c r="O604" t="str">
        <f t="shared" si="133"/>
        <v/>
      </c>
      <c r="P604" t="str">
        <f t="shared" si="137"/>
        <v/>
      </c>
      <c r="Q604">
        <f t="shared" si="138"/>
        <v>0</v>
      </c>
      <c r="R604">
        <f t="shared" si="139"/>
        <v>0</v>
      </c>
      <c r="S604">
        <f t="shared" si="140"/>
        <v>0</v>
      </c>
      <c r="T604">
        <f t="shared" si="141"/>
        <v>0</v>
      </c>
      <c r="U604">
        <f t="shared" si="136"/>
        <v>0</v>
      </c>
      <c r="V604">
        <f t="shared" si="142"/>
        <v>0</v>
      </c>
      <c r="W604">
        <f t="shared" si="146"/>
        <v>0</v>
      </c>
      <c r="X604">
        <f>SUM($W$34:W604)</f>
        <v>175.3068959999996</v>
      </c>
      <c r="Y604">
        <f t="shared" si="143"/>
        <v>0</v>
      </c>
    </row>
    <row r="605" spans="1:25">
      <c r="A605">
        <v>130.75153570000001</v>
      </c>
      <c r="B605" s="2">
        <f t="shared" si="144"/>
        <v>4.6706802646782602E-3</v>
      </c>
      <c r="C605">
        <v>111.50882110000001</v>
      </c>
      <c r="D605" s="3">
        <f t="shared" si="145"/>
        <v>-1.2356373445116961E-2</v>
      </c>
      <c r="E605" s="3">
        <f t="shared" si="131"/>
        <v>-1.3569182930691762E-2</v>
      </c>
      <c r="F605" s="3">
        <f>STDEV($E$32:E605)</f>
        <v>1.3099405644510915E-2</v>
      </c>
      <c r="G605" s="14">
        <f t="shared" si="134"/>
        <v>-1.0358624886448722</v>
      </c>
      <c r="H605" s="15">
        <f>yint($B$3:B605,$D$3:D605)</f>
        <v>1.5134122336809592E-4</v>
      </c>
      <c r="I605" s="16">
        <f>MyReg($B$3:B605,$D$3:D605)</f>
        <v>0.2272620265261992</v>
      </c>
      <c r="J605" s="17">
        <f>STDEV($D$3:D605)</f>
        <v>1.3331369578111022E-2</v>
      </c>
      <c r="K605" s="4">
        <f t="shared" si="132"/>
        <v>1.2128094855748017E-3</v>
      </c>
      <c r="L605">
        <f t="shared" si="135"/>
        <v>-1.0358624886448722</v>
      </c>
      <c r="M605">
        <f>RSQ($D$3:D605,$B$3:B605)</f>
        <v>4.3539499416320813E-2</v>
      </c>
      <c r="N605">
        <v>573</v>
      </c>
      <c r="O605" t="str">
        <f t="shared" si="133"/>
        <v/>
      </c>
      <c r="P605" t="str">
        <f t="shared" si="137"/>
        <v/>
      </c>
      <c r="Q605">
        <f t="shared" si="138"/>
        <v>0</v>
      </c>
      <c r="R605">
        <f t="shared" si="139"/>
        <v>0</v>
      </c>
      <c r="S605">
        <f t="shared" si="140"/>
        <v>0</v>
      </c>
      <c r="T605">
        <f t="shared" si="141"/>
        <v>0</v>
      </c>
      <c r="U605">
        <f t="shared" si="136"/>
        <v>0</v>
      </c>
      <c r="V605">
        <f t="shared" si="142"/>
        <v>0</v>
      </c>
      <c r="W605">
        <f t="shared" si="146"/>
        <v>0</v>
      </c>
      <c r="X605">
        <f>SUM($W$34:W605)</f>
        <v>175.3068959999996</v>
      </c>
      <c r="Y605">
        <f t="shared" si="143"/>
        <v>0</v>
      </c>
    </row>
    <row r="606" spans="1:25">
      <c r="A606">
        <v>129.79861550000001</v>
      </c>
      <c r="B606" s="2">
        <f t="shared" si="144"/>
        <v>-7.2880230040769925E-3</v>
      </c>
      <c r="C606">
        <v>110.8791148</v>
      </c>
      <c r="D606" s="3">
        <f t="shared" si="145"/>
        <v>-5.6471433720503153E-3</v>
      </c>
      <c r="E606" s="3">
        <f t="shared" si="131"/>
        <v>-4.1325473773311892E-3</v>
      </c>
      <c r="F606" s="3">
        <f>STDEV($E$32:E606)</f>
        <v>1.3089128592415525E-2</v>
      </c>
      <c r="G606" s="14">
        <f t="shared" si="134"/>
        <v>-0.31572364410307552</v>
      </c>
      <c r="H606" s="15">
        <f>yint($B$3:B606,$D$3:D606)</f>
        <v>1.4430204731759154E-4</v>
      </c>
      <c r="I606" s="16">
        <f>MyReg($B$3:B606,$D$3:D606)</f>
        <v>0.22761975931040743</v>
      </c>
      <c r="J606" s="17">
        <f>STDEV($D$3:D606)</f>
        <v>1.3322486101495471E-2</v>
      </c>
      <c r="K606" s="4">
        <f t="shared" si="132"/>
        <v>-1.514595994719126E-3</v>
      </c>
      <c r="L606">
        <f t="shared" si="135"/>
        <v>-0.31572364410307552</v>
      </c>
      <c r="M606">
        <f>RSQ($D$3:D606,$B$3:B606)</f>
        <v>4.3691877071611943E-2</v>
      </c>
      <c r="N606">
        <v>574</v>
      </c>
      <c r="O606" t="str">
        <f t="shared" si="133"/>
        <v/>
      </c>
      <c r="P606" t="str">
        <f t="shared" si="137"/>
        <v/>
      </c>
      <c r="Q606">
        <f t="shared" si="138"/>
        <v>0</v>
      </c>
      <c r="R606">
        <f t="shared" si="139"/>
        <v>0</v>
      </c>
      <c r="S606">
        <f t="shared" si="140"/>
        <v>0</v>
      </c>
      <c r="T606">
        <f t="shared" si="141"/>
        <v>0</v>
      </c>
      <c r="U606">
        <f t="shared" si="136"/>
        <v>0</v>
      </c>
      <c r="V606">
        <f t="shared" si="142"/>
        <v>0</v>
      </c>
      <c r="W606">
        <f t="shared" si="146"/>
        <v>0</v>
      </c>
      <c r="X606">
        <f>SUM($W$34:W606)</f>
        <v>175.3068959999996</v>
      </c>
      <c r="Y606">
        <f t="shared" si="143"/>
        <v>0</v>
      </c>
    </row>
    <row r="607" spans="1:25">
      <c r="A607">
        <v>130.1196022</v>
      </c>
      <c r="B607" s="2">
        <f t="shared" si="144"/>
        <v>2.4729593514038039E-3</v>
      </c>
      <c r="C607">
        <v>114.66593210000001</v>
      </c>
      <c r="D607" s="3">
        <f t="shared" si="145"/>
        <v>3.4152665331343444E-2</v>
      </c>
      <c r="E607" s="3">
        <f t="shared" si="131"/>
        <v>3.3388759118284143E-2</v>
      </c>
      <c r="F607" s="3">
        <f>STDEV($E$32:E607)</f>
        <v>1.3151530911514109E-2</v>
      </c>
      <c r="G607" s="14">
        <f t="shared" si="134"/>
        <v>2.5387735726684433</v>
      </c>
      <c r="H607" s="15">
        <f>yint($B$3:B607,$D$3:D607)</f>
        <v>1.99212912864888E-4</v>
      </c>
      <c r="I607" s="16">
        <f>MyReg($B$3:B607,$D$3:D607)</f>
        <v>0.22834718244513666</v>
      </c>
      <c r="J607" s="17">
        <f>STDEV($D$3:D607)</f>
        <v>1.3382582774549637E-2</v>
      </c>
      <c r="K607" s="4">
        <f t="shared" si="132"/>
        <v>7.6390621305929922E-4</v>
      </c>
      <c r="L607">
        <f t="shared" si="135"/>
        <v>2.5387735726684433</v>
      </c>
      <c r="M607">
        <f>RSQ($D$3:D607,$B$3:B607)</f>
        <v>4.3507258722380794E-2</v>
      </c>
      <c r="N607">
        <v>575</v>
      </c>
      <c r="O607" t="str">
        <f t="shared" si="133"/>
        <v>sellY</v>
      </c>
      <c r="P607" t="str">
        <f t="shared" si="137"/>
        <v/>
      </c>
      <c r="Q607">
        <f t="shared" si="138"/>
        <v>20</v>
      </c>
      <c r="R607">
        <f t="shared" si="139"/>
        <v>10</v>
      </c>
      <c r="S607">
        <f t="shared" si="140"/>
        <v>-20</v>
      </c>
      <c r="T607">
        <f t="shared" si="141"/>
        <v>-10</v>
      </c>
      <c r="U607">
        <f t="shared" si="136"/>
        <v>40</v>
      </c>
      <c r="V607">
        <f t="shared" si="142"/>
        <v>20</v>
      </c>
      <c r="W607">
        <f t="shared" si="146"/>
        <v>-309.07340199999993</v>
      </c>
      <c r="X607">
        <f>SUM($W$34:W607)</f>
        <v>-133.76650600000033</v>
      </c>
      <c r="Y607">
        <f t="shared" si="143"/>
        <v>0</v>
      </c>
    </row>
    <row r="608" spans="1:25">
      <c r="A608">
        <v>128.7643995</v>
      </c>
      <c r="B608" s="2">
        <f t="shared" si="144"/>
        <v>-1.0415054127793873E-2</v>
      </c>
      <c r="C608">
        <v>114.6255269</v>
      </c>
      <c r="D608" s="3">
        <f t="shared" si="145"/>
        <v>-3.523731875721546E-4</v>
      </c>
      <c r="E608" s="3">
        <f t="shared" si="131"/>
        <v>1.8212434996050001E-3</v>
      </c>
      <c r="F608" s="3">
        <f>STDEV($E$32:E608)</f>
        <v>1.3140314734714558E-2</v>
      </c>
      <c r="G608" s="14">
        <f t="shared" si="134"/>
        <v>0.13859968626121055</v>
      </c>
      <c r="H608" s="15">
        <f>yint($B$3:B608,$D$3:D608)</f>
        <v>2.023356338803564E-4</v>
      </c>
      <c r="I608" s="16">
        <f>MyReg($B$3:B608,$D$3:D608)</f>
        <v>0.22812673769183642</v>
      </c>
      <c r="J608" s="17">
        <f>STDEV($D$3:D608)</f>
        <v>1.337154575012032E-2</v>
      </c>
      <c r="K608" s="4">
        <f t="shared" si="132"/>
        <v>-2.1736166871771548E-3</v>
      </c>
      <c r="L608">
        <f t="shared" si="135"/>
        <v>0.13859968626121055</v>
      </c>
      <c r="M608">
        <f>RSQ($D$3:D608,$B$3:B608)</f>
        <v>4.3480443606685834E-2</v>
      </c>
      <c r="N608">
        <v>576</v>
      </c>
      <c r="O608" t="str">
        <f t="shared" si="133"/>
        <v/>
      </c>
      <c r="P608" t="str">
        <f t="shared" si="137"/>
        <v>close</v>
      </c>
      <c r="Q608">
        <f t="shared" si="138"/>
        <v>0</v>
      </c>
      <c r="R608">
        <f t="shared" si="139"/>
        <v>0</v>
      </c>
      <c r="S608">
        <f t="shared" si="140"/>
        <v>0</v>
      </c>
      <c r="T608">
        <f t="shared" si="141"/>
        <v>0</v>
      </c>
      <c r="U608">
        <f t="shared" si="136"/>
        <v>0</v>
      </c>
      <c r="V608">
        <f t="shared" si="142"/>
        <v>-20</v>
      </c>
      <c r="W608">
        <f t="shared" si="146"/>
        <v>282.77745199999998</v>
      </c>
      <c r="X608">
        <f>SUM($W$34:W608)</f>
        <v>149.01094599999965</v>
      </c>
      <c r="Y608">
        <f t="shared" si="143"/>
        <v>149.01094599999965</v>
      </c>
    </row>
    <row r="609" spans="1:25">
      <c r="A609">
        <v>131.2573974</v>
      </c>
      <c r="B609" s="2">
        <f t="shared" si="144"/>
        <v>1.9360925144531166E-2</v>
      </c>
      <c r="C609">
        <v>116.9334613</v>
      </c>
      <c r="D609" s="3">
        <f t="shared" si="145"/>
        <v>2.0134558700990433E-2</v>
      </c>
      <c r="E609" s="3">
        <f t="shared" ref="E609:E672" si="147">D609-K609</f>
        <v>1.5429234170994023E-2</v>
      </c>
      <c r="F609" s="3">
        <f>STDEV($E$32:E609)</f>
        <v>1.3144475667332961E-2</v>
      </c>
      <c r="G609" s="14">
        <f t="shared" si="134"/>
        <v>1.1738189153744041</v>
      </c>
      <c r="H609" s="15">
        <f>yint($B$3:B609,$D$3:D609)</f>
        <v>2.2621198875597589E-4</v>
      </c>
      <c r="I609" s="16">
        <f>MyReg($B$3:B609,$D$3:D609)</f>
        <v>0.23134806357668494</v>
      </c>
      <c r="J609" s="17">
        <f>STDEV($D$3:D609)</f>
        <v>1.3384706222060313E-2</v>
      </c>
      <c r="K609" s="4">
        <f t="shared" ref="K609:K672" si="148">H609+B609*I609</f>
        <v>4.7053245299964099E-3</v>
      </c>
      <c r="L609">
        <f t="shared" si="135"/>
        <v>1.1738189153744041</v>
      </c>
      <c r="M609">
        <f>RSQ($D$3:D609,$B$3:B609)</f>
        <v>4.4730767483634915E-2</v>
      </c>
      <c r="N609">
        <v>577</v>
      </c>
      <c r="O609" t="str">
        <f t="shared" ref="O609:O672" si="149">IF(L609&gt;1.5,"sellY",IF(L609&lt;-1.5,"buyY",""))</f>
        <v/>
      </c>
      <c r="P609" t="str">
        <f t="shared" si="137"/>
        <v/>
      </c>
      <c r="Q609">
        <f t="shared" si="138"/>
        <v>0</v>
      </c>
      <c r="R609">
        <f t="shared" si="139"/>
        <v>0</v>
      </c>
      <c r="S609">
        <f t="shared" si="140"/>
        <v>0</v>
      </c>
      <c r="T609">
        <f t="shared" si="141"/>
        <v>0</v>
      </c>
      <c r="U609">
        <f t="shared" si="136"/>
        <v>0</v>
      </c>
      <c r="V609">
        <f t="shared" si="142"/>
        <v>0</v>
      </c>
      <c r="W609">
        <f t="shared" si="146"/>
        <v>0</v>
      </c>
      <c r="X609">
        <f>SUM($W$34:W609)</f>
        <v>149.01094599999965</v>
      </c>
      <c r="Y609">
        <f t="shared" si="143"/>
        <v>0</v>
      </c>
    </row>
    <row r="610" spans="1:25">
      <c r="A610">
        <v>132.08852329999999</v>
      </c>
      <c r="B610" s="2">
        <f t="shared" si="144"/>
        <v>6.3320309290239617E-3</v>
      </c>
      <c r="C610">
        <v>117.2068526</v>
      </c>
      <c r="D610" s="3">
        <f t="shared" si="145"/>
        <v>2.3380074185831022E-3</v>
      </c>
      <c r="E610" s="3">
        <f t="shared" si="147"/>
        <v>6.4558865489279462E-4</v>
      </c>
      <c r="F610" s="3">
        <f>STDEV($E$32:E610)</f>
        <v>1.3133120564603478E-2</v>
      </c>
      <c r="G610" s="14">
        <f t="shared" ref="G610:G673" si="150">E610/F610</f>
        <v>4.9157292946262275E-2</v>
      </c>
      <c r="H610" s="15">
        <f>yint($B$3:B610,$D$3:D610)</f>
        <v>2.2725394665290102E-4</v>
      </c>
      <c r="I610" s="16">
        <f>MyReg($B$3:B610,$D$3:D610)</f>
        <v>0.23138939677656495</v>
      </c>
      <c r="J610" s="17">
        <f>STDEV($D$3:D610)</f>
        <v>1.337392009379481E-2</v>
      </c>
      <c r="K610" s="4">
        <f t="shared" si="148"/>
        <v>1.6924187636903076E-3</v>
      </c>
      <c r="L610">
        <f t="shared" ref="L610:L673" si="151">(D610-K610)/F610</f>
        <v>4.9157292946262275E-2</v>
      </c>
      <c r="M610">
        <f>RSQ($D$3:D610,$B$3:B610)</f>
        <v>4.47617358179088E-2</v>
      </c>
      <c r="N610">
        <v>578</v>
      </c>
      <c r="O610" t="str">
        <f t="shared" si="149"/>
        <v/>
      </c>
      <c r="P610" t="str">
        <f t="shared" si="137"/>
        <v/>
      </c>
      <c r="Q610">
        <f t="shared" si="138"/>
        <v>0</v>
      </c>
      <c r="R610">
        <f t="shared" si="139"/>
        <v>0</v>
      </c>
      <c r="S610">
        <f t="shared" si="140"/>
        <v>0</v>
      </c>
      <c r="T610">
        <f t="shared" si="141"/>
        <v>0</v>
      </c>
      <c r="U610">
        <f t="shared" ref="U610:U673" si="152">ABS(Q610)+ABS(S610)</f>
        <v>0</v>
      </c>
      <c r="V610">
        <f t="shared" si="142"/>
        <v>0</v>
      </c>
      <c r="W610">
        <f t="shared" si="146"/>
        <v>0</v>
      </c>
      <c r="X610">
        <f>SUM($W$34:W610)</f>
        <v>149.01094599999965</v>
      </c>
      <c r="Y610">
        <f t="shared" si="143"/>
        <v>0</v>
      </c>
    </row>
    <row r="611" spans="1:25">
      <c r="A611">
        <v>131.78416179999999</v>
      </c>
      <c r="B611" s="2">
        <f t="shared" si="144"/>
        <v>-2.3042236554400093E-3</v>
      </c>
      <c r="C611">
        <v>118.5790499</v>
      </c>
      <c r="D611" s="3">
        <f t="shared" si="145"/>
        <v>1.1707483560564412E-2</v>
      </c>
      <c r="E611" s="3">
        <f t="shared" si="147"/>
        <v>1.1992614626826159E-2</v>
      </c>
      <c r="F611" s="3">
        <f>STDEV($E$32:E611)</f>
        <v>1.313108093845422E-2</v>
      </c>
      <c r="G611" s="14">
        <f t="shared" si="150"/>
        <v>0.91329987858851169</v>
      </c>
      <c r="H611" s="15">
        <f>yint($B$3:B611,$D$3:D611)</f>
        <v>2.4717822333011164E-4</v>
      </c>
      <c r="I611" s="16">
        <f>MyReg($B$3:B611,$D$3:D611)</f>
        <v>0.23101459284784992</v>
      </c>
      <c r="J611" s="17">
        <f>STDEV($D$3:D611)</f>
        <v>1.3370839576042832E-2</v>
      </c>
      <c r="K611" s="4">
        <f t="shared" si="148"/>
        <v>-2.8513106626174657E-4</v>
      </c>
      <c r="L611">
        <f t="shared" si="151"/>
        <v>0.91329987858851169</v>
      </c>
      <c r="M611">
        <f>RSQ($D$3:D611,$B$3:B611)</f>
        <v>4.4567931945080047E-2</v>
      </c>
      <c r="N611">
        <v>579</v>
      </c>
      <c r="O611" t="str">
        <f t="shared" si="149"/>
        <v/>
      </c>
      <c r="P611" t="str">
        <f t="shared" ref="P611:P674" si="153">IF(AND(OR(O610="sellY",P610="sellhold"),L611&gt;0.5),"sellhold",IF(AND(OR(O610="sellY",P610="sellhold"),L611&lt;0.5,O611&lt;&gt;"buyY"),"close",IF(AND(OR(O610="sellY",P610="sellhold"),L611&lt;0.5,O611="buyY"),"close&amp;buy",IF(AND(OR(O610="buyY",P610="buyhold"),L611&lt;-0.5),"buyhold",IF(AND(OR(O610="buyY",P610="buyhold"),L611&gt;-0.5,O611&lt;&gt;"sellY"),"close",IF(AND(OR(O610="buyY",P610="buyhold"),L611&gt;-0.5,O611="sellY"),"close&amp;sell",""))))))</f>
        <v/>
      </c>
      <c r="Q611">
        <f t="shared" ref="Q611:Q674" si="154">IF(O611="sellY",MAX(10+R611,Q610),IF(O611="buyY",MIN(-10+R611,Q610),IF(P611="sellhold",Q610+R611,IF(P611="buyhold",Q610+R611,0))))</f>
        <v>0</v>
      </c>
      <c r="R611">
        <f t="shared" ref="R611:R674" si="155">IF(AND(L611&gt;2.5,Q610&lt;15),10,IF(AND(L611&gt;2,Q610&lt;15),5,IF(AND(L611&lt;-2.5,Q610&gt;-15),-10,IF(AND(L611&lt;-2,Q610&gt;-15),-5,0))))</f>
        <v>0</v>
      </c>
      <c r="S611">
        <f t="shared" ref="S611:S674" si="156">IF(O611="sellY",MIN(-10+T611,S610),IF(O611="buyY",MAX(10+T611,S610),IF(P611="sellhold",S610+T611,IF(P611="buyhold",S610+T611,0))))</f>
        <v>0</v>
      </c>
      <c r="T611">
        <f t="shared" ref="T611:T674" si="157">IF(AND(L611&gt;2.5,Q610&lt;15),-10,IF(AND(L611&gt;2,Q610&lt;15),-5,IF(AND(L611&lt;-2.5,Q610&gt;-15),10,IF(AND(L611&lt;-2,Q610&gt;-15),5,0))))</f>
        <v>0</v>
      </c>
      <c r="U611">
        <f t="shared" si="152"/>
        <v>0</v>
      </c>
      <c r="V611">
        <f t="shared" ref="V611:V674" si="158">Q611-Q610</f>
        <v>0</v>
      </c>
      <c r="W611">
        <f t="shared" si="146"/>
        <v>0</v>
      </c>
      <c r="X611">
        <f>SUM($W$34:W611)</f>
        <v>149.01094599999965</v>
      </c>
      <c r="Y611">
        <f t="shared" si="143"/>
        <v>0</v>
      </c>
    </row>
    <row r="612" spans="1:25">
      <c r="A612">
        <v>131.684416</v>
      </c>
      <c r="B612" s="2">
        <f t="shared" si="144"/>
        <v>-7.5688761561022266E-4</v>
      </c>
      <c r="C612">
        <v>118.90106590000001</v>
      </c>
      <c r="D612" s="3">
        <f t="shared" si="145"/>
        <v>2.7156230402551485E-3</v>
      </c>
      <c r="E612" s="3">
        <f t="shared" si="147"/>
        <v>2.6389157239621801E-3</v>
      </c>
      <c r="F612" s="3">
        <f>STDEV($E$32:E612)</f>
        <v>1.3120175961163893E-2</v>
      </c>
      <c r="G612" s="14">
        <f t="shared" si="150"/>
        <v>0.20113417165847838</v>
      </c>
      <c r="H612" s="15">
        <f>yint($B$3:B612,$D$3:D612)</f>
        <v>2.5153113214938555E-4</v>
      </c>
      <c r="I612" s="16">
        <f>MyReg($B$3:B612,$D$3:D612)</f>
        <v>0.23097724450871043</v>
      </c>
      <c r="J612" s="17">
        <f>STDEV($D$3:D612)</f>
        <v>1.3360195178124227E-2</v>
      </c>
      <c r="K612" s="4">
        <f t="shared" si="148"/>
        <v>7.6707316292968321E-5</v>
      </c>
      <c r="L612">
        <f t="shared" si="151"/>
        <v>0.20113417165847838</v>
      </c>
      <c r="M612">
        <f>RSQ($D$3:D612,$B$3:B612)</f>
        <v>4.4552078117632843E-2</v>
      </c>
      <c r="N612">
        <v>580</v>
      </c>
      <c r="O612" t="str">
        <f t="shared" si="149"/>
        <v/>
      </c>
      <c r="P612" t="str">
        <f t="shared" si="153"/>
        <v/>
      </c>
      <c r="Q612">
        <f t="shared" si="154"/>
        <v>0</v>
      </c>
      <c r="R612">
        <f t="shared" si="155"/>
        <v>0</v>
      </c>
      <c r="S612">
        <f t="shared" si="156"/>
        <v>0</v>
      </c>
      <c r="T612">
        <f t="shared" si="157"/>
        <v>0</v>
      </c>
      <c r="U612">
        <f t="shared" si="152"/>
        <v>0</v>
      </c>
      <c r="V612">
        <f t="shared" si="158"/>
        <v>0</v>
      </c>
      <c r="W612">
        <f t="shared" si="146"/>
        <v>0</v>
      </c>
      <c r="X612">
        <f>SUM($W$34:W612)</f>
        <v>149.01094599999965</v>
      </c>
      <c r="Y612">
        <f t="shared" ref="Y612:Y675" si="159">IF(P612="close",X612,0)</f>
        <v>0</v>
      </c>
    </row>
    <row r="613" spans="1:25">
      <c r="A613">
        <v>132.01012359999999</v>
      </c>
      <c r="B613" s="2">
        <f t="shared" si="144"/>
        <v>2.4733951814008654E-3</v>
      </c>
      <c r="C613">
        <v>117.9070291</v>
      </c>
      <c r="D613" s="3">
        <f t="shared" si="145"/>
        <v>-8.3602009155748329E-3</v>
      </c>
      <c r="E613" s="3">
        <f t="shared" si="147"/>
        <v>-9.1676180695126879E-3</v>
      </c>
      <c r="F613" s="3">
        <f>STDEV($E$32:E613)</f>
        <v>1.3114524008297955E-2</v>
      </c>
      <c r="G613" s="14">
        <f t="shared" si="150"/>
        <v>-0.69904314206997209</v>
      </c>
      <c r="H613" s="15">
        <f>yint($B$3:B613,$D$3:D613)</f>
        <v>2.3660565998834057E-4</v>
      </c>
      <c r="I613" s="16">
        <f>MyReg($B$3:B613,$D$3:D613)</f>
        <v>0.23078054741993245</v>
      </c>
      <c r="J613" s="17">
        <f>STDEV($D$3:D613)</f>
        <v>1.3353914253084688E-2</v>
      </c>
      <c r="K613" s="4">
        <f t="shared" si="148"/>
        <v>8.0741715393785535E-4</v>
      </c>
      <c r="L613">
        <f t="shared" si="151"/>
        <v>-0.69904314206997209</v>
      </c>
      <c r="M613">
        <f>RSQ($D$3:D613,$B$3:B613)</f>
        <v>4.4446952366591699E-2</v>
      </c>
      <c r="N613">
        <v>581</v>
      </c>
      <c r="O613" t="str">
        <f t="shared" si="149"/>
        <v/>
      </c>
      <c r="P613" t="str">
        <f t="shared" si="153"/>
        <v/>
      </c>
      <c r="Q613">
        <f t="shared" si="154"/>
        <v>0</v>
      </c>
      <c r="R613">
        <f t="shared" si="155"/>
        <v>0</v>
      </c>
      <c r="S613">
        <f t="shared" si="156"/>
        <v>0</v>
      </c>
      <c r="T613">
        <f t="shared" si="157"/>
        <v>0</v>
      </c>
      <c r="U613">
        <f t="shared" si="152"/>
        <v>0</v>
      </c>
      <c r="V613">
        <f t="shared" si="158"/>
        <v>0</v>
      </c>
      <c r="W613">
        <f t="shared" si="146"/>
        <v>0</v>
      </c>
      <c r="X613">
        <f>SUM($W$34:W613)</f>
        <v>149.01094599999965</v>
      </c>
      <c r="Y613">
        <f t="shared" si="159"/>
        <v>0</v>
      </c>
    </row>
    <row r="614" spans="1:25">
      <c r="A614">
        <v>133.90337930000001</v>
      </c>
      <c r="B614" s="2">
        <f t="shared" si="144"/>
        <v>1.4341746287100863E-2</v>
      </c>
      <c r="C614">
        <v>119.8307023</v>
      </c>
      <c r="D614" s="3">
        <f t="shared" si="145"/>
        <v>1.6315169796776739E-2</v>
      </c>
      <c r="E614" s="3">
        <f t="shared" si="147"/>
        <v>1.2721211359608256E-2</v>
      </c>
      <c r="F614" s="3">
        <f>STDEV($E$32:E614)</f>
        <v>1.3113678557134969E-2</v>
      </c>
      <c r="G614" s="14">
        <f t="shared" si="150"/>
        <v>0.97007192178634138</v>
      </c>
      <c r="H614" s="15">
        <f>yint($B$3:B614,$D$3:D614)</f>
        <v>2.5640218522145338E-4</v>
      </c>
      <c r="I614" s="16">
        <f>MyReg($B$3:B614,$D$3:D614)</f>
        <v>0.23271616894721309</v>
      </c>
      <c r="J614" s="17">
        <f>STDEV($D$3:D614)</f>
        <v>1.3358562579042759E-2</v>
      </c>
      <c r="K614" s="4">
        <f t="shared" si="148"/>
        <v>3.5939584371684837E-3</v>
      </c>
      <c r="L614">
        <f t="shared" si="151"/>
        <v>0.97007192178634138</v>
      </c>
      <c r="M614">
        <f>RSQ($D$3:D614,$B$3:B614)</f>
        <v>4.5184903404736729E-2</v>
      </c>
      <c r="N614">
        <v>582</v>
      </c>
      <c r="O614" t="str">
        <f t="shared" si="149"/>
        <v/>
      </c>
      <c r="P614" t="str">
        <f t="shared" si="153"/>
        <v/>
      </c>
      <c r="Q614">
        <f t="shared" si="154"/>
        <v>0</v>
      </c>
      <c r="R614">
        <f t="shared" si="155"/>
        <v>0</v>
      </c>
      <c r="S614">
        <f t="shared" si="156"/>
        <v>0</v>
      </c>
      <c r="T614">
        <f t="shared" si="157"/>
        <v>0</v>
      </c>
      <c r="U614">
        <f t="shared" si="152"/>
        <v>0</v>
      </c>
      <c r="V614">
        <f t="shared" si="158"/>
        <v>0</v>
      </c>
      <c r="W614">
        <f t="shared" si="146"/>
        <v>0</v>
      </c>
      <c r="X614">
        <f>SUM($W$34:W614)</f>
        <v>149.01094599999965</v>
      </c>
      <c r="Y614">
        <f t="shared" si="159"/>
        <v>0</v>
      </c>
    </row>
    <row r="615" spans="1:25">
      <c r="A615">
        <v>132.1844141</v>
      </c>
      <c r="B615" s="2">
        <f t="shared" si="144"/>
        <v>-1.28373548822006E-2</v>
      </c>
      <c r="C615">
        <v>117.6340563</v>
      </c>
      <c r="D615" s="3">
        <f t="shared" si="145"/>
        <v>-1.8331245313914855E-2</v>
      </c>
      <c r="E615" s="3">
        <f t="shared" si="147"/>
        <v>-1.554415811353394E-2</v>
      </c>
      <c r="F615" s="3">
        <f>STDEV($E$32:E615)</f>
        <v>1.3118448625464643E-2</v>
      </c>
      <c r="G615" s="14">
        <f t="shared" si="150"/>
        <v>-1.1849082583866413</v>
      </c>
      <c r="H615" s="15">
        <f>yint($B$3:B615,$D$3:D615)</f>
        <v>2.2974156162047378E-4</v>
      </c>
      <c r="I615" s="16">
        <f>MyReg($B$3:B615,$D$3:D615)</f>
        <v>0.23500392329141873</v>
      </c>
      <c r="J615" s="17">
        <f>STDEV($D$3:D615)</f>
        <v>1.3369032870710899E-2</v>
      </c>
      <c r="K615" s="4">
        <f t="shared" si="148"/>
        <v>-2.7870872003809156E-3</v>
      </c>
      <c r="L615">
        <f t="shared" si="151"/>
        <v>-1.1849082583866413</v>
      </c>
      <c r="M615">
        <f>RSQ($D$3:D615,$B$3:B615)</f>
        <v>4.6020707363516107E-2</v>
      </c>
      <c r="N615">
        <v>583</v>
      </c>
      <c r="O615" t="str">
        <f t="shared" si="149"/>
        <v/>
      </c>
      <c r="P615" t="str">
        <f t="shared" si="153"/>
        <v/>
      </c>
      <c r="Q615">
        <f t="shared" si="154"/>
        <v>0</v>
      </c>
      <c r="R615">
        <f t="shared" si="155"/>
        <v>0</v>
      </c>
      <c r="S615">
        <f t="shared" si="156"/>
        <v>0</v>
      </c>
      <c r="T615">
        <f t="shared" si="157"/>
        <v>0</v>
      </c>
      <c r="U615">
        <f t="shared" si="152"/>
        <v>0</v>
      </c>
      <c r="V615">
        <f t="shared" si="158"/>
        <v>0</v>
      </c>
      <c r="W615">
        <f t="shared" si="146"/>
        <v>0</v>
      </c>
      <c r="X615">
        <f>SUM($W$34:W615)</f>
        <v>149.01094599999965</v>
      </c>
      <c r="Y615">
        <f t="shared" si="159"/>
        <v>0</v>
      </c>
    </row>
    <row r="616" spans="1:25">
      <c r="A616">
        <v>132.01793359999999</v>
      </c>
      <c r="B616" s="2">
        <f t="shared" si="144"/>
        <v>-1.2594563521994369E-3</v>
      </c>
      <c r="C616">
        <v>115.0633943</v>
      </c>
      <c r="D616" s="3">
        <f t="shared" si="145"/>
        <v>-2.185304222991415E-2</v>
      </c>
      <c r="E616" s="3">
        <f t="shared" si="147"/>
        <v>-2.1750560639693991E-2</v>
      </c>
      <c r="F616" s="3">
        <f>STDEV($E$32:E616)</f>
        <v>1.3138287117268216E-2</v>
      </c>
      <c r="G616" s="14">
        <f t="shared" si="150"/>
        <v>-1.6555096144235038</v>
      </c>
      <c r="H616" s="15">
        <f>yint($B$3:B616,$D$3:D616)</f>
        <v>1.940332872426858E-4</v>
      </c>
      <c r="I616" s="16">
        <f>MyReg($B$3:B616,$D$3:D616)</f>
        <v>0.23543084835376007</v>
      </c>
      <c r="J616" s="17">
        <f>STDEV($D$3:D616)</f>
        <v>1.3388154007289991E-2</v>
      </c>
      <c r="K616" s="4">
        <f t="shared" si="148"/>
        <v>-1.0248159022015964E-4</v>
      </c>
      <c r="L616">
        <f t="shared" si="151"/>
        <v>-1.6555096144235038</v>
      </c>
      <c r="M616">
        <f>RSQ($D$3:D616,$B$3:B616)</f>
        <v>4.5982709295028248E-2</v>
      </c>
      <c r="N616">
        <v>584</v>
      </c>
      <c r="O616" t="str">
        <f t="shared" si="149"/>
        <v>buyY</v>
      </c>
      <c r="P616" t="str">
        <f t="shared" si="153"/>
        <v/>
      </c>
      <c r="Q616">
        <f t="shared" si="154"/>
        <v>-10</v>
      </c>
      <c r="R616">
        <f t="shared" si="155"/>
        <v>0</v>
      </c>
      <c r="S616">
        <f t="shared" si="156"/>
        <v>10</v>
      </c>
      <c r="T616">
        <f t="shared" si="157"/>
        <v>0</v>
      </c>
      <c r="U616">
        <f t="shared" si="152"/>
        <v>20</v>
      </c>
      <c r="V616">
        <f t="shared" si="158"/>
        <v>-10</v>
      </c>
      <c r="W616">
        <f t="shared" si="146"/>
        <v>169.54539299999993</v>
      </c>
      <c r="X616">
        <f>SUM($W$34:W616)</f>
        <v>318.55633899999958</v>
      </c>
      <c r="Y616">
        <f t="shared" si="159"/>
        <v>0</v>
      </c>
    </row>
    <row r="617" spans="1:25">
      <c r="A617">
        <v>131.71983760000001</v>
      </c>
      <c r="B617" s="2">
        <f t="shared" si="144"/>
        <v>-2.2579962575628955E-3</v>
      </c>
      <c r="C617">
        <v>114.2505644</v>
      </c>
      <c r="D617" s="3">
        <f t="shared" si="145"/>
        <v>-7.0641919173767762E-3</v>
      </c>
      <c r="E617" s="3">
        <f t="shared" si="147"/>
        <v>-6.7151152788913543E-3</v>
      </c>
      <c r="F617" s="3">
        <f>STDEV($E$32:E617)</f>
        <v>1.3130031837730496E-2</v>
      </c>
      <c r="G617" s="14">
        <f t="shared" si="150"/>
        <v>-0.51143175903007176</v>
      </c>
      <c r="H617" s="15">
        <f>yint($B$3:B617,$D$3:D617)</f>
        <v>1.8298855904657363E-4</v>
      </c>
      <c r="I617" s="16">
        <f>MyReg($B$3:B617,$D$3:D617)</f>
        <v>0.23563599618462838</v>
      </c>
      <c r="J617" s="17">
        <f>STDEV($D$3:D617)</f>
        <v>1.3380558852082206E-2</v>
      </c>
      <c r="K617" s="4">
        <f t="shared" si="148"/>
        <v>-3.4907663848542201E-4</v>
      </c>
      <c r="L617">
        <f t="shared" si="151"/>
        <v>-0.51143175903007176</v>
      </c>
      <c r="M617">
        <f>RSQ($D$3:D617,$B$3:B617)</f>
        <v>4.6043992399035685E-2</v>
      </c>
      <c r="N617">
        <v>585</v>
      </c>
      <c r="O617" t="str">
        <f t="shared" si="149"/>
        <v/>
      </c>
      <c r="P617" t="str">
        <f t="shared" si="153"/>
        <v>buyhold</v>
      </c>
      <c r="Q617">
        <f t="shared" si="154"/>
        <v>-10</v>
      </c>
      <c r="R617">
        <f t="shared" si="155"/>
        <v>0</v>
      </c>
      <c r="S617">
        <f t="shared" si="156"/>
        <v>10</v>
      </c>
      <c r="T617">
        <f t="shared" si="157"/>
        <v>0</v>
      </c>
      <c r="U617">
        <f t="shared" si="152"/>
        <v>20</v>
      </c>
      <c r="V617">
        <f t="shared" si="158"/>
        <v>0</v>
      </c>
      <c r="W617">
        <f t="shared" si="146"/>
        <v>0</v>
      </c>
      <c r="X617">
        <f>SUM($W$34:W617)</f>
        <v>318.55633899999958</v>
      </c>
      <c r="Y617">
        <f t="shared" si="159"/>
        <v>0</v>
      </c>
    </row>
    <row r="618" spans="1:25">
      <c r="A618">
        <v>130.8204757</v>
      </c>
      <c r="B618" s="2">
        <f t="shared" si="144"/>
        <v>-6.8278394233307373E-3</v>
      </c>
      <c r="C618">
        <v>115.0107143</v>
      </c>
      <c r="D618" s="3">
        <f t="shared" si="145"/>
        <v>6.653357941748617E-3</v>
      </c>
      <c r="E618" s="3">
        <f t="shared" si="147"/>
        <v>8.0613689127269419E-3</v>
      </c>
      <c r="F618" s="3">
        <f>STDEV($E$32:E618)</f>
        <v>1.3122997390505504E-2</v>
      </c>
      <c r="G618" s="14">
        <f t="shared" si="150"/>
        <v>0.61429326493346303</v>
      </c>
      <c r="H618" s="15">
        <f>yint($B$3:B618,$D$3:D618)</f>
        <v>1.9643589344040652E-4</v>
      </c>
      <c r="I618" s="16">
        <f>MyReg($B$3:B618,$D$3:D618)</f>
        <v>0.23498602778154598</v>
      </c>
      <c r="J618" s="17">
        <f>STDEV($D$3:D618)</f>
        <v>1.3372121657742164E-2</v>
      </c>
      <c r="K618" s="4">
        <f t="shared" si="148"/>
        <v>-1.408010970978325E-3</v>
      </c>
      <c r="L618">
        <f t="shared" si="151"/>
        <v>0.61429326493346303</v>
      </c>
      <c r="M618">
        <f>RSQ($D$3:D618,$B$3:B618)</f>
        <v>4.5800664847681166E-2</v>
      </c>
      <c r="N618">
        <v>586</v>
      </c>
      <c r="O618" t="str">
        <f t="shared" si="149"/>
        <v/>
      </c>
      <c r="P618" t="str">
        <f t="shared" si="153"/>
        <v>close</v>
      </c>
      <c r="Q618">
        <f t="shared" si="154"/>
        <v>0</v>
      </c>
      <c r="R618">
        <f t="shared" si="155"/>
        <v>0</v>
      </c>
      <c r="S618">
        <f t="shared" si="156"/>
        <v>0</v>
      </c>
      <c r="T618">
        <f t="shared" si="157"/>
        <v>0</v>
      </c>
      <c r="U618">
        <f t="shared" si="152"/>
        <v>0</v>
      </c>
      <c r="V618">
        <f t="shared" si="158"/>
        <v>10</v>
      </c>
      <c r="W618">
        <f t="shared" si="146"/>
        <v>-158.09761399999999</v>
      </c>
      <c r="X618">
        <f>SUM($W$34:W618)</f>
        <v>160.45872499999959</v>
      </c>
      <c r="Y618">
        <f t="shared" si="159"/>
        <v>160.45872499999959</v>
      </c>
    </row>
    <row r="619" spans="1:25">
      <c r="A619">
        <v>132.63371069999999</v>
      </c>
      <c r="B619" s="2">
        <f t="shared" si="144"/>
        <v>1.3860483156766197E-2</v>
      </c>
      <c r="C619">
        <v>115.5794872</v>
      </c>
      <c r="D619" s="3">
        <f t="shared" si="145"/>
        <v>4.9453905530608376E-3</v>
      </c>
      <c r="E619" s="3">
        <f t="shared" si="147"/>
        <v>1.4866166712739792E-3</v>
      </c>
      <c r="F619" s="3">
        <f>STDEV($E$32:E619)</f>
        <v>1.3111947134153951E-2</v>
      </c>
      <c r="G619" s="14">
        <f t="shared" si="150"/>
        <v>0.11337878776231836</v>
      </c>
      <c r="H619" s="15">
        <f>yint($B$3:B619,$D$3:D619)</f>
        <v>1.9873820554662644E-4</v>
      </c>
      <c r="I619" s="16">
        <f>MyReg($B$3:B619,$D$3:D619)</f>
        <v>0.23520361010278332</v>
      </c>
      <c r="J619" s="17">
        <f>STDEV($D$3:D619)</f>
        <v>1.3362562823588067E-2</v>
      </c>
      <c r="K619" s="4">
        <f t="shared" si="148"/>
        <v>3.4587738817868584E-3</v>
      </c>
      <c r="L619">
        <f t="shared" si="151"/>
        <v>0.11337878776231836</v>
      </c>
      <c r="M619">
        <f>RSQ($D$3:D619,$B$3:B619)</f>
        <v>4.5966091619296275E-2</v>
      </c>
      <c r="N619">
        <v>587</v>
      </c>
      <c r="O619" t="str">
        <f t="shared" si="149"/>
        <v/>
      </c>
      <c r="P619" t="str">
        <f t="shared" si="153"/>
        <v/>
      </c>
      <c r="Q619">
        <f t="shared" si="154"/>
        <v>0</v>
      </c>
      <c r="R619">
        <f t="shared" si="155"/>
        <v>0</v>
      </c>
      <c r="S619">
        <f t="shared" si="156"/>
        <v>0</v>
      </c>
      <c r="T619">
        <f t="shared" si="157"/>
        <v>0</v>
      </c>
      <c r="U619">
        <f t="shared" si="152"/>
        <v>0</v>
      </c>
      <c r="V619">
        <f t="shared" si="158"/>
        <v>0</v>
      </c>
      <c r="W619">
        <f t="shared" si="146"/>
        <v>0</v>
      </c>
      <c r="X619">
        <f>SUM($W$34:W619)</f>
        <v>160.45872499999959</v>
      </c>
      <c r="Y619">
        <f t="shared" si="159"/>
        <v>0</v>
      </c>
    </row>
    <row r="620" spans="1:25">
      <c r="A620">
        <v>132.8434365</v>
      </c>
      <c r="B620" s="2">
        <f t="shared" si="144"/>
        <v>1.5812405375159354E-3</v>
      </c>
      <c r="C620">
        <v>113.6041115</v>
      </c>
      <c r="D620" s="3">
        <f t="shared" si="145"/>
        <v>-1.7091057832622058E-2</v>
      </c>
      <c r="E620" s="3">
        <f t="shared" si="147"/>
        <v>-1.7632918606083244E-2</v>
      </c>
      <c r="F620" s="3">
        <f>STDEV($E$32:E620)</f>
        <v>1.3121060108618405E-2</v>
      </c>
      <c r="G620" s="14">
        <f t="shared" si="150"/>
        <v>-1.3438638692388338</v>
      </c>
      <c r="H620" s="15">
        <f>yint($B$3:B620,$D$3:D620)</f>
        <v>1.7026741883972325E-4</v>
      </c>
      <c r="I620" s="16">
        <f>MyReg($B$3:B620,$D$3:D620)</f>
        <v>0.23500115624737303</v>
      </c>
      <c r="J620" s="17">
        <f>STDEV($D$3:D620)</f>
        <v>1.3370094632955871E-2</v>
      </c>
      <c r="K620" s="4">
        <f t="shared" si="148"/>
        <v>5.4186077346118564E-4</v>
      </c>
      <c r="L620">
        <f t="shared" si="151"/>
        <v>-1.3438638692388338</v>
      </c>
      <c r="M620">
        <f>RSQ($D$3:D620,$B$3:B620)</f>
        <v>4.5761572480925314E-2</v>
      </c>
      <c r="N620">
        <v>588</v>
      </c>
      <c r="O620" t="str">
        <f t="shared" si="149"/>
        <v/>
      </c>
      <c r="P620" t="str">
        <f t="shared" si="153"/>
        <v/>
      </c>
      <c r="Q620">
        <f t="shared" si="154"/>
        <v>0</v>
      </c>
      <c r="R620">
        <f t="shared" si="155"/>
        <v>0</v>
      </c>
      <c r="S620">
        <f t="shared" si="156"/>
        <v>0</v>
      </c>
      <c r="T620">
        <f t="shared" si="157"/>
        <v>0</v>
      </c>
      <c r="U620">
        <f t="shared" si="152"/>
        <v>0</v>
      </c>
      <c r="V620">
        <f t="shared" si="158"/>
        <v>0</v>
      </c>
      <c r="W620">
        <f t="shared" si="146"/>
        <v>0</v>
      </c>
      <c r="X620">
        <f>SUM($W$34:W620)</f>
        <v>160.45872499999959</v>
      </c>
      <c r="Y620">
        <f t="shared" si="159"/>
        <v>0</v>
      </c>
    </row>
    <row r="621" spans="1:25">
      <c r="A621">
        <v>132.68644090000001</v>
      </c>
      <c r="B621" s="2">
        <f t="shared" si="144"/>
        <v>-1.1818092345118436E-3</v>
      </c>
      <c r="C621">
        <v>111.7150944</v>
      </c>
      <c r="D621" s="3">
        <f t="shared" si="145"/>
        <v>-1.6628069838828006E-2</v>
      </c>
      <c r="E621" s="3">
        <f t="shared" si="147"/>
        <v>-1.6493391335904852E-2</v>
      </c>
      <c r="F621" s="3">
        <f>STDEV($E$32:E621)</f>
        <v>1.3127552833171725E-2</v>
      </c>
      <c r="G621" s="14">
        <f t="shared" si="150"/>
        <v>-1.2563949690781715</v>
      </c>
      <c r="H621" s="15">
        <f>yint($B$3:B621,$D$3:D621)</f>
        <v>1.4341389152671484E-4</v>
      </c>
      <c r="I621" s="16">
        <f>MyReg($B$3:B621,$D$3:D621)</f>
        <v>0.23531073063982128</v>
      </c>
      <c r="J621" s="17">
        <f>STDEV($D$3:D621)</f>
        <v>1.3376579467321953E-2</v>
      </c>
      <c r="K621" s="4">
        <f t="shared" si="148"/>
        <v>-1.3467850292315497E-4</v>
      </c>
      <c r="L621">
        <f t="shared" si="151"/>
        <v>-1.2563949690781715</v>
      </c>
      <c r="M621">
        <f>RSQ($D$3:D621,$B$3:B621)</f>
        <v>4.5765042486548536E-2</v>
      </c>
      <c r="N621">
        <v>589</v>
      </c>
      <c r="O621" t="str">
        <f t="shared" si="149"/>
        <v/>
      </c>
      <c r="P621" t="str">
        <f t="shared" si="153"/>
        <v/>
      </c>
      <c r="Q621">
        <f t="shared" si="154"/>
        <v>0</v>
      </c>
      <c r="R621">
        <f t="shared" si="155"/>
        <v>0</v>
      </c>
      <c r="S621">
        <f t="shared" si="156"/>
        <v>0</v>
      </c>
      <c r="T621">
        <f t="shared" si="157"/>
        <v>0</v>
      </c>
      <c r="U621">
        <f t="shared" si="152"/>
        <v>0</v>
      </c>
      <c r="V621">
        <f t="shared" si="158"/>
        <v>0</v>
      </c>
      <c r="W621">
        <f t="shared" si="146"/>
        <v>0</v>
      </c>
      <c r="X621">
        <f>SUM($W$34:W621)</f>
        <v>160.45872499999959</v>
      </c>
      <c r="Y621">
        <f t="shared" si="159"/>
        <v>0</v>
      </c>
    </row>
    <row r="622" spans="1:25">
      <c r="A622">
        <v>133.92159229999999</v>
      </c>
      <c r="B622" s="2">
        <f t="shared" si="144"/>
        <v>9.3087989369679304E-3</v>
      </c>
      <c r="C622">
        <v>113.7921997</v>
      </c>
      <c r="D622" s="3">
        <f t="shared" si="145"/>
        <v>1.8592879602848007E-2</v>
      </c>
      <c r="E622" s="3">
        <f t="shared" si="147"/>
        <v>1.6219129592310699E-2</v>
      </c>
      <c r="F622" s="3">
        <f>STDEV($E$32:E622)</f>
        <v>1.3133376697161091E-2</v>
      </c>
      <c r="G622" s="14">
        <f t="shared" si="150"/>
        <v>1.2349550284213369</v>
      </c>
      <c r="H622" s="15">
        <f>yint($B$3:B622,$D$3:D622)</f>
        <v>1.6878913702177834E-4</v>
      </c>
      <c r="I622" s="16">
        <f>MyReg($B$3:B622,$D$3:D622)</f>
        <v>0.23686846052276334</v>
      </c>
      <c r="J622" s="17">
        <f>STDEV($D$3:D622)</f>
        <v>1.3386015321616197E-2</v>
      </c>
      <c r="K622" s="4">
        <f t="shared" si="148"/>
        <v>2.373750010537308E-3</v>
      </c>
      <c r="L622">
        <f t="shared" si="151"/>
        <v>1.2349550284213369</v>
      </c>
      <c r="M622">
        <f>RSQ($D$3:D622,$B$3:B622)</f>
        <v>4.6271716494197694E-2</v>
      </c>
      <c r="N622">
        <v>590</v>
      </c>
      <c r="O622" t="str">
        <f t="shared" si="149"/>
        <v/>
      </c>
      <c r="P622" t="str">
        <f t="shared" si="153"/>
        <v/>
      </c>
      <c r="Q622">
        <f t="shared" si="154"/>
        <v>0</v>
      </c>
      <c r="R622">
        <f t="shared" si="155"/>
        <v>0</v>
      </c>
      <c r="S622">
        <f t="shared" si="156"/>
        <v>0</v>
      </c>
      <c r="T622">
        <f t="shared" si="157"/>
        <v>0</v>
      </c>
      <c r="U622">
        <f t="shared" si="152"/>
        <v>0</v>
      </c>
      <c r="V622">
        <f t="shared" si="158"/>
        <v>0</v>
      </c>
      <c r="W622">
        <f t="shared" si="146"/>
        <v>0</v>
      </c>
      <c r="X622">
        <f>SUM($W$34:W622)</f>
        <v>160.45872499999959</v>
      </c>
      <c r="Y622">
        <f t="shared" si="159"/>
        <v>0</v>
      </c>
    </row>
    <row r="623" spans="1:25">
      <c r="A623">
        <v>133.49691129999999</v>
      </c>
      <c r="B623" s="2">
        <f t="shared" si="144"/>
        <v>-3.171116716180148E-3</v>
      </c>
      <c r="C623">
        <v>112.6781581</v>
      </c>
      <c r="D623" s="3">
        <f t="shared" si="145"/>
        <v>-9.790140299045411E-3</v>
      </c>
      <c r="E623" s="3">
        <f t="shared" si="147"/>
        <v>-9.1915791442705678E-3</v>
      </c>
      <c r="F623" s="3">
        <f>STDEV($E$32:E623)</f>
        <v>1.3127731730383872E-2</v>
      </c>
      <c r="G623" s="14">
        <f t="shared" si="150"/>
        <v>-0.70016506530193956</v>
      </c>
      <c r="H623" s="15">
        <f>yint($B$3:B623,$D$3:D623)</f>
        <v>1.5376050297689586E-4</v>
      </c>
      <c r="I623" s="16">
        <f>MyReg($B$3:B623,$D$3:D623)</f>
        <v>0.23724186937463712</v>
      </c>
      <c r="J623" s="17">
        <f>STDEV($D$3:D623)</f>
        <v>1.3381340567556412E-2</v>
      </c>
      <c r="K623" s="4">
        <f t="shared" si="148"/>
        <v>-5.9856115477484307E-4</v>
      </c>
      <c r="L623">
        <f t="shared" si="151"/>
        <v>-0.70016506530193956</v>
      </c>
      <c r="M623">
        <f>RSQ($D$3:D623,$B$3:B623)</f>
        <v>4.6382228506408316E-2</v>
      </c>
      <c r="N623">
        <v>591</v>
      </c>
      <c r="O623" t="str">
        <f t="shared" si="149"/>
        <v/>
      </c>
      <c r="P623" t="str">
        <f t="shared" si="153"/>
        <v/>
      </c>
      <c r="Q623">
        <f t="shared" si="154"/>
        <v>0</v>
      </c>
      <c r="R623">
        <f t="shared" si="155"/>
        <v>0</v>
      </c>
      <c r="S623">
        <f t="shared" si="156"/>
        <v>0</v>
      </c>
      <c r="T623">
        <f t="shared" si="157"/>
        <v>0</v>
      </c>
      <c r="U623">
        <f t="shared" si="152"/>
        <v>0</v>
      </c>
      <c r="V623">
        <f t="shared" si="158"/>
        <v>0</v>
      </c>
      <c r="W623">
        <f t="shared" si="146"/>
        <v>0</v>
      </c>
      <c r="X623">
        <f>SUM($W$34:W623)</f>
        <v>160.45872499999959</v>
      </c>
      <c r="Y623">
        <f t="shared" si="159"/>
        <v>0</v>
      </c>
    </row>
    <row r="624" spans="1:25">
      <c r="A624">
        <v>132.655115</v>
      </c>
      <c r="B624" s="2">
        <f t="shared" si="144"/>
        <v>-6.3057361537622227E-3</v>
      </c>
      <c r="C624">
        <v>113.6220589</v>
      </c>
      <c r="D624" s="3">
        <f t="shared" si="145"/>
        <v>8.3769633433508749E-3</v>
      </c>
      <c r="E624" s="3">
        <f t="shared" si="147"/>
        <v>9.6986030967545437E-3</v>
      </c>
      <c r="F624" s="3">
        <f>STDEV($E$32:E624)</f>
        <v>1.3122668022305779E-2</v>
      </c>
      <c r="G624" s="14">
        <f t="shared" si="150"/>
        <v>0.73907250265486835</v>
      </c>
      <c r="H624" s="15">
        <f>yint($B$3:B624,$D$3:D624)</f>
        <v>1.6976933707144493E-4</v>
      </c>
      <c r="I624" s="16">
        <f>MyReg($B$3:B624,$D$3:D624)</f>
        <v>0.23651625347268734</v>
      </c>
      <c r="J624" s="17">
        <f>STDEV($D$3:D624)</f>
        <v>1.3374501642610575E-2</v>
      </c>
      <c r="K624" s="4">
        <f t="shared" si="148"/>
        <v>-1.3216397534036694E-3</v>
      </c>
      <c r="L624">
        <f t="shared" si="151"/>
        <v>0.73907250265486835</v>
      </c>
      <c r="M624">
        <f>RSQ($D$3:D624,$B$3:B624)</f>
        <v>4.6095340435377857E-2</v>
      </c>
      <c r="N624">
        <v>592</v>
      </c>
      <c r="O624" t="str">
        <f t="shared" si="149"/>
        <v/>
      </c>
      <c r="P624" t="str">
        <f t="shared" si="153"/>
        <v/>
      </c>
      <c r="Q624">
        <f t="shared" si="154"/>
        <v>0</v>
      </c>
      <c r="R624">
        <f t="shared" si="155"/>
        <v>0</v>
      </c>
      <c r="S624">
        <f t="shared" si="156"/>
        <v>0</v>
      </c>
      <c r="T624">
        <f t="shared" si="157"/>
        <v>0</v>
      </c>
      <c r="U624">
        <f t="shared" si="152"/>
        <v>0</v>
      </c>
      <c r="V624">
        <f t="shared" si="158"/>
        <v>0</v>
      </c>
      <c r="W624">
        <f t="shared" si="146"/>
        <v>0</v>
      </c>
      <c r="X624">
        <f>SUM($W$34:W624)</f>
        <v>160.45872499999959</v>
      </c>
      <c r="Y624">
        <f t="shared" si="159"/>
        <v>0</v>
      </c>
    </row>
    <row r="625" spans="1:25">
      <c r="A625">
        <v>132.8842654</v>
      </c>
      <c r="B625" s="2">
        <f t="shared" si="144"/>
        <v>1.7274147325567421E-3</v>
      </c>
      <c r="C625">
        <v>112.3380384</v>
      </c>
      <c r="D625" s="3">
        <f t="shared" si="145"/>
        <v>-1.1300802964062438E-2</v>
      </c>
      <c r="E625" s="3">
        <f t="shared" si="147"/>
        <v>-1.1859880236423294E-2</v>
      </c>
      <c r="F625" s="3">
        <f>STDEV($E$32:E625)</f>
        <v>1.3120670829729255E-2</v>
      </c>
      <c r="G625" s="14">
        <f t="shared" si="150"/>
        <v>-0.90390806920868561</v>
      </c>
      <c r="H625" s="15">
        <f>yint($B$3:B625,$D$3:D625)</f>
        <v>1.507840605440607E-4</v>
      </c>
      <c r="I625" s="16">
        <f>MyReg($B$3:B625,$D$3:D625)</f>
        <v>0.23636084845269451</v>
      </c>
      <c r="J625" s="17">
        <f>STDEV($D$3:D625)</f>
        <v>1.337181842692731E-2</v>
      </c>
      <c r="K625" s="4">
        <f t="shared" si="148"/>
        <v>5.5907727236085658E-4</v>
      </c>
      <c r="L625">
        <f t="shared" si="151"/>
        <v>-0.90390806920868561</v>
      </c>
      <c r="M625">
        <f>RSQ($D$3:D625,$B$3:B625)</f>
        <v>4.5979943230600152E-2</v>
      </c>
      <c r="N625">
        <v>593</v>
      </c>
      <c r="O625" t="str">
        <f t="shared" si="149"/>
        <v/>
      </c>
      <c r="P625" t="str">
        <f t="shared" si="153"/>
        <v/>
      </c>
      <c r="Q625">
        <f t="shared" si="154"/>
        <v>0</v>
      </c>
      <c r="R625">
        <f t="shared" si="155"/>
        <v>0</v>
      </c>
      <c r="S625">
        <f t="shared" si="156"/>
        <v>0</v>
      </c>
      <c r="T625">
        <f t="shared" si="157"/>
        <v>0</v>
      </c>
      <c r="U625">
        <f t="shared" si="152"/>
        <v>0</v>
      </c>
      <c r="V625">
        <f t="shared" si="158"/>
        <v>0</v>
      </c>
      <c r="W625">
        <f t="shared" si="146"/>
        <v>0</v>
      </c>
      <c r="X625">
        <f>SUM($W$34:W625)</f>
        <v>160.45872499999959</v>
      </c>
      <c r="Y625">
        <f t="shared" si="159"/>
        <v>0</v>
      </c>
    </row>
    <row r="626" spans="1:25">
      <c r="A626">
        <v>131.997557</v>
      </c>
      <c r="B626" s="2">
        <f t="shared" si="144"/>
        <v>-6.6727870100413214E-3</v>
      </c>
      <c r="C626">
        <v>112.3343172</v>
      </c>
      <c r="D626" s="3">
        <f t="shared" si="145"/>
        <v>-3.3125022058432973E-5</v>
      </c>
      <c r="E626" s="3">
        <f t="shared" si="147"/>
        <v>1.3902570129782495E-3</v>
      </c>
      <c r="F626" s="3">
        <f>STDEV($E$32:E626)</f>
        <v>1.3109744020739958E-2</v>
      </c>
      <c r="G626" s="14">
        <f t="shared" si="150"/>
        <v>0.10604760937962072</v>
      </c>
      <c r="H626" s="15">
        <f>yint($B$3:B626,$D$3:D626)</f>
        <v>1.5307358546971973E-4</v>
      </c>
      <c r="I626" s="16">
        <f>MyReg($B$3:B626,$D$3:D626)</f>
        <v>0.23625145207454179</v>
      </c>
      <c r="J626" s="17">
        <f>STDEV($D$3:D626)</f>
        <v>1.3361088052697635E-2</v>
      </c>
      <c r="K626" s="4">
        <f t="shared" si="148"/>
        <v>-1.4233820350366825E-3</v>
      </c>
      <c r="L626">
        <f t="shared" si="151"/>
        <v>0.10604760937962072</v>
      </c>
      <c r="M626">
        <f>RSQ($D$3:D626,$B$3:B626)</f>
        <v>4.596334533119717E-2</v>
      </c>
      <c r="N626">
        <v>594</v>
      </c>
      <c r="O626" t="str">
        <f t="shared" si="149"/>
        <v/>
      </c>
      <c r="P626" t="str">
        <f t="shared" si="153"/>
        <v/>
      </c>
      <c r="Q626">
        <f t="shared" si="154"/>
        <v>0</v>
      </c>
      <c r="R626">
        <f t="shared" si="155"/>
        <v>0</v>
      </c>
      <c r="S626">
        <f t="shared" si="156"/>
        <v>0</v>
      </c>
      <c r="T626">
        <f t="shared" si="157"/>
        <v>0</v>
      </c>
      <c r="U626">
        <f t="shared" si="152"/>
        <v>0</v>
      </c>
      <c r="V626">
        <f t="shared" si="158"/>
        <v>0</v>
      </c>
      <c r="W626">
        <f t="shared" si="146"/>
        <v>0</v>
      </c>
      <c r="X626">
        <f>SUM($W$34:W626)</f>
        <v>160.45872499999959</v>
      </c>
      <c r="Y626">
        <f t="shared" si="159"/>
        <v>0</v>
      </c>
    </row>
    <row r="627" spans="1:25">
      <c r="A627">
        <v>129.77011870000001</v>
      </c>
      <c r="B627" s="2">
        <f t="shared" si="144"/>
        <v>-1.6874844888227655E-2</v>
      </c>
      <c r="C627">
        <v>110.8557046</v>
      </c>
      <c r="D627" s="3">
        <f t="shared" si="145"/>
        <v>-1.3162608157999337E-2</v>
      </c>
      <c r="E627" s="3">
        <f t="shared" si="147"/>
        <v>-9.2834334008660025E-3</v>
      </c>
      <c r="F627" s="3">
        <f>STDEV($E$32:E627)</f>
        <v>1.3104255536798694E-2</v>
      </c>
      <c r="G627" s="14">
        <f t="shared" si="150"/>
        <v>-0.70842890500698374</v>
      </c>
      <c r="H627" s="15">
        <f>yint($B$3:B627,$D$3:D627)</f>
        <v>1.3728236179051336E-4</v>
      </c>
      <c r="I627" s="16">
        <f>MyReg($B$3:B627,$D$3:D627)</f>
        <v>0.23801446149741121</v>
      </c>
      <c r="J627" s="17">
        <f>STDEV($D$3:D627)</f>
        <v>1.3361194580817894E-2</v>
      </c>
      <c r="K627" s="4">
        <f t="shared" si="148"/>
        <v>-3.8791747571333343E-3</v>
      </c>
      <c r="L627">
        <f t="shared" si="151"/>
        <v>-0.70842890500698374</v>
      </c>
      <c r="M627">
        <f>RSQ($D$3:D627,$B$3:B627)</f>
        <v>4.6729997838979673E-2</v>
      </c>
      <c r="N627">
        <v>595</v>
      </c>
      <c r="O627" t="str">
        <f t="shared" si="149"/>
        <v/>
      </c>
      <c r="P627" t="str">
        <f t="shared" si="153"/>
        <v/>
      </c>
      <c r="Q627">
        <f t="shared" si="154"/>
        <v>0</v>
      </c>
      <c r="R627">
        <f t="shared" si="155"/>
        <v>0</v>
      </c>
      <c r="S627">
        <f t="shared" si="156"/>
        <v>0</v>
      </c>
      <c r="T627">
        <f t="shared" si="157"/>
        <v>0</v>
      </c>
      <c r="U627">
        <f t="shared" si="152"/>
        <v>0</v>
      </c>
      <c r="V627">
        <f t="shared" si="158"/>
        <v>0</v>
      </c>
      <c r="W627">
        <f t="shared" si="146"/>
        <v>0</v>
      </c>
      <c r="X627">
        <f>SUM($W$34:W627)</f>
        <v>160.45872499999959</v>
      </c>
      <c r="Y627">
        <f t="shared" si="159"/>
        <v>0</v>
      </c>
    </row>
    <row r="628" spans="1:25">
      <c r="A628">
        <v>132.03974400000001</v>
      </c>
      <c r="B628" s="2">
        <f t="shared" si="144"/>
        <v>1.7489583293414997E-2</v>
      </c>
      <c r="C628">
        <v>112.1314169</v>
      </c>
      <c r="D628" s="3">
        <f t="shared" si="145"/>
        <v>1.1507863349055014E-2</v>
      </c>
      <c r="E628" s="3">
        <f t="shared" si="147"/>
        <v>7.1737696228015412E-3</v>
      </c>
      <c r="F628" s="3">
        <f>STDEV($E$32:E628)</f>
        <v>1.3096552196899281E-2</v>
      </c>
      <c r="G628" s="14">
        <f t="shared" si="150"/>
        <v>0.54776016732861887</v>
      </c>
      <c r="H628" s="15">
        <f>yint($B$3:B628,$D$3:D628)</f>
        <v>1.481093646120168E-4</v>
      </c>
      <c r="I628" s="16">
        <f>MyReg($B$3:B628,$D$3:D628)</f>
        <v>0.23934157214697738</v>
      </c>
      <c r="J628" s="17">
        <f>STDEV($D$3:D628)</f>
        <v>1.3358076210635395E-2</v>
      </c>
      <c r="K628" s="4">
        <f t="shared" si="148"/>
        <v>4.334093726253473E-3</v>
      </c>
      <c r="L628">
        <f t="shared" si="151"/>
        <v>0.54776016732861887</v>
      </c>
      <c r="M628">
        <f>RSQ($D$3:D628,$B$3:B628)</f>
        <v>4.7347176738024965E-2</v>
      </c>
      <c r="N628">
        <v>596</v>
      </c>
      <c r="O628" t="str">
        <f t="shared" si="149"/>
        <v/>
      </c>
      <c r="P628" t="str">
        <f t="shared" si="153"/>
        <v/>
      </c>
      <c r="Q628">
        <f t="shared" si="154"/>
        <v>0</v>
      </c>
      <c r="R628">
        <f t="shared" si="155"/>
        <v>0</v>
      </c>
      <c r="S628">
        <f t="shared" si="156"/>
        <v>0</v>
      </c>
      <c r="T628">
        <f t="shared" si="157"/>
        <v>0</v>
      </c>
      <c r="U628">
        <f t="shared" si="152"/>
        <v>0</v>
      </c>
      <c r="V628">
        <f t="shared" si="158"/>
        <v>0</v>
      </c>
      <c r="W628">
        <f t="shared" si="146"/>
        <v>0</v>
      </c>
      <c r="X628">
        <f>SUM($W$34:W628)</f>
        <v>160.45872499999959</v>
      </c>
      <c r="Y628">
        <f t="shared" si="159"/>
        <v>0</v>
      </c>
    </row>
    <row r="629" spans="1:25">
      <c r="A629">
        <v>131.66869750000001</v>
      </c>
      <c r="B629" s="2">
        <f t="shared" si="144"/>
        <v>-2.8101122340861671E-3</v>
      </c>
      <c r="C629">
        <v>111.6086572</v>
      </c>
      <c r="D629" s="3">
        <f t="shared" si="145"/>
        <v>-4.662027061213464E-3</v>
      </c>
      <c r="E629" s="3">
        <f t="shared" si="147"/>
        <v>-4.1304653146098103E-3</v>
      </c>
      <c r="F629" s="3">
        <f>STDEV($E$32:E629)</f>
        <v>1.3086673476615808E-2</v>
      </c>
      <c r="G629" s="14">
        <f t="shared" si="150"/>
        <v>-0.31562377727162044</v>
      </c>
      <c r="H629" s="15">
        <f>yint($B$3:B629,$D$3:D629)</f>
        <v>1.4143397571788073E-4</v>
      </c>
      <c r="I629" s="16">
        <f>MyReg($B$3:B629,$D$3:D629)</f>
        <v>0.23949069156676892</v>
      </c>
      <c r="J629" s="17">
        <f>STDEV($D$3:D629)</f>
        <v>1.3348856972435883E-2</v>
      </c>
      <c r="K629" s="4">
        <f t="shared" si="148"/>
        <v>-5.3156174660365352E-4</v>
      </c>
      <c r="L629">
        <f t="shared" si="151"/>
        <v>-0.31562377727162044</v>
      </c>
      <c r="M629">
        <f>RSQ($D$3:D629,$B$3:B629)</f>
        <v>4.7401549014609988E-2</v>
      </c>
      <c r="N629">
        <v>597</v>
      </c>
      <c r="O629" t="str">
        <f t="shared" si="149"/>
        <v/>
      </c>
      <c r="P629" t="str">
        <f t="shared" si="153"/>
        <v/>
      </c>
      <c r="Q629">
        <f t="shared" si="154"/>
        <v>0</v>
      </c>
      <c r="R629">
        <f t="shared" si="155"/>
        <v>0</v>
      </c>
      <c r="S629">
        <f t="shared" si="156"/>
        <v>0</v>
      </c>
      <c r="T629">
        <f t="shared" si="157"/>
        <v>0</v>
      </c>
      <c r="U629">
        <f t="shared" si="152"/>
        <v>0</v>
      </c>
      <c r="V629">
        <f t="shared" si="158"/>
        <v>0</v>
      </c>
      <c r="W629">
        <f t="shared" si="146"/>
        <v>0</v>
      </c>
      <c r="X629">
        <f>SUM($W$34:W629)</f>
        <v>160.45872499999959</v>
      </c>
      <c r="Y629">
        <f t="shared" si="159"/>
        <v>0</v>
      </c>
    </row>
    <row r="630" spans="1:25">
      <c r="A630">
        <v>132.4510032</v>
      </c>
      <c r="B630" s="2">
        <f t="shared" si="144"/>
        <v>5.9414706369370351E-3</v>
      </c>
      <c r="C630">
        <v>112.73040779999999</v>
      </c>
      <c r="D630" s="3">
        <f t="shared" si="145"/>
        <v>1.0050749002291541E-2</v>
      </c>
      <c r="E630" s="3">
        <f t="shared" si="147"/>
        <v>8.4701709740576617E-3</v>
      </c>
      <c r="F630" s="3">
        <f>STDEV($E$32:E630)</f>
        <v>1.3080304419255173E-2</v>
      </c>
      <c r="G630" s="14">
        <f t="shared" si="150"/>
        <v>0.64755151734763494</v>
      </c>
      <c r="H630" s="15">
        <f>yint($B$3:B630,$D$3:D630)</f>
        <v>1.5468742352020914E-4</v>
      </c>
      <c r="I630" s="16">
        <f>MyReg($B$3:B630,$D$3:D630)</f>
        <v>0.23998950627630292</v>
      </c>
      <c r="J630" s="17">
        <f>STDEV($D$3:D630)</f>
        <v>1.3343923586214029E-2</v>
      </c>
      <c r="K630" s="4">
        <f t="shared" si="148"/>
        <v>1.5805780282338792E-3</v>
      </c>
      <c r="L630">
        <f t="shared" si="151"/>
        <v>0.64755151734763494</v>
      </c>
      <c r="M630">
        <f>RSQ($D$3:D630,$B$3:B630)</f>
        <v>4.7573623564080125E-2</v>
      </c>
      <c r="N630">
        <v>598</v>
      </c>
      <c r="O630" t="str">
        <f t="shared" si="149"/>
        <v/>
      </c>
      <c r="P630" t="str">
        <f t="shared" si="153"/>
        <v/>
      </c>
      <c r="Q630">
        <f t="shared" si="154"/>
        <v>0</v>
      </c>
      <c r="R630">
        <f t="shared" si="155"/>
        <v>0</v>
      </c>
      <c r="S630">
        <f t="shared" si="156"/>
        <v>0</v>
      </c>
      <c r="T630">
        <f t="shared" si="157"/>
        <v>0</v>
      </c>
      <c r="U630">
        <f t="shared" si="152"/>
        <v>0</v>
      </c>
      <c r="V630">
        <f t="shared" si="158"/>
        <v>0</v>
      </c>
      <c r="W630">
        <f t="shared" si="146"/>
        <v>0</v>
      </c>
      <c r="X630">
        <f>SUM($W$34:W630)</f>
        <v>160.45872499999959</v>
      </c>
      <c r="Y630">
        <f t="shared" si="159"/>
        <v>0</v>
      </c>
    </row>
    <row r="631" spans="1:25">
      <c r="A631">
        <v>131.49326450000001</v>
      </c>
      <c r="B631" s="2">
        <f t="shared" si="144"/>
        <v>-7.2308904943046365E-3</v>
      </c>
      <c r="C631">
        <v>112.9522315</v>
      </c>
      <c r="D631" s="3">
        <f t="shared" si="145"/>
        <v>1.9677361621324822E-3</v>
      </c>
      <c r="E631" s="3">
        <f t="shared" si="147"/>
        <v>3.5404418536852979E-3</v>
      </c>
      <c r="F631" s="3">
        <f>STDEV($E$32:E631)</f>
        <v>1.30701735889521E-2</v>
      </c>
      <c r="G631" s="14">
        <f t="shared" si="150"/>
        <v>0.27087948217290297</v>
      </c>
      <c r="H631" s="15">
        <f>yint($B$3:B631,$D$3:D631)</f>
        <v>1.6048014196799246E-4</v>
      </c>
      <c r="I631" s="16">
        <f>MyReg($B$3:B631,$D$3:D631)</f>
        <v>0.23969189339624772</v>
      </c>
      <c r="J631" s="17">
        <f>STDEV($D$3:D631)</f>
        <v>1.3333465083640852E-2</v>
      </c>
      <c r="K631" s="4">
        <f t="shared" si="148"/>
        <v>-1.5727056915528154E-3</v>
      </c>
      <c r="L631">
        <f t="shared" si="151"/>
        <v>0.27087948217290297</v>
      </c>
      <c r="M631">
        <f>RSQ($D$3:D631,$B$3:B631)</f>
        <v>4.7485368557421213E-2</v>
      </c>
      <c r="N631">
        <v>599</v>
      </c>
      <c r="O631" t="str">
        <f t="shared" si="149"/>
        <v/>
      </c>
      <c r="P631" t="str">
        <f t="shared" si="153"/>
        <v/>
      </c>
      <c r="Q631">
        <f t="shared" si="154"/>
        <v>0</v>
      </c>
      <c r="R631">
        <f t="shared" si="155"/>
        <v>0</v>
      </c>
      <c r="S631">
        <f t="shared" si="156"/>
        <v>0</v>
      </c>
      <c r="T631">
        <f t="shared" si="157"/>
        <v>0</v>
      </c>
      <c r="U631">
        <f t="shared" si="152"/>
        <v>0</v>
      </c>
      <c r="V631">
        <f t="shared" si="158"/>
        <v>0</v>
      </c>
      <c r="W631">
        <f t="shared" si="146"/>
        <v>0</v>
      </c>
      <c r="X631">
        <f>SUM($W$34:W631)</f>
        <v>160.45872499999959</v>
      </c>
      <c r="Y631">
        <f t="shared" si="159"/>
        <v>0</v>
      </c>
    </row>
    <row r="632" spans="1:25">
      <c r="A632">
        <v>130.74885019999999</v>
      </c>
      <c r="B632" s="2">
        <f t="shared" si="144"/>
        <v>-5.6612352186298995E-3</v>
      </c>
      <c r="C632">
        <v>109.8851398</v>
      </c>
      <c r="D632" s="3">
        <f t="shared" si="145"/>
        <v>-2.7153883188221845E-2</v>
      </c>
      <c r="E632" s="3">
        <f t="shared" si="147"/>
        <v>-2.590553878408066E-2</v>
      </c>
      <c r="F632" s="3">
        <f>STDEV($E$32:E632)</f>
        <v>1.3102030743664209E-2</v>
      </c>
      <c r="G632" s="14">
        <f t="shared" si="150"/>
        <v>-1.9772155394008586</v>
      </c>
      <c r="H632" s="15">
        <f>yint($B$3:B632,$D$3:D632)</f>
        <v>1.1841368890610422E-4</v>
      </c>
      <c r="I632" s="16">
        <f>MyReg($B$3:B632,$D$3:D632)</f>
        <v>0.2414240073525972</v>
      </c>
      <c r="J632" s="17">
        <f>STDEV($D$3:D632)</f>
        <v>1.3367628520655378E-2</v>
      </c>
      <c r="K632" s="4">
        <f t="shared" si="148"/>
        <v>-1.2483444041411829E-3</v>
      </c>
      <c r="L632">
        <f t="shared" si="151"/>
        <v>-1.9772155394008586</v>
      </c>
      <c r="M632">
        <f>RSQ($D$3:D632,$B$3:B632)</f>
        <v>4.7871737500829077E-2</v>
      </c>
      <c r="N632">
        <v>600</v>
      </c>
      <c r="O632" t="str">
        <f t="shared" si="149"/>
        <v>buyY</v>
      </c>
      <c r="P632" t="str">
        <f t="shared" si="153"/>
        <v/>
      </c>
      <c r="Q632">
        <f t="shared" si="154"/>
        <v>-10</v>
      </c>
      <c r="R632">
        <f t="shared" si="155"/>
        <v>0</v>
      </c>
      <c r="S632">
        <f t="shared" si="156"/>
        <v>10</v>
      </c>
      <c r="T632">
        <f t="shared" si="157"/>
        <v>0</v>
      </c>
      <c r="U632">
        <f t="shared" si="152"/>
        <v>20</v>
      </c>
      <c r="V632">
        <f t="shared" si="158"/>
        <v>-10</v>
      </c>
      <c r="W632">
        <f t="shared" si="146"/>
        <v>208.63710399999988</v>
      </c>
      <c r="X632">
        <f>SUM($W$34:W632)</f>
        <v>369.09582899999947</v>
      </c>
      <c r="Y632">
        <f t="shared" si="159"/>
        <v>0</v>
      </c>
    </row>
    <row r="633" spans="1:25">
      <c r="A633">
        <v>129.64431160000001</v>
      </c>
      <c r="B633" s="2">
        <f t="shared" si="144"/>
        <v>-8.4477882467832496E-3</v>
      </c>
      <c r="C633">
        <v>108.72799430000001</v>
      </c>
      <c r="D633" s="3">
        <f t="shared" si="145"/>
        <v>-1.0530500321573041E-2</v>
      </c>
      <c r="E633" s="3">
        <f t="shared" si="147"/>
        <v>-8.588336214893336E-3</v>
      </c>
      <c r="F633" s="3">
        <f>STDEV($E$32:E633)</f>
        <v>1.3095781291346614E-2</v>
      </c>
      <c r="G633" s="14">
        <f t="shared" si="150"/>
        <v>-0.65580938042759673</v>
      </c>
      <c r="H633" s="15">
        <f>yint($B$3:B633,$D$3:D633)</f>
        <v>1.0436613034942686E-4</v>
      </c>
      <c r="I633" s="16">
        <f>MyReg($B$3:B633,$D$3:D633)</f>
        <v>0.24225633707241778</v>
      </c>
      <c r="J633" s="17">
        <f>STDEV($D$3:D633)</f>
        <v>1.3363893676391798E-2</v>
      </c>
      <c r="K633" s="4">
        <f t="shared" si="148"/>
        <v>-1.9421641066797051E-3</v>
      </c>
      <c r="L633">
        <f t="shared" si="151"/>
        <v>-0.65580938042759673</v>
      </c>
      <c r="M633">
        <f>RSQ($D$3:D633,$B$3:B633)</f>
        <v>4.8194467314462315E-2</v>
      </c>
      <c r="N633">
        <v>601</v>
      </c>
      <c r="O633" t="str">
        <f t="shared" si="149"/>
        <v/>
      </c>
      <c r="P633" t="str">
        <f t="shared" si="153"/>
        <v>buyhold</v>
      </c>
      <c r="Q633">
        <f t="shared" si="154"/>
        <v>-10</v>
      </c>
      <c r="R633">
        <f t="shared" si="155"/>
        <v>0</v>
      </c>
      <c r="S633">
        <f t="shared" si="156"/>
        <v>10</v>
      </c>
      <c r="T633">
        <f t="shared" si="157"/>
        <v>0</v>
      </c>
      <c r="U633">
        <f t="shared" si="152"/>
        <v>20</v>
      </c>
      <c r="V633">
        <f t="shared" si="158"/>
        <v>0</v>
      </c>
      <c r="W633">
        <f t="shared" si="146"/>
        <v>0</v>
      </c>
      <c r="X633">
        <f>SUM($W$34:W633)</f>
        <v>369.09582899999947</v>
      </c>
      <c r="Y633">
        <f t="shared" si="159"/>
        <v>0</v>
      </c>
    </row>
    <row r="634" spans="1:25">
      <c r="A634">
        <v>130.03333839999999</v>
      </c>
      <c r="B634" s="2">
        <f t="shared" si="144"/>
        <v>3.0007240209680135E-3</v>
      </c>
      <c r="C634">
        <v>107.7501876</v>
      </c>
      <c r="D634" s="3">
        <f t="shared" si="145"/>
        <v>-8.993145751424958E-3</v>
      </c>
      <c r="E634" s="3">
        <f t="shared" si="147"/>
        <v>-9.8082403626990056E-3</v>
      </c>
      <c r="F634" s="3">
        <f>STDEV($E$32:E634)</f>
        <v>1.309095023706198E-2</v>
      </c>
      <c r="G634" s="14">
        <f t="shared" si="150"/>
        <v>-0.74923822832438502</v>
      </c>
      <c r="H634" s="15">
        <f>yint($B$3:B634,$D$3:D634)</f>
        <v>8.8951637041028472E-5</v>
      </c>
      <c r="I634" s="16">
        <f>MyReg($B$3:B634,$D$3:D634)</f>
        <v>0.24198925631247153</v>
      </c>
      <c r="J634" s="17">
        <f>STDEV($D$3:D634)</f>
        <v>1.3358330024379781E-2</v>
      </c>
      <c r="K634" s="4">
        <f t="shared" si="148"/>
        <v>8.1509461127404737E-4</v>
      </c>
      <c r="L634">
        <f t="shared" si="151"/>
        <v>-0.74923822832438502</v>
      </c>
      <c r="M634">
        <f>RSQ($D$3:D634,$B$3:B634)</f>
        <v>4.8055338772220645E-2</v>
      </c>
      <c r="N634">
        <v>602</v>
      </c>
      <c r="O634" t="str">
        <f t="shared" si="149"/>
        <v/>
      </c>
      <c r="P634" t="str">
        <f t="shared" si="153"/>
        <v>buyhold</v>
      </c>
      <c r="Q634">
        <f t="shared" si="154"/>
        <v>-10</v>
      </c>
      <c r="R634">
        <f t="shared" si="155"/>
        <v>0</v>
      </c>
      <c r="S634">
        <f t="shared" si="156"/>
        <v>10</v>
      </c>
      <c r="T634">
        <f t="shared" si="157"/>
        <v>0</v>
      </c>
      <c r="U634">
        <f t="shared" si="152"/>
        <v>20</v>
      </c>
      <c r="V634">
        <f t="shared" si="158"/>
        <v>0</v>
      </c>
      <c r="W634">
        <f t="shared" si="146"/>
        <v>0</v>
      </c>
      <c r="X634">
        <f>SUM($W$34:W634)</f>
        <v>369.09582899999947</v>
      </c>
      <c r="Y634">
        <f t="shared" si="159"/>
        <v>0</v>
      </c>
    </row>
    <row r="635" spans="1:25">
      <c r="A635">
        <v>131.1442563</v>
      </c>
      <c r="B635" s="2">
        <f t="shared" si="144"/>
        <v>8.5433313769325177E-3</v>
      </c>
      <c r="C635">
        <v>107.9849857</v>
      </c>
      <c r="D635" s="3">
        <f t="shared" si="145"/>
        <v>2.1790969021012814E-3</v>
      </c>
      <c r="E635" s="3">
        <f t="shared" si="147"/>
        <v>2.2699005418054183E-5</v>
      </c>
      <c r="F635" s="3">
        <f>STDEV($E$32:E635)</f>
        <v>1.3080091235941477E-2</v>
      </c>
      <c r="G635" s="14">
        <f t="shared" si="150"/>
        <v>1.7353858630344912E-3</v>
      </c>
      <c r="H635" s="15">
        <f>yint($B$3:B635,$D$3:D635)</f>
        <v>8.8986586151510756E-5</v>
      </c>
      <c r="I635" s="16">
        <f>MyReg($B$3:B635,$D$3:D635)</f>
        <v>0.24199123495476779</v>
      </c>
      <c r="J635" s="17">
        <f>STDEV($D$3:D635)</f>
        <v>1.3347987639810462E-2</v>
      </c>
      <c r="K635" s="4">
        <f t="shared" si="148"/>
        <v>2.1563978966832272E-3</v>
      </c>
      <c r="L635">
        <f t="shared" si="151"/>
        <v>1.7353858630344912E-3</v>
      </c>
      <c r="M635">
        <f>RSQ($D$3:D635,$B$3:B635)</f>
        <v>4.8088153960029849E-2</v>
      </c>
      <c r="N635">
        <v>603</v>
      </c>
      <c r="O635" t="str">
        <f t="shared" si="149"/>
        <v/>
      </c>
      <c r="P635" t="str">
        <f t="shared" si="153"/>
        <v>close</v>
      </c>
      <c r="Q635">
        <f t="shared" si="154"/>
        <v>0</v>
      </c>
      <c r="R635">
        <f t="shared" si="155"/>
        <v>0</v>
      </c>
      <c r="S635">
        <f t="shared" si="156"/>
        <v>0</v>
      </c>
      <c r="T635">
        <f t="shared" si="157"/>
        <v>0</v>
      </c>
      <c r="U635">
        <f t="shared" si="152"/>
        <v>0</v>
      </c>
      <c r="V635">
        <f t="shared" si="158"/>
        <v>10</v>
      </c>
      <c r="W635">
        <f t="shared" si="146"/>
        <v>-231.59270599999999</v>
      </c>
      <c r="X635">
        <f>SUM($W$34:W635)</f>
        <v>137.50312299999948</v>
      </c>
      <c r="Y635">
        <f t="shared" si="159"/>
        <v>137.50312299999948</v>
      </c>
    </row>
    <row r="636" spans="1:25">
      <c r="A636">
        <v>130.04397750000001</v>
      </c>
      <c r="B636" s="2">
        <f t="shared" si="144"/>
        <v>-8.3898359794197398E-3</v>
      </c>
      <c r="C636">
        <v>109.06756729999999</v>
      </c>
      <c r="D636" s="3">
        <f t="shared" si="145"/>
        <v>1.0025297433548649E-2</v>
      </c>
      <c r="E636" s="3">
        <f t="shared" si="147"/>
        <v>1.1937512959867965E-2</v>
      </c>
      <c r="F636" s="3">
        <f>STDEV($E$32:E636)</f>
        <v>1.3078345696616339E-2</v>
      </c>
      <c r="G636" s="14">
        <f t="shared" si="150"/>
        <v>0.9127693392411601</v>
      </c>
      <c r="H636" s="15">
        <f>yint($B$3:B636,$D$3:D636)</f>
        <v>1.0842082839618713E-4</v>
      </c>
      <c r="I636" s="16">
        <f>MyReg($B$3:B636,$D$3:D636)</f>
        <v>0.24084336805536158</v>
      </c>
      <c r="J636" s="17">
        <f>STDEV($D$3:D636)</f>
        <v>1.3343135025394757E-2</v>
      </c>
      <c r="K636" s="4">
        <f t="shared" si="148"/>
        <v>-1.9122155263193161E-3</v>
      </c>
      <c r="L636">
        <f t="shared" si="151"/>
        <v>0.9127693392411601</v>
      </c>
      <c r="M636">
        <f>RSQ($D$3:D636,$B$3:B636)</f>
        <v>4.7633004261545549E-2</v>
      </c>
      <c r="N636">
        <v>604</v>
      </c>
      <c r="O636" t="str">
        <f t="shared" si="149"/>
        <v/>
      </c>
      <c r="P636" t="str">
        <f t="shared" si="153"/>
        <v/>
      </c>
      <c r="Q636">
        <f t="shared" si="154"/>
        <v>0</v>
      </c>
      <c r="R636">
        <f t="shared" si="155"/>
        <v>0</v>
      </c>
      <c r="S636">
        <f t="shared" si="156"/>
        <v>0</v>
      </c>
      <c r="T636">
        <f t="shared" si="157"/>
        <v>0</v>
      </c>
      <c r="U636">
        <f t="shared" si="152"/>
        <v>0</v>
      </c>
      <c r="V636">
        <f t="shared" si="158"/>
        <v>0</v>
      </c>
      <c r="W636">
        <f t="shared" si="146"/>
        <v>0</v>
      </c>
      <c r="X636">
        <f>SUM($W$34:W636)</f>
        <v>137.50312299999948</v>
      </c>
      <c r="Y636">
        <f t="shared" si="159"/>
        <v>0</v>
      </c>
    </row>
    <row r="637" spans="1:25">
      <c r="A637">
        <v>130.0227519</v>
      </c>
      <c r="B637" s="2">
        <f t="shared" si="144"/>
        <v>-1.6321863117427462E-4</v>
      </c>
      <c r="C637">
        <v>110.4017436</v>
      </c>
      <c r="D637" s="3">
        <f t="shared" si="145"/>
        <v>1.2232566775146272E-2</v>
      </c>
      <c r="E637" s="3">
        <f t="shared" si="147"/>
        <v>1.2144245556026875E-2</v>
      </c>
      <c r="F637" s="3">
        <f>STDEV($E$32:E637)</f>
        <v>1.3076890720443567E-2</v>
      </c>
      <c r="G637" s="14">
        <f t="shared" si="150"/>
        <v>0.92867989919357097</v>
      </c>
      <c r="H637" s="15">
        <f>yint($B$3:B637,$D$3:D637)</f>
        <v>1.2761740810765919E-4</v>
      </c>
      <c r="I637" s="16">
        <f>MyReg($B$3:B637,$D$3:D637)</f>
        <v>0.24075798642315888</v>
      </c>
      <c r="J637" s="17">
        <f>STDEV($D$3:D637)</f>
        <v>1.3341119148252782E-2</v>
      </c>
      <c r="K637" s="4">
        <f t="shared" si="148"/>
        <v>8.8321219119396601E-5</v>
      </c>
      <c r="L637">
        <f t="shared" si="151"/>
        <v>0.92867989919357097</v>
      </c>
      <c r="M637">
        <f>RSQ($D$3:D637,$B$3:B637)</f>
        <v>4.7538739987259229E-2</v>
      </c>
      <c r="N637">
        <v>605</v>
      </c>
      <c r="O637" t="str">
        <f t="shared" si="149"/>
        <v/>
      </c>
      <c r="P637" t="str">
        <f t="shared" si="153"/>
        <v/>
      </c>
      <c r="Q637">
        <f t="shared" si="154"/>
        <v>0</v>
      </c>
      <c r="R637">
        <f t="shared" si="155"/>
        <v>0</v>
      </c>
      <c r="S637">
        <f t="shared" si="156"/>
        <v>0</v>
      </c>
      <c r="T637">
        <f t="shared" si="157"/>
        <v>0</v>
      </c>
      <c r="U637">
        <f t="shared" si="152"/>
        <v>0</v>
      </c>
      <c r="V637">
        <f t="shared" si="158"/>
        <v>0</v>
      </c>
      <c r="W637">
        <f t="shared" si="146"/>
        <v>0</v>
      </c>
      <c r="X637">
        <f>SUM($W$34:W637)</f>
        <v>137.50312299999948</v>
      </c>
      <c r="Y637">
        <f t="shared" si="159"/>
        <v>0</v>
      </c>
    </row>
    <row r="638" spans="1:25">
      <c r="A638">
        <v>130.6852207</v>
      </c>
      <c r="B638" s="2">
        <f t="shared" si="144"/>
        <v>5.0950221428131392E-3</v>
      </c>
      <c r="C638">
        <v>110.3472404</v>
      </c>
      <c r="D638" s="3">
        <f t="shared" si="145"/>
        <v>-4.936806088631303E-4</v>
      </c>
      <c r="E638" s="3">
        <f t="shared" si="147"/>
        <v>-1.8446370074937022E-3</v>
      </c>
      <c r="F638" s="3">
        <f>STDEV($E$32:E638)</f>
        <v>1.3066308472207784E-2</v>
      </c>
      <c r="G638" s="14">
        <f t="shared" si="150"/>
        <v>-0.14117506956285858</v>
      </c>
      <c r="H638" s="15">
        <f>yint($B$3:B638,$D$3:D638)</f>
        <v>1.247571492932334E-4</v>
      </c>
      <c r="I638" s="16">
        <f>MyReg($B$3:B638,$D$3:D638)</f>
        <v>0.24066612763733961</v>
      </c>
      <c r="J638" s="17">
        <f>STDEV($D$3:D638)</f>
        <v>1.3330642346322096E-2</v>
      </c>
      <c r="K638" s="4">
        <f t="shared" si="148"/>
        <v>1.3509563986305719E-3</v>
      </c>
      <c r="L638">
        <f t="shared" si="151"/>
        <v>-0.14117506956285858</v>
      </c>
      <c r="M638">
        <f>RSQ($D$3:D638,$B$3:B638)</f>
        <v>4.7513126434085964E-2</v>
      </c>
      <c r="N638">
        <v>606</v>
      </c>
      <c r="O638" t="str">
        <f t="shared" si="149"/>
        <v/>
      </c>
      <c r="P638" t="str">
        <f t="shared" si="153"/>
        <v/>
      </c>
      <c r="Q638">
        <f t="shared" si="154"/>
        <v>0</v>
      </c>
      <c r="R638">
        <f t="shared" si="155"/>
        <v>0</v>
      </c>
      <c r="S638">
        <f t="shared" si="156"/>
        <v>0</v>
      </c>
      <c r="T638">
        <f t="shared" si="157"/>
        <v>0</v>
      </c>
      <c r="U638">
        <f t="shared" si="152"/>
        <v>0</v>
      </c>
      <c r="V638">
        <f t="shared" si="158"/>
        <v>0</v>
      </c>
      <c r="W638">
        <f t="shared" si="146"/>
        <v>0</v>
      </c>
      <c r="X638">
        <f>SUM($W$34:W638)</f>
        <v>137.50312299999948</v>
      </c>
      <c r="Y638">
        <f t="shared" si="159"/>
        <v>0</v>
      </c>
    </row>
    <row r="639" spans="1:25">
      <c r="A639">
        <v>127.71338489999999</v>
      </c>
      <c r="B639" s="2">
        <f t="shared" si="144"/>
        <v>-2.2740412298205715E-2</v>
      </c>
      <c r="C639">
        <v>108.78664620000001</v>
      </c>
      <c r="D639" s="3">
        <f t="shared" si="145"/>
        <v>-1.4142575694172021E-2</v>
      </c>
      <c r="E639" s="3">
        <f t="shared" si="147"/>
        <v>-8.7298503027163684E-3</v>
      </c>
      <c r="F639" s="3">
        <f>STDEV($E$32:E639)</f>
        <v>1.3060324067970242E-2</v>
      </c>
      <c r="G639" s="14">
        <f t="shared" si="150"/>
        <v>-0.66842524406617654</v>
      </c>
      <c r="H639" s="15">
        <f>yint($B$3:B639,$D$3:D639)</f>
        <v>1.0994928582444843E-4</v>
      </c>
      <c r="I639" s="16">
        <f>MyReg($B$3:B639,$D$3:D639)</f>
        <v>0.24285728002019805</v>
      </c>
      <c r="J639" s="17">
        <f>STDEV($D$3:D639)</f>
        <v>1.3332348365685262E-2</v>
      </c>
      <c r="K639" s="4">
        <f t="shared" si="148"/>
        <v>-5.4127253914556528E-3</v>
      </c>
      <c r="L639">
        <f t="shared" si="151"/>
        <v>-0.66842524406617654</v>
      </c>
      <c r="M639">
        <f>RSQ($D$3:D639,$B$3:B639)</f>
        <v>4.85749901389331E-2</v>
      </c>
      <c r="N639">
        <v>607</v>
      </c>
      <c r="O639" t="str">
        <f t="shared" si="149"/>
        <v/>
      </c>
      <c r="P639" t="str">
        <f t="shared" si="153"/>
        <v/>
      </c>
      <c r="Q639">
        <f t="shared" si="154"/>
        <v>0</v>
      </c>
      <c r="R639">
        <f t="shared" si="155"/>
        <v>0</v>
      </c>
      <c r="S639">
        <f t="shared" si="156"/>
        <v>0</v>
      </c>
      <c r="T639">
        <f t="shared" si="157"/>
        <v>0</v>
      </c>
      <c r="U639">
        <f t="shared" si="152"/>
        <v>0</v>
      </c>
      <c r="V639">
        <f t="shared" si="158"/>
        <v>0</v>
      </c>
      <c r="W639">
        <f t="shared" si="146"/>
        <v>0</v>
      </c>
      <c r="X639">
        <f>SUM($W$34:W639)</f>
        <v>137.50312299999948</v>
      </c>
      <c r="Y639">
        <f t="shared" si="159"/>
        <v>0</v>
      </c>
    </row>
    <row r="640" spans="1:25">
      <c r="A640">
        <v>127.7237216</v>
      </c>
      <c r="B640" s="2">
        <f t="shared" si="144"/>
        <v>8.0936700629336502E-5</v>
      </c>
      <c r="C640">
        <v>108.9728564</v>
      </c>
      <c r="D640" s="3">
        <f t="shared" si="145"/>
        <v>1.7117008980831211E-3</v>
      </c>
      <c r="E640" s="3">
        <f t="shared" si="147"/>
        <v>1.5796133737641911E-3</v>
      </c>
      <c r="F640" s="3">
        <f>STDEV($E$32:E640)</f>
        <v>1.3049742131757117E-2</v>
      </c>
      <c r="G640" s="14">
        <f t="shared" si="150"/>
        <v>0.12104556226594954</v>
      </c>
      <c r="H640" s="15">
        <f>yint($B$3:B640,$D$3:D640)</f>
        <v>1.1243197399331983E-4</v>
      </c>
      <c r="I640" s="16">
        <f>MyReg($B$3:B640,$D$3:D640)</f>
        <v>0.24285089672268839</v>
      </c>
      <c r="J640" s="17">
        <f>STDEV($D$3:D640)</f>
        <v>1.3322010033425986E-2</v>
      </c>
      <c r="K640" s="4">
        <f t="shared" si="148"/>
        <v>1.3208752431892999E-4</v>
      </c>
      <c r="L640">
        <f t="shared" si="151"/>
        <v>0.12104556226594954</v>
      </c>
      <c r="M640">
        <f>RSQ($D$3:D640,$B$3:B640)</f>
        <v>4.8571557118000694E-2</v>
      </c>
      <c r="N640">
        <v>608</v>
      </c>
      <c r="O640" t="str">
        <f t="shared" si="149"/>
        <v/>
      </c>
      <c r="P640" t="str">
        <f t="shared" si="153"/>
        <v/>
      </c>
      <c r="Q640">
        <f t="shared" si="154"/>
        <v>0</v>
      </c>
      <c r="R640">
        <f t="shared" si="155"/>
        <v>0</v>
      </c>
      <c r="S640">
        <f t="shared" si="156"/>
        <v>0</v>
      </c>
      <c r="T640">
        <f t="shared" si="157"/>
        <v>0</v>
      </c>
      <c r="U640">
        <f t="shared" si="152"/>
        <v>0</v>
      </c>
      <c r="V640">
        <f t="shared" si="158"/>
        <v>0</v>
      </c>
      <c r="W640">
        <f t="shared" si="146"/>
        <v>0</v>
      </c>
      <c r="X640">
        <f>SUM($W$34:W640)</f>
        <v>137.50312299999948</v>
      </c>
      <c r="Y640">
        <f t="shared" si="159"/>
        <v>0</v>
      </c>
    </row>
    <row r="641" spans="1:25">
      <c r="A641">
        <v>129.35144600000001</v>
      </c>
      <c r="B641" s="2">
        <f t="shared" si="144"/>
        <v>1.274410406782263E-2</v>
      </c>
      <c r="C641">
        <v>109.4431482</v>
      </c>
      <c r="D641" s="3">
        <f t="shared" si="145"/>
        <v>4.3156783765833113E-3</v>
      </c>
      <c r="E641" s="3">
        <f t="shared" si="147"/>
        <v>1.1048060675813705E-3</v>
      </c>
      <c r="F641" s="3">
        <f>STDEV($E$32:E641)</f>
        <v>1.3039104147714224E-2</v>
      </c>
      <c r="G641" s="14">
        <f t="shared" si="150"/>
        <v>8.4730212679146738E-2</v>
      </c>
      <c r="H641" s="15">
        <f>yint($B$3:B641,$D$3:D641)</f>
        <v>1.1409707162057274E-4</v>
      </c>
      <c r="I641" s="16">
        <f>MyReg($B$3:B641,$D$3:D641)</f>
        <v>0.24299670034870186</v>
      </c>
      <c r="J641" s="17">
        <f>STDEV($D$3:D641)</f>
        <v>1.3312549893243396E-2</v>
      </c>
      <c r="K641" s="4">
        <f t="shared" si="148"/>
        <v>3.2108723090019408E-3</v>
      </c>
      <c r="L641">
        <f t="shared" si="151"/>
        <v>8.4730212679146738E-2</v>
      </c>
      <c r="M641">
        <f>RSQ($D$3:D641,$B$3:B641)</f>
        <v>4.8701429707059284E-2</v>
      </c>
      <c r="N641">
        <v>609</v>
      </c>
      <c r="O641" t="str">
        <f t="shared" si="149"/>
        <v/>
      </c>
      <c r="P641" t="str">
        <f t="shared" si="153"/>
        <v/>
      </c>
      <c r="Q641">
        <f t="shared" si="154"/>
        <v>0</v>
      </c>
      <c r="R641">
        <f t="shared" si="155"/>
        <v>0</v>
      </c>
      <c r="S641">
        <f t="shared" si="156"/>
        <v>0</v>
      </c>
      <c r="T641">
        <f t="shared" si="157"/>
        <v>0</v>
      </c>
      <c r="U641">
        <f t="shared" si="152"/>
        <v>0</v>
      </c>
      <c r="V641">
        <f t="shared" si="158"/>
        <v>0</v>
      </c>
      <c r="W641">
        <f t="shared" si="146"/>
        <v>0</v>
      </c>
      <c r="X641">
        <f>SUM($W$34:W641)</f>
        <v>137.50312299999948</v>
      </c>
      <c r="Y641">
        <f t="shared" si="159"/>
        <v>0</v>
      </c>
    </row>
    <row r="642" spans="1:25">
      <c r="A642">
        <v>130.71876040000001</v>
      </c>
      <c r="B642" s="2">
        <f t="shared" si="144"/>
        <v>1.0570538190968487E-2</v>
      </c>
      <c r="C642">
        <v>109.72497250000001</v>
      </c>
      <c r="D642" s="3">
        <f t="shared" si="145"/>
        <v>2.5750748643030255E-3</v>
      </c>
      <c r="E642" s="3">
        <f t="shared" si="147"/>
        <v>-1.0734282869752452E-4</v>
      </c>
      <c r="F642" s="3">
        <f>STDEV($E$32:E642)</f>
        <v>1.3028412400484909E-2</v>
      </c>
      <c r="G642" s="14">
        <f t="shared" si="150"/>
        <v>-8.2391334721281378E-3</v>
      </c>
      <c r="H642" s="15">
        <f>yint($B$3:B642,$D$3:D642)</f>
        <v>1.139346147647654E-4</v>
      </c>
      <c r="I642" s="16">
        <f>MyReg($B$3:B642,$D$3:D642)</f>
        <v>0.24298508097064608</v>
      </c>
      <c r="J642" s="17">
        <f>STDEV($D$3:D642)</f>
        <v>1.3302452166842681E-2</v>
      </c>
      <c r="K642" s="4">
        <f t="shared" si="148"/>
        <v>2.68241769300055E-3</v>
      </c>
      <c r="L642">
        <f t="shared" si="151"/>
        <v>-8.2391334721281378E-3</v>
      </c>
      <c r="M642">
        <f>RSQ($D$3:D642,$B$3:B642)</f>
        <v>4.874753266636285E-2</v>
      </c>
      <c r="N642">
        <v>610</v>
      </c>
      <c r="O642" t="str">
        <f t="shared" si="149"/>
        <v/>
      </c>
      <c r="P642" t="str">
        <f t="shared" si="153"/>
        <v/>
      </c>
      <c r="Q642">
        <f t="shared" si="154"/>
        <v>0</v>
      </c>
      <c r="R642">
        <f t="shared" si="155"/>
        <v>0</v>
      </c>
      <c r="S642">
        <f t="shared" si="156"/>
        <v>0</v>
      </c>
      <c r="T642">
        <f t="shared" si="157"/>
        <v>0</v>
      </c>
      <c r="U642">
        <f t="shared" si="152"/>
        <v>0</v>
      </c>
      <c r="V642">
        <f t="shared" si="158"/>
        <v>0</v>
      </c>
      <c r="W642">
        <f t="shared" si="146"/>
        <v>0</v>
      </c>
      <c r="X642">
        <f>SUM($W$34:W642)</f>
        <v>137.50312299999948</v>
      </c>
      <c r="Y642">
        <f t="shared" si="159"/>
        <v>0</v>
      </c>
    </row>
    <row r="643" spans="1:25">
      <c r="A643">
        <v>131.51259780000001</v>
      </c>
      <c r="B643" s="2">
        <f t="shared" si="144"/>
        <v>6.0728651156946025E-3</v>
      </c>
      <c r="C643">
        <v>110.4218024</v>
      </c>
      <c r="D643" s="3">
        <f t="shared" si="145"/>
        <v>6.3506955993996471E-3</v>
      </c>
      <c r="E643" s="3">
        <f t="shared" si="147"/>
        <v>4.7521345415858585E-3</v>
      </c>
      <c r="F643" s="3">
        <f>STDEV($E$32:E643)</f>
        <v>1.301917867590187E-2</v>
      </c>
      <c r="G643" s="14">
        <f t="shared" si="150"/>
        <v>0.36501031746203194</v>
      </c>
      <c r="H643" s="15">
        <f>yint($B$3:B643,$D$3:D643)</f>
        <v>1.2122016434974908E-4</v>
      </c>
      <c r="I643" s="16">
        <f>MyReg($B$3:B643,$D$3:D643)</f>
        <v>0.24326917613335863</v>
      </c>
      <c r="J643" s="17">
        <f>STDEV($D$3:D643)</f>
        <v>1.3294251424763601E-2</v>
      </c>
      <c r="K643" s="4">
        <f t="shared" si="148"/>
        <v>1.5985610578137888E-3</v>
      </c>
      <c r="L643">
        <f t="shared" si="151"/>
        <v>0.36501031746203194</v>
      </c>
      <c r="M643">
        <f>RSQ($D$3:D643,$B$3:B643)</f>
        <v>4.8861721850207845E-2</v>
      </c>
      <c r="N643">
        <v>611</v>
      </c>
      <c r="O643" t="str">
        <f t="shared" si="149"/>
        <v/>
      </c>
      <c r="P643" t="str">
        <f t="shared" si="153"/>
        <v/>
      </c>
      <c r="Q643">
        <f t="shared" si="154"/>
        <v>0</v>
      </c>
      <c r="R643">
        <f t="shared" si="155"/>
        <v>0</v>
      </c>
      <c r="S643">
        <f t="shared" si="156"/>
        <v>0</v>
      </c>
      <c r="T643">
        <f t="shared" si="157"/>
        <v>0</v>
      </c>
      <c r="U643">
        <f t="shared" si="152"/>
        <v>0</v>
      </c>
      <c r="V643">
        <f t="shared" si="158"/>
        <v>0</v>
      </c>
      <c r="W643">
        <f t="shared" si="146"/>
        <v>0</v>
      </c>
      <c r="X643">
        <f>SUM($W$34:W643)</f>
        <v>137.50312299999948</v>
      </c>
      <c r="Y643">
        <f t="shared" si="159"/>
        <v>0</v>
      </c>
    </row>
    <row r="644" spans="1:25">
      <c r="A644">
        <v>131.88353960000001</v>
      </c>
      <c r="B644" s="2">
        <f t="shared" ref="B644:B707" si="160">(A644-A643)/A643</f>
        <v>2.8205799764073787E-3</v>
      </c>
      <c r="C644">
        <v>109.4039547</v>
      </c>
      <c r="D644" s="3">
        <f t="shared" ref="D644:D707" si="161">(C644-C643)/C643</f>
        <v>-9.2178145789803215E-3</v>
      </c>
      <c r="E644" s="3">
        <f t="shared" si="147"/>
        <v>-1.0009003252035239E-2</v>
      </c>
      <c r="F644" s="3">
        <f>STDEV($E$32:E644)</f>
        <v>1.3014796118723426E-2</v>
      </c>
      <c r="G644" s="14">
        <f t="shared" si="150"/>
        <v>-0.76904802508861625</v>
      </c>
      <c r="H644" s="15">
        <f>yint($B$3:B644,$D$3:D644)</f>
        <v>1.0572990687556584E-4</v>
      </c>
      <c r="I644" s="16">
        <f>MyReg($B$3:B644,$D$3:D644)</f>
        <v>0.24302050355346871</v>
      </c>
      <c r="J644" s="17">
        <f>STDEV($D$3:D644)</f>
        <v>1.3289124009403427E-2</v>
      </c>
      <c r="K644" s="4">
        <f t="shared" si="148"/>
        <v>7.9118867305491797E-4</v>
      </c>
      <c r="L644">
        <f t="shared" si="151"/>
        <v>-0.76904802508861625</v>
      </c>
      <c r="M644">
        <f>RSQ($D$3:D644,$B$3:B644)</f>
        <v>4.8726188343132616E-2</v>
      </c>
      <c r="N644">
        <v>612</v>
      </c>
      <c r="O644" t="str">
        <f t="shared" si="149"/>
        <v/>
      </c>
      <c r="P644" t="str">
        <f t="shared" si="153"/>
        <v/>
      </c>
      <c r="Q644">
        <f t="shared" si="154"/>
        <v>0</v>
      </c>
      <c r="R644">
        <f t="shared" si="155"/>
        <v>0</v>
      </c>
      <c r="S644">
        <f t="shared" si="156"/>
        <v>0</v>
      </c>
      <c r="T644">
        <f t="shared" si="157"/>
        <v>0</v>
      </c>
      <c r="U644">
        <f t="shared" si="152"/>
        <v>0</v>
      </c>
      <c r="V644">
        <f t="shared" si="158"/>
        <v>0</v>
      </c>
      <c r="W644">
        <f t="shared" si="146"/>
        <v>0</v>
      </c>
      <c r="X644">
        <f>SUM($W$34:W644)</f>
        <v>137.50312299999948</v>
      </c>
      <c r="Y644">
        <f t="shared" si="159"/>
        <v>0</v>
      </c>
    </row>
    <row r="645" spans="1:25">
      <c r="A645">
        <v>129.6832819</v>
      </c>
      <c r="B645" s="2">
        <f t="shared" si="160"/>
        <v>-1.6683338244282371E-2</v>
      </c>
      <c r="C645">
        <v>107.3382569</v>
      </c>
      <c r="D645" s="3">
        <f t="shared" si="161"/>
        <v>-1.888138144242052E-2</v>
      </c>
      <c r="E645" s="3">
        <f t="shared" si="147"/>
        <v>-1.4862558858013275E-2</v>
      </c>
      <c r="F645" s="3">
        <f>STDEV($E$32:E645)</f>
        <v>1.3017939168439971E-2</v>
      </c>
      <c r="G645" s="14">
        <f t="shared" si="150"/>
        <v>-1.1416982877017359</v>
      </c>
      <c r="H645" s="15">
        <f>yint($B$3:B645,$D$3:D645)</f>
        <v>8.1201235094227679E-5</v>
      </c>
      <c r="I645" s="16">
        <f>MyReg($B$3:B645,$D$3:D645)</f>
        <v>0.24575560115533901</v>
      </c>
      <c r="J645" s="17">
        <f>STDEV($D$3:D645)</f>
        <v>1.3300137700625134E-2</v>
      </c>
      <c r="K645" s="4">
        <f t="shared" si="148"/>
        <v>-4.0188225844072448E-3</v>
      </c>
      <c r="L645">
        <f t="shared" si="151"/>
        <v>-1.1416982877017359</v>
      </c>
      <c r="M645">
        <f>RSQ($D$3:D645,$B$3:B645)</f>
        <v>4.9826023128133709E-2</v>
      </c>
      <c r="N645">
        <v>613</v>
      </c>
      <c r="O645" t="str">
        <f t="shared" si="149"/>
        <v/>
      </c>
      <c r="P645" t="str">
        <f t="shared" si="153"/>
        <v/>
      </c>
      <c r="Q645">
        <f t="shared" si="154"/>
        <v>0</v>
      </c>
      <c r="R645">
        <f t="shared" si="155"/>
        <v>0</v>
      </c>
      <c r="S645">
        <f t="shared" si="156"/>
        <v>0</v>
      </c>
      <c r="T645">
        <f t="shared" si="157"/>
        <v>0</v>
      </c>
      <c r="U645">
        <f t="shared" si="152"/>
        <v>0</v>
      </c>
      <c r="V645">
        <f t="shared" si="158"/>
        <v>0</v>
      </c>
      <c r="W645">
        <f t="shared" si="146"/>
        <v>0</v>
      </c>
      <c r="X645">
        <f>SUM($W$34:W645)</f>
        <v>137.50312299999948</v>
      </c>
      <c r="Y645">
        <f t="shared" si="159"/>
        <v>0</v>
      </c>
    </row>
    <row r="646" spans="1:25">
      <c r="A646">
        <v>128.71650210000001</v>
      </c>
      <c r="B646" s="2">
        <f t="shared" si="160"/>
        <v>-7.4549300868671448E-3</v>
      </c>
      <c r="C646">
        <v>106.07855000000001</v>
      </c>
      <c r="D646" s="3">
        <f t="shared" si="161"/>
        <v>-1.1735861345070878E-2</v>
      </c>
      <c r="E646" s="3">
        <f t="shared" si="147"/>
        <v>-9.9627869664538401E-3</v>
      </c>
      <c r="F646" s="3">
        <f>STDEV($E$32:E646)</f>
        <v>1.3013464794417139E-2</v>
      </c>
      <c r="G646" s="14">
        <f t="shared" si="150"/>
        <v>-0.76557528097574301</v>
      </c>
      <c r="H646" s="15">
        <f>yint($B$3:B646,$D$3:D646)</f>
        <v>6.5304511071611961E-5</v>
      </c>
      <c r="I646" s="16">
        <f>MyReg($B$3:B646,$D$3:D646)</f>
        <v>0.24659907849802654</v>
      </c>
      <c r="J646" s="17">
        <f>STDEV($D$3:D646)</f>
        <v>1.329810956835979E-2</v>
      </c>
      <c r="K646" s="4">
        <f t="shared" si="148"/>
        <v>-1.7730743786170389E-3</v>
      </c>
      <c r="L646">
        <f t="shared" si="151"/>
        <v>-0.76557528097574301</v>
      </c>
      <c r="M646">
        <f>RSQ($D$3:D646,$B$3:B646)</f>
        <v>5.0139487743107482E-2</v>
      </c>
      <c r="N646">
        <v>614</v>
      </c>
      <c r="O646" t="str">
        <f t="shared" si="149"/>
        <v/>
      </c>
      <c r="P646" t="str">
        <f t="shared" si="153"/>
        <v/>
      </c>
      <c r="Q646">
        <f t="shared" si="154"/>
        <v>0</v>
      </c>
      <c r="R646">
        <f t="shared" si="155"/>
        <v>0</v>
      </c>
      <c r="S646">
        <f t="shared" si="156"/>
        <v>0</v>
      </c>
      <c r="T646">
        <f t="shared" si="157"/>
        <v>0</v>
      </c>
      <c r="U646">
        <f t="shared" si="152"/>
        <v>0</v>
      </c>
      <c r="V646">
        <f t="shared" si="158"/>
        <v>0</v>
      </c>
      <c r="W646">
        <f t="shared" si="146"/>
        <v>0</v>
      </c>
      <c r="X646">
        <f>SUM($W$34:W646)</f>
        <v>137.50312299999948</v>
      </c>
      <c r="Y646">
        <f t="shared" si="159"/>
        <v>0</v>
      </c>
    </row>
    <row r="647" spans="1:25">
      <c r="A647">
        <v>132.21979769999999</v>
      </c>
      <c r="B647" s="2">
        <f t="shared" si="160"/>
        <v>2.7217144211068276E-2</v>
      </c>
      <c r="C647">
        <v>108.7076094</v>
      </c>
      <c r="D647" s="3">
        <f t="shared" si="161"/>
        <v>2.4784081230371156E-2</v>
      </c>
      <c r="E647" s="3">
        <f t="shared" si="147"/>
        <v>1.7843138615818203E-2</v>
      </c>
      <c r="F647" s="3">
        <f>STDEV($E$32:E647)</f>
        <v>1.3022904053980518E-2</v>
      </c>
      <c r="G647" s="14">
        <f t="shared" si="150"/>
        <v>1.3701351512579374</v>
      </c>
      <c r="H647" s="15">
        <f>yint($B$3:B647,$D$3:D647)</f>
        <v>9.0644358062998164E-5</v>
      </c>
      <c r="I647" s="16">
        <f>MyReg($B$3:B647,$D$3:D647)</f>
        <v>0.25169055957399727</v>
      </c>
      <c r="J647" s="17">
        <f>STDEV($D$3:D647)</f>
        <v>1.3323050349060459E-2</v>
      </c>
      <c r="K647" s="4">
        <f t="shared" si="148"/>
        <v>6.9409426145529531E-3</v>
      </c>
      <c r="L647">
        <f t="shared" si="151"/>
        <v>1.3701351512579374</v>
      </c>
      <c r="M647">
        <f>RSQ($D$3:D647,$B$3:B647)</f>
        <v>5.2351122591814535E-2</v>
      </c>
      <c r="N647">
        <v>615</v>
      </c>
      <c r="O647" t="str">
        <f t="shared" si="149"/>
        <v/>
      </c>
      <c r="P647" t="str">
        <f t="shared" si="153"/>
        <v/>
      </c>
      <c r="Q647">
        <f t="shared" si="154"/>
        <v>0</v>
      </c>
      <c r="R647">
        <f t="shared" si="155"/>
        <v>0</v>
      </c>
      <c r="S647">
        <f t="shared" si="156"/>
        <v>0</v>
      </c>
      <c r="T647">
        <f t="shared" si="157"/>
        <v>0</v>
      </c>
      <c r="U647">
        <f t="shared" si="152"/>
        <v>0</v>
      </c>
      <c r="V647">
        <f t="shared" si="158"/>
        <v>0</v>
      </c>
      <c r="W647">
        <f t="shared" si="146"/>
        <v>0</v>
      </c>
      <c r="X647">
        <f>SUM($W$34:W647)</f>
        <v>137.50312299999948</v>
      </c>
      <c r="Y647">
        <f t="shared" si="159"/>
        <v>0</v>
      </c>
    </row>
    <row r="648" spans="1:25">
      <c r="A648">
        <v>133.92112589999999</v>
      </c>
      <c r="B648" s="2">
        <f t="shared" si="160"/>
        <v>1.2867424013612799E-2</v>
      </c>
      <c r="C648">
        <v>108.979479</v>
      </c>
      <c r="D648" s="3">
        <f t="shared" si="161"/>
        <v>2.5009252020218031E-3</v>
      </c>
      <c r="E648" s="3">
        <f t="shared" si="147"/>
        <v>-8.2571259437555196E-4</v>
      </c>
      <c r="F648" s="3">
        <f>STDEV($E$32:E648)</f>
        <v>1.3012367209127532E-2</v>
      </c>
      <c r="G648" s="14">
        <f t="shared" si="150"/>
        <v>-6.3455986224885769E-2</v>
      </c>
      <c r="H648" s="15">
        <f>yint($B$3:B648,$D$3:D648)</f>
        <v>8.9418891359515512E-5</v>
      </c>
      <c r="I648" s="16">
        <f>MyReg($B$3:B648,$D$3:D648)</f>
        <v>0.25158251578661722</v>
      </c>
      <c r="J648" s="17">
        <f>STDEV($D$3:D648)</f>
        <v>1.3313021378169537E-2</v>
      </c>
      <c r="K648" s="4">
        <f t="shared" si="148"/>
        <v>3.3266377963973551E-3</v>
      </c>
      <c r="L648">
        <f t="shared" si="151"/>
        <v>-6.3455986224885769E-2</v>
      </c>
      <c r="M648">
        <f>RSQ($D$3:D648,$B$3:B648)</f>
        <v>5.2388272802119377E-2</v>
      </c>
      <c r="N648">
        <v>616</v>
      </c>
      <c r="O648" t="str">
        <f t="shared" si="149"/>
        <v/>
      </c>
      <c r="P648" t="str">
        <f t="shared" si="153"/>
        <v/>
      </c>
      <c r="Q648">
        <f t="shared" si="154"/>
        <v>0</v>
      </c>
      <c r="R648">
        <f t="shared" si="155"/>
        <v>0</v>
      </c>
      <c r="S648">
        <f t="shared" si="156"/>
        <v>0</v>
      </c>
      <c r="T648">
        <f t="shared" si="157"/>
        <v>0</v>
      </c>
      <c r="U648">
        <f t="shared" si="152"/>
        <v>0</v>
      </c>
      <c r="V648">
        <f t="shared" si="158"/>
        <v>0</v>
      </c>
      <c r="W648">
        <f t="shared" si="146"/>
        <v>0</v>
      </c>
      <c r="X648">
        <f>SUM($W$34:W648)</f>
        <v>137.50312299999948</v>
      </c>
      <c r="Y648">
        <f t="shared" si="159"/>
        <v>0</v>
      </c>
    </row>
    <row r="649" spans="1:25">
      <c r="A649">
        <v>129.84145749999999</v>
      </c>
      <c r="B649" s="2">
        <f t="shared" si="160"/>
        <v>-3.0463217603519287E-2</v>
      </c>
      <c r="C649">
        <v>106.0877516</v>
      </c>
      <c r="D649" s="3">
        <f t="shared" si="161"/>
        <v>-2.6534604739668406E-2</v>
      </c>
      <c r="E649" s="3">
        <f t="shared" si="147"/>
        <v>-1.8740800947479874E-2</v>
      </c>
      <c r="F649" s="3">
        <f>STDEV($E$32:E649)</f>
        <v>1.302354797006295E-2</v>
      </c>
      <c r="G649" s="14">
        <f t="shared" si="150"/>
        <v>-1.4389935054993535</v>
      </c>
      <c r="H649" s="15">
        <f>yint($B$3:B649,$D$3:D649)</f>
        <v>5.7183103880717923E-5</v>
      </c>
      <c r="I649" s="16">
        <f>MyReg($B$3:B649,$D$3:D649)</f>
        <v>0.25772021190441352</v>
      </c>
      <c r="J649" s="17">
        <f>STDEV($D$3:D649)</f>
        <v>1.3344237071004102E-2</v>
      </c>
      <c r="K649" s="4">
        <f t="shared" si="148"/>
        <v>-7.7938037921885328E-3</v>
      </c>
      <c r="L649">
        <f t="shared" si="151"/>
        <v>-1.4389935054993535</v>
      </c>
      <c r="M649">
        <f>RSQ($D$3:D649,$B$3:B649)</f>
        <v>5.5187631244494141E-2</v>
      </c>
      <c r="N649">
        <v>617</v>
      </c>
      <c r="O649" t="str">
        <f t="shared" si="149"/>
        <v/>
      </c>
      <c r="P649" t="str">
        <f t="shared" si="153"/>
        <v/>
      </c>
      <c r="Q649">
        <f t="shared" si="154"/>
        <v>0</v>
      </c>
      <c r="R649">
        <f t="shared" si="155"/>
        <v>0</v>
      </c>
      <c r="S649">
        <f t="shared" si="156"/>
        <v>0</v>
      </c>
      <c r="T649">
        <f t="shared" si="157"/>
        <v>0</v>
      </c>
      <c r="U649">
        <f t="shared" si="152"/>
        <v>0</v>
      </c>
      <c r="V649">
        <f t="shared" si="158"/>
        <v>0</v>
      </c>
      <c r="W649">
        <f t="shared" si="146"/>
        <v>0</v>
      </c>
      <c r="X649">
        <f>SUM($W$34:W649)</f>
        <v>137.50312299999948</v>
      </c>
      <c r="Y649">
        <f t="shared" si="159"/>
        <v>0</v>
      </c>
    </row>
    <row r="650" spans="1:25">
      <c r="A650">
        <v>131.983339</v>
      </c>
      <c r="B650" s="2">
        <f t="shared" si="160"/>
        <v>1.6496129520111178E-2</v>
      </c>
      <c r="C650">
        <v>106.09153120000001</v>
      </c>
      <c r="D650" s="3">
        <f t="shared" si="161"/>
        <v>3.5627110038605407E-5</v>
      </c>
      <c r="E650" s="3">
        <f t="shared" si="147"/>
        <v>-4.2549427107751638E-3</v>
      </c>
      <c r="F650" s="3">
        <f>STDEV($E$32:E650)</f>
        <v>1.3014090707322925E-2</v>
      </c>
      <c r="G650" s="14">
        <f t="shared" si="150"/>
        <v>-0.32694890534157267</v>
      </c>
      <c r="H650" s="15">
        <f>yint($B$3:B650,$D$3:D650)</f>
        <v>5.0947254457266698E-5</v>
      </c>
      <c r="I650" s="16">
        <f>MyReg($B$3:B650,$D$3:D650)</f>
        <v>0.25700710952758871</v>
      </c>
      <c r="J650" s="17">
        <f>STDEV($D$3:D650)</f>
        <v>1.3333921900454196E-2</v>
      </c>
      <c r="K650" s="4">
        <f t="shared" si="148"/>
        <v>4.2905698208137695E-3</v>
      </c>
      <c r="L650">
        <f t="shared" si="151"/>
        <v>-0.32694890534157267</v>
      </c>
      <c r="M650">
        <f>RSQ($D$3:D650,$B$3:B650)</f>
        <v>5.5029750583860608E-2</v>
      </c>
      <c r="N650">
        <v>618</v>
      </c>
      <c r="O650" t="str">
        <f t="shared" si="149"/>
        <v/>
      </c>
      <c r="P650" t="str">
        <f t="shared" si="153"/>
        <v/>
      </c>
      <c r="Q650">
        <f t="shared" si="154"/>
        <v>0</v>
      </c>
      <c r="R650">
        <f t="shared" si="155"/>
        <v>0</v>
      </c>
      <c r="S650">
        <f t="shared" si="156"/>
        <v>0</v>
      </c>
      <c r="T650">
        <f t="shared" si="157"/>
        <v>0</v>
      </c>
      <c r="U650">
        <f t="shared" si="152"/>
        <v>0</v>
      </c>
      <c r="V650">
        <f t="shared" si="158"/>
        <v>0</v>
      </c>
      <c r="W650">
        <f t="shared" si="146"/>
        <v>0</v>
      </c>
      <c r="X650">
        <f>SUM($W$34:W650)</f>
        <v>137.50312299999948</v>
      </c>
      <c r="Y650">
        <f t="shared" si="159"/>
        <v>0</v>
      </c>
    </row>
    <row r="651" spans="1:25">
      <c r="A651">
        <v>132.6173728</v>
      </c>
      <c r="B651" s="2">
        <f t="shared" si="160"/>
        <v>4.8038927095184142E-3</v>
      </c>
      <c r="C651">
        <v>104.7360486</v>
      </c>
      <c r="D651" s="3">
        <f t="shared" si="161"/>
        <v>-1.2776539132465663E-2</v>
      </c>
      <c r="E651" s="3">
        <f t="shared" si="147"/>
        <v>-1.4037747415670831E-2</v>
      </c>
      <c r="F651" s="3">
        <f>STDEV($E$32:E651)</f>
        <v>1.3015645730714856E-2</v>
      </c>
      <c r="G651" s="14">
        <f t="shared" si="150"/>
        <v>-1.0785286958559404</v>
      </c>
      <c r="H651" s="15">
        <f>yint($B$3:B651,$D$3:D651)</f>
        <v>2.9600560164097143E-5</v>
      </c>
      <c r="I651" s="16">
        <f>MyReg($B$3:B651,$D$3:D651)</f>
        <v>0.25637702536544316</v>
      </c>
      <c r="J651" s="17">
        <f>STDEV($D$3:D651)</f>
        <v>1.3333332845560885E-2</v>
      </c>
      <c r="K651" s="4">
        <f t="shared" si="148"/>
        <v>1.261208283205167E-3</v>
      </c>
      <c r="L651">
        <f t="shared" si="151"/>
        <v>-1.0785286958559404</v>
      </c>
      <c r="M651">
        <f>RSQ($D$3:D651,$B$3:B651)</f>
        <v>5.4691122958566055E-2</v>
      </c>
      <c r="N651">
        <v>619</v>
      </c>
      <c r="O651" t="str">
        <f t="shared" si="149"/>
        <v/>
      </c>
      <c r="P651" t="str">
        <f t="shared" si="153"/>
        <v/>
      </c>
      <c r="Q651">
        <f t="shared" si="154"/>
        <v>0</v>
      </c>
      <c r="R651">
        <f t="shared" si="155"/>
        <v>0</v>
      </c>
      <c r="S651">
        <f t="shared" si="156"/>
        <v>0</v>
      </c>
      <c r="T651">
        <f t="shared" si="157"/>
        <v>0</v>
      </c>
      <c r="U651">
        <f t="shared" si="152"/>
        <v>0</v>
      </c>
      <c r="V651">
        <f t="shared" si="158"/>
        <v>0</v>
      </c>
      <c r="W651">
        <f t="shared" si="146"/>
        <v>0</v>
      </c>
      <c r="X651">
        <f>SUM($W$34:W651)</f>
        <v>137.50312299999948</v>
      </c>
      <c r="Y651">
        <f t="shared" si="159"/>
        <v>0</v>
      </c>
    </row>
    <row r="652" spans="1:25">
      <c r="A652">
        <v>129.83716430000001</v>
      </c>
      <c r="B652" s="2">
        <f t="shared" si="160"/>
        <v>-2.096413494929366E-2</v>
      </c>
      <c r="C652">
        <v>104.514275</v>
      </c>
      <c r="D652" s="3">
        <f t="shared" si="161"/>
        <v>-2.1174524241122259E-3</v>
      </c>
      <c r="E652" s="3">
        <f t="shared" si="147"/>
        <v>3.2072994112897577E-3</v>
      </c>
      <c r="F652" s="3">
        <f>STDEV($E$32:E652)</f>
        <v>1.3005824423117981E-2</v>
      </c>
      <c r="G652" s="14">
        <f t="shared" si="150"/>
        <v>0.24660485232975707</v>
      </c>
      <c r="H652" s="15">
        <f>yint($B$3:B652,$D$3:D652)</f>
        <v>3.4908136715252033E-5</v>
      </c>
      <c r="I652" s="16">
        <f>MyReg($B$3:B652,$D$3:D652)</f>
        <v>0.25565853230198832</v>
      </c>
      <c r="J652" s="17">
        <f>STDEV($D$3:D652)</f>
        <v>1.3323356158631477E-2</v>
      </c>
      <c r="K652" s="4">
        <f t="shared" si="148"/>
        <v>-5.3247518354019837E-3</v>
      </c>
      <c r="L652">
        <f t="shared" si="151"/>
        <v>0.24660485232975707</v>
      </c>
      <c r="M652">
        <f>RSQ($D$3:D652,$B$3:B652)</f>
        <v>5.4643762377419074E-2</v>
      </c>
      <c r="N652">
        <v>620</v>
      </c>
      <c r="O652" t="str">
        <f t="shared" si="149"/>
        <v/>
      </c>
      <c r="P652" t="str">
        <f t="shared" si="153"/>
        <v/>
      </c>
      <c r="Q652">
        <f t="shared" si="154"/>
        <v>0</v>
      </c>
      <c r="R652">
        <f t="shared" si="155"/>
        <v>0</v>
      </c>
      <c r="S652">
        <f t="shared" si="156"/>
        <v>0</v>
      </c>
      <c r="T652">
        <f t="shared" si="157"/>
        <v>0</v>
      </c>
      <c r="U652">
        <f t="shared" si="152"/>
        <v>0</v>
      </c>
      <c r="V652">
        <f t="shared" si="158"/>
        <v>0</v>
      </c>
      <c r="W652">
        <f t="shared" ref="W652:W715" si="162">IF(ABS(V652)&gt;0,V652*(C652-A652),0)</f>
        <v>0</v>
      </c>
      <c r="X652">
        <f>SUM($W$34:W652)</f>
        <v>137.50312299999948</v>
      </c>
      <c r="Y652">
        <f t="shared" si="159"/>
        <v>0</v>
      </c>
    </row>
    <row r="653" spans="1:25">
      <c r="A653">
        <v>129.87882690000001</v>
      </c>
      <c r="B653" s="2">
        <f t="shared" si="160"/>
        <v>3.2088347142063316E-4</v>
      </c>
      <c r="C653">
        <v>106.11347259999999</v>
      </c>
      <c r="D653" s="3">
        <f t="shared" si="161"/>
        <v>1.5301236123008044E-2</v>
      </c>
      <c r="E653" s="3">
        <f t="shared" si="147"/>
        <v>1.5160963047796945E-2</v>
      </c>
      <c r="F653" s="3">
        <f>STDEV($E$32:E653)</f>
        <v>1.3009747222294218E-2</v>
      </c>
      <c r="G653" s="14">
        <f t="shared" si="150"/>
        <v>1.1653541601343556</v>
      </c>
      <c r="H653" s="15">
        <f>yint($B$3:B653,$D$3:D653)</f>
        <v>5.82443078532496E-5</v>
      </c>
      <c r="I653" s="16">
        <f>MyReg($B$3:B653,$D$3:D653)</f>
        <v>0.25563413096563226</v>
      </c>
      <c r="J653" s="17">
        <f>STDEV($D$3:D653)</f>
        <v>1.3326329008709177E-2</v>
      </c>
      <c r="K653" s="4">
        <f t="shared" si="148"/>
        <v>1.4027307521109845E-4</v>
      </c>
      <c r="L653">
        <f t="shared" si="151"/>
        <v>1.1653541601343556</v>
      </c>
      <c r="M653">
        <f>RSQ($D$3:D653,$B$3:B653)</f>
        <v>5.4524959131567276E-2</v>
      </c>
      <c r="N653">
        <v>621</v>
      </c>
      <c r="O653" t="str">
        <f t="shared" si="149"/>
        <v/>
      </c>
      <c r="P653" t="str">
        <f t="shared" si="153"/>
        <v/>
      </c>
      <c r="Q653">
        <f t="shared" si="154"/>
        <v>0</v>
      </c>
      <c r="R653">
        <f t="shared" si="155"/>
        <v>0</v>
      </c>
      <c r="S653">
        <f t="shared" si="156"/>
        <v>0</v>
      </c>
      <c r="T653">
        <f t="shared" si="157"/>
        <v>0</v>
      </c>
      <c r="U653">
        <f t="shared" si="152"/>
        <v>0</v>
      </c>
      <c r="V653">
        <f t="shared" si="158"/>
        <v>0</v>
      </c>
      <c r="W653">
        <f t="shared" si="162"/>
        <v>0</v>
      </c>
      <c r="X653">
        <f>SUM($W$34:W653)</f>
        <v>137.50312299999948</v>
      </c>
      <c r="Y653">
        <f t="shared" si="159"/>
        <v>0</v>
      </c>
    </row>
    <row r="654" spans="1:25">
      <c r="A654">
        <v>128.6869366</v>
      </c>
      <c r="B654" s="2">
        <f t="shared" si="160"/>
        <v>-9.1769407566154367E-3</v>
      </c>
      <c r="C654">
        <v>108.5948336</v>
      </c>
      <c r="D654" s="3">
        <f t="shared" si="161"/>
        <v>2.3384033518096429E-2</v>
      </c>
      <c r="E654" s="3">
        <f t="shared" si="147"/>
        <v>2.5607620381186892E-2</v>
      </c>
      <c r="F654" s="3">
        <f>STDEV($E$32:E654)</f>
        <v>1.3039946482248013E-2</v>
      </c>
      <c r="G654" s="14">
        <f t="shared" si="150"/>
        <v>1.9637826287130808</v>
      </c>
      <c r="H654" s="15">
        <f>yint($B$3:B654,$D$3:D654)</f>
        <v>9.8800861831211461E-5</v>
      </c>
      <c r="I654" s="16">
        <f>MyReg($B$3:B654,$D$3:D654)</f>
        <v>0.25306774735878323</v>
      </c>
      <c r="J654" s="17">
        <f>STDEV($D$3:D654)</f>
        <v>1.3347062129661826E-2</v>
      </c>
      <c r="K654" s="4">
        <f t="shared" si="148"/>
        <v>-2.223586863090465E-3</v>
      </c>
      <c r="L654">
        <f t="shared" si="151"/>
        <v>1.9637826287130808</v>
      </c>
      <c r="M654">
        <f>RSQ($D$3:D654,$B$3:B654)</f>
        <v>5.3239334491212889E-2</v>
      </c>
      <c r="N654">
        <v>622</v>
      </c>
      <c r="O654" t="str">
        <f t="shared" si="149"/>
        <v>sellY</v>
      </c>
      <c r="P654" t="str">
        <f t="shared" si="153"/>
        <v/>
      </c>
      <c r="Q654">
        <f t="shared" si="154"/>
        <v>10</v>
      </c>
      <c r="R654">
        <f t="shared" si="155"/>
        <v>0</v>
      </c>
      <c r="S654">
        <f t="shared" si="156"/>
        <v>-10</v>
      </c>
      <c r="T654">
        <f t="shared" si="157"/>
        <v>0</v>
      </c>
      <c r="U654">
        <f t="shared" si="152"/>
        <v>20</v>
      </c>
      <c r="V654">
        <f t="shared" si="158"/>
        <v>10</v>
      </c>
      <c r="W654">
        <f t="shared" si="162"/>
        <v>-200.92102999999994</v>
      </c>
      <c r="X654">
        <f>SUM($W$34:W654)</f>
        <v>-63.417907000000469</v>
      </c>
      <c r="Y654">
        <f t="shared" si="159"/>
        <v>0</v>
      </c>
    </row>
    <row r="655" spans="1:25">
      <c r="A655">
        <v>127.93807390000001</v>
      </c>
      <c r="B655" s="2">
        <f t="shared" si="160"/>
        <v>-5.8192596683507456E-3</v>
      </c>
      <c r="C655">
        <v>106.3398408</v>
      </c>
      <c r="D655" s="3">
        <f t="shared" si="161"/>
        <v>-2.0765194118774324E-2</v>
      </c>
      <c r="E655" s="3">
        <f t="shared" si="147"/>
        <v>-1.9353726902692985E-2</v>
      </c>
      <c r="F655" s="3">
        <f>STDEV($E$32:E655)</f>
        <v>1.3052409849073398E-2</v>
      </c>
      <c r="G655" s="14">
        <f t="shared" si="150"/>
        <v>-1.482770394623099</v>
      </c>
      <c r="H655" s="15">
        <f>yint($B$3:B655,$D$3:D655)</f>
        <v>6.8536216135289051E-5</v>
      </c>
      <c r="I655" s="16">
        <f>MyReg($B$3:B655,$D$3:D655)</f>
        <v>0.25432847416415083</v>
      </c>
      <c r="J655" s="17">
        <f>STDEV($D$3:D655)</f>
        <v>1.3362070919009681E-2</v>
      </c>
      <c r="K655" s="4">
        <f t="shared" si="148"/>
        <v>-1.4114672160813386E-3</v>
      </c>
      <c r="L655">
        <f t="shared" si="151"/>
        <v>-1.482770394623099</v>
      </c>
      <c r="M655">
        <f>RSQ($D$3:D655,$B$3:B655)</f>
        <v>5.3589975982346751E-2</v>
      </c>
      <c r="N655">
        <v>623</v>
      </c>
      <c r="O655" t="str">
        <f t="shared" si="149"/>
        <v/>
      </c>
      <c r="P655" t="str">
        <f t="shared" si="153"/>
        <v>close</v>
      </c>
      <c r="Q655">
        <f t="shared" si="154"/>
        <v>0</v>
      </c>
      <c r="R655">
        <f t="shared" si="155"/>
        <v>0</v>
      </c>
      <c r="S655">
        <f t="shared" si="156"/>
        <v>0</v>
      </c>
      <c r="T655">
        <f t="shared" si="157"/>
        <v>0</v>
      </c>
      <c r="U655">
        <f t="shared" si="152"/>
        <v>0</v>
      </c>
      <c r="V655">
        <f t="shared" si="158"/>
        <v>-10</v>
      </c>
      <c r="W655">
        <f t="shared" si="162"/>
        <v>215.98233100000002</v>
      </c>
      <c r="X655">
        <f>SUM($W$34:W655)</f>
        <v>152.56442399999955</v>
      </c>
      <c r="Y655">
        <f t="shared" si="159"/>
        <v>152.56442399999955</v>
      </c>
    </row>
    <row r="656" spans="1:25">
      <c r="A656">
        <v>127.8626194</v>
      </c>
      <c r="B656" s="2">
        <f t="shared" si="160"/>
        <v>-5.8977361234141903E-4</v>
      </c>
      <c r="C656">
        <v>106.9442955</v>
      </c>
      <c r="D656" s="3">
        <f t="shared" si="161"/>
        <v>5.68417909461447E-3</v>
      </c>
      <c r="E656" s="3">
        <f t="shared" si="147"/>
        <v>5.7567585535784867E-3</v>
      </c>
      <c r="F656" s="3">
        <f>STDEV($E$32:E656)</f>
        <v>1.3044026079888058E-2</v>
      </c>
      <c r="G656" s="14">
        <f t="shared" si="150"/>
        <v>0.44133295336280792</v>
      </c>
      <c r="H656" s="15">
        <f>yint($B$3:B656,$D$3:D656)</f>
        <v>7.7380117581401492E-5</v>
      </c>
      <c r="I656" s="16">
        <f>MyReg($B$3:B656,$D$3:D656)</f>
        <v>0.25426633780727176</v>
      </c>
      <c r="J656" s="17">
        <f>STDEV($D$3:D656)</f>
        <v>1.3353568260657594E-2</v>
      </c>
      <c r="K656" s="4">
        <f t="shared" si="148"/>
        <v>-7.2579458964016705E-5</v>
      </c>
      <c r="L656">
        <f t="shared" si="151"/>
        <v>0.44133295336280792</v>
      </c>
      <c r="M656">
        <f>RSQ($D$3:D656,$B$3:B656)</f>
        <v>5.3550495906141832E-2</v>
      </c>
      <c r="N656">
        <v>624</v>
      </c>
      <c r="O656" t="str">
        <f t="shared" si="149"/>
        <v/>
      </c>
      <c r="P656" t="str">
        <f t="shared" si="153"/>
        <v/>
      </c>
      <c r="Q656">
        <f t="shared" si="154"/>
        <v>0</v>
      </c>
      <c r="R656">
        <f t="shared" si="155"/>
        <v>0</v>
      </c>
      <c r="S656">
        <f t="shared" si="156"/>
        <v>0</v>
      </c>
      <c r="T656">
        <f t="shared" si="157"/>
        <v>0</v>
      </c>
      <c r="U656">
        <f t="shared" si="152"/>
        <v>0</v>
      </c>
      <c r="V656">
        <f t="shared" si="158"/>
        <v>0</v>
      </c>
      <c r="W656">
        <f t="shared" si="162"/>
        <v>0</v>
      </c>
      <c r="X656">
        <f>SUM($W$34:W656)</f>
        <v>152.56442399999955</v>
      </c>
      <c r="Y656">
        <f t="shared" si="159"/>
        <v>0</v>
      </c>
    </row>
    <row r="657" spans="1:25">
      <c r="A657">
        <v>127.33127229999999</v>
      </c>
      <c r="B657" s="2">
        <f t="shared" si="160"/>
        <v>-4.1556093758548874E-3</v>
      </c>
      <c r="C657">
        <v>105.096903</v>
      </c>
      <c r="D657" s="3">
        <f t="shared" si="161"/>
        <v>-1.7274343538968829E-2</v>
      </c>
      <c r="E657" s="3">
        <f t="shared" si="147"/>
        <v>-1.6266642592340612E-2</v>
      </c>
      <c r="F657" s="3">
        <f>STDEV($E$32:E657)</f>
        <v>1.304968063216558E-2</v>
      </c>
      <c r="G657" s="14">
        <f t="shared" si="150"/>
        <v>-1.2465165279405908</v>
      </c>
      <c r="H657" s="15">
        <f>yint($B$3:B657,$D$3:D657)</f>
        <v>5.2158329436833957E-5</v>
      </c>
      <c r="I657" s="16">
        <f>MyReg($B$3:B657,$D$3:D657)</f>
        <v>0.25504304668843353</v>
      </c>
      <c r="J657" s="17">
        <f>STDEV($D$3:D657)</f>
        <v>1.3360796130374152E-2</v>
      </c>
      <c r="K657" s="4">
        <f t="shared" si="148"/>
        <v>-1.0077009466282162E-3</v>
      </c>
      <c r="L657">
        <f t="shared" si="151"/>
        <v>-1.2465165279405908</v>
      </c>
      <c r="M657">
        <f>RSQ($D$3:D657,$B$3:B657)</f>
        <v>5.3749384982098261E-2</v>
      </c>
      <c r="N657">
        <v>625</v>
      </c>
      <c r="O657" t="str">
        <f t="shared" si="149"/>
        <v/>
      </c>
      <c r="P657" t="str">
        <f t="shared" si="153"/>
        <v/>
      </c>
      <c r="Q657">
        <f t="shared" si="154"/>
        <v>0</v>
      </c>
      <c r="R657">
        <f t="shared" si="155"/>
        <v>0</v>
      </c>
      <c r="S657">
        <f t="shared" si="156"/>
        <v>0</v>
      </c>
      <c r="T657">
        <f t="shared" si="157"/>
        <v>0</v>
      </c>
      <c r="U657">
        <f t="shared" si="152"/>
        <v>0</v>
      </c>
      <c r="V657">
        <f t="shared" si="158"/>
        <v>0</v>
      </c>
      <c r="W657">
        <f t="shared" si="162"/>
        <v>0</v>
      </c>
      <c r="X657">
        <f>SUM($W$34:W657)</f>
        <v>152.56442399999955</v>
      </c>
      <c r="Y657">
        <f t="shared" si="159"/>
        <v>0</v>
      </c>
    </row>
    <row r="658" spans="1:25">
      <c r="A658">
        <v>125.9843071</v>
      </c>
      <c r="B658" s="2">
        <f t="shared" si="160"/>
        <v>-1.0578431956813171E-2</v>
      </c>
      <c r="C658">
        <v>105.258822</v>
      </c>
      <c r="D658" s="3">
        <f t="shared" si="161"/>
        <v>1.5406638576209756E-3</v>
      </c>
      <c r="E658" s="3">
        <f t="shared" si="147"/>
        <v>4.1748307663095662E-3</v>
      </c>
      <c r="F658" s="3">
        <f>STDEV($E$32:E658)</f>
        <v>1.3040361522645138E-2</v>
      </c>
      <c r="G658" s="14">
        <f t="shared" si="150"/>
        <v>0.32014685781983854</v>
      </c>
      <c r="H658" s="15">
        <f>yint($B$3:B658,$D$3:D658)</f>
        <v>5.8743223313264896E-5</v>
      </c>
      <c r="I658" s="16">
        <f>MyReg($B$3:B658,$D$3:D658)</f>
        <v>0.25456609665740232</v>
      </c>
      <c r="J658" s="17">
        <f>STDEV($D$3:D658)</f>
        <v>1.3350701187536418E-2</v>
      </c>
      <c r="K658" s="4">
        <f t="shared" si="148"/>
        <v>-2.6341669086885904E-3</v>
      </c>
      <c r="L658">
        <f t="shared" si="151"/>
        <v>0.32014685781983854</v>
      </c>
      <c r="M658">
        <f>RSQ($D$3:D658,$B$3:B658)</f>
        <v>5.3614993988709829E-2</v>
      </c>
      <c r="N658">
        <v>626</v>
      </c>
      <c r="O658" t="str">
        <f t="shared" si="149"/>
        <v/>
      </c>
      <c r="P658" t="str">
        <f t="shared" si="153"/>
        <v/>
      </c>
      <c r="Q658">
        <f t="shared" si="154"/>
        <v>0</v>
      </c>
      <c r="R658">
        <f t="shared" si="155"/>
        <v>0</v>
      </c>
      <c r="S658">
        <f t="shared" si="156"/>
        <v>0</v>
      </c>
      <c r="T658">
        <f t="shared" si="157"/>
        <v>0</v>
      </c>
      <c r="U658">
        <f t="shared" si="152"/>
        <v>0</v>
      </c>
      <c r="V658">
        <f t="shared" si="158"/>
        <v>0</v>
      </c>
      <c r="W658">
        <f t="shared" si="162"/>
        <v>0</v>
      </c>
      <c r="X658">
        <f>SUM($W$34:W658)</f>
        <v>152.56442399999955</v>
      </c>
      <c r="Y658">
        <f t="shared" si="159"/>
        <v>0</v>
      </c>
    </row>
    <row r="659" spans="1:25">
      <c r="A659">
        <v>126.225844</v>
      </c>
      <c r="B659" s="2">
        <f t="shared" si="160"/>
        <v>1.9171983047720381E-3</v>
      </c>
      <c r="C659">
        <v>105.571448</v>
      </c>
      <c r="D659" s="3">
        <f t="shared" si="161"/>
        <v>2.9700693401262723E-3</v>
      </c>
      <c r="E659" s="3">
        <f t="shared" si="147"/>
        <v>2.4195284071829855E-3</v>
      </c>
      <c r="F659" s="3">
        <f>STDEV($E$32:E659)</f>
        <v>1.3030338624036323E-2</v>
      </c>
      <c r="G659" s="14">
        <f t="shared" si="150"/>
        <v>0.18568423100838063</v>
      </c>
      <c r="H659" s="15">
        <f>yint($B$3:B659,$D$3:D659)</f>
        <v>6.2415621091864589E-5</v>
      </c>
      <c r="I659" s="16">
        <f>MyReg($B$3:B659,$D$3:D659)</f>
        <v>0.25460345475814616</v>
      </c>
      <c r="J659" s="17">
        <f>STDEV($D$3:D659)</f>
        <v>1.3340969642928328E-2</v>
      </c>
      <c r="K659" s="4">
        <f t="shared" si="148"/>
        <v>5.5054093294328672E-4</v>
      </c>
      <c r="L659">
        <f t="shared" si="151"/>
        <v>0.18568423100838063</v>
      </c>
      <c r="M659">
        <f>RSQ($D$3:D659,$B$3:B659)</f>
        <v>5.3628361099201868E-2</v>
      </c>
      <c r="N659">
        <v>627</v>
      </c>
      <c r="O659" t="str">
        <f t="shared" si="149"/>
        <v/>
      </c>
      <c r="P659" t="str">
        <f t="shared" si="153"/>
        <v/>
      </c>
      <c r="Q659">
        <f t="shared" si="154"/>
        <v>0</v>
      </c>
      <c r="R659">
        <f t="shared" si="155"/>
        <v>0</v>
      </c>
      <c r="S659">
        <f t="shared" si="156"/>
        <v>0</v>
      </c>
      <c r="T659">
        <f t="shared" si="157"/>
        <v>0</v>
      </c>
      <c r="U659">
        <f t="shared" si="152"/>
        <v>0</v>
      </c>
      <c r="V659">
        <f t="shared" si="158"/>
        <v>0</v>
      </c>
      <c r="W659">
        <f t="shared" si="162"/>
        <v>0</v>
      </c>
      <c r="X659">
        <f>SUM($W$34:W659)</f>
        <v>152.56442399999955</v>
      </c>
      <c r="Y659">
        <f t="shared" si="159"/>
        <v>0</v>
      </c>
    </row>
    <row r="660" spans="1:25">
      <c r="A660">
        <v>124.9957593</v>
      </c>
      <c r="B660" s="2">
        <f t="shared" si="160"/>
        <v>-9.7451097257071385E-3</v>
      </c>
      <c r="C660">
        <v>101.8021894</v>
      </c>
      <c r="D660" s="3">
        <f t="shared" si="161"/>
        <v>-3.5703390181784762E-2</v>
      </c>
      <c r="E660" s="3">
        <f t="shared" si="147"/>
        <v>-3.3198566183495856E-2</v>
      </c>
      <c r="F660" s="3">
        <f>STDEV($E$32:E660)</f>
        <v>1.3086790003073152E-2</v>
      </c>
      <c r="G660" s="14">
        <f t="shared" si="150"/>
        <v>-2.5367997939678015</v>
      </c>
      <c r="H660" s="15">
        <f>yint($B$3:B660,$D$3:D660)</f>
        <v>1.0388276843863883E-5</v>
      </c>
      <c r="I660" s="16">
        <f>MyReg($B$3:B660,$D$3:D660)</f>
        <v>0.25809994406710068</v>
      </c>
      <c r="J660" s="17">
        <f>STDEV($D$3:D660)</f>
        <v>1.3403973274883563E-2</v>
      </c>
      <c r="K660" s="4">
        <f t="shared" si="148"/>
        <v>-2.5048239982889075E-3</v>
      </c>
      <c r="L660">
        <f t="shared" si="151"/>
        <v>-2.5367997939678015</v>
      </c>
      <c r="M660">
        <f>RSQ($D$3:D660,$B$3:B660)</f>
        <v>5.4569790172215818E-2</v>
      </c>
      <c r="N660">
        <v>628</v>
      </c>
      <c r="O660" t="str">
        <f t="shared" si="149"/>
        <v>buyY</v>
      </c>
      <c r="P660" t="str">
        <f t="shared" si="153"/>
        <v/>
      </c>
      <c r="Q660">
        <f t="shared" si="154"/>
        <v>-20</v>
      </c>
      <c r="R660">
        <f t="shared" si="155"/>
        <v>-10</v>
      </c>
      <c r="S660">
        <f t="shared" si="156"/>
        <v>20</v>
      </c>
      <c r="T660">
        <f t="shared" si="157"/>
        <v>10</v>
      </c>
      <c r="U660">
        <f t="shared" si="152"/>
        <v>40</v>
      </c>
      <c r="V660">
        <f t="shared" si="158"/>
        <v>-20</v>
      </c>
      <c r="W660">
        <f t="shared" si="162"/>
        <v>463.871398</v>
      </c>
      <c r="X660">
        <f>SUM($W$34:W660)</f>
        <v>616.43582199999958</v>
      </c>
      <c r="Y660">
        <f t="shared" si="159"/>
        <v>0</v>
      </c>
    </row>
    <row r="661" spans="1:25">
      <c r="A661">
        <v>125.9169771</v>
      </c>
      <c r="B661" s="2">
        <f t="shared" si="160"/>
        <v>7.369992431415181E-3</v>
      </c>
      <c r="C661">
        <v>103.5794257</v>
      </c>
      <c r="D661" s="3">
        <f t="shared" si="161"/>
        <v>1.7457741434389999E-2</v>
      </c>
      <c r="E661" s="3">
        <f t="shared" si="147"/>
        <v>1.5513815260606325E-2</v>
      </c>
      <c r="F661" s="3">
        <f>STDEV($E$32:E661)</f>
        <v>1.309121632539015E-2</v>
      </c>
      <c r="G661" s="14">
        <f t="shared" si="150"/>
        <v>1.1850552977661513</v>
      </c>
      <c r="H661" s="15">
        <f>yint($B$3:B661,$D$3:D661)</f>
        <v>3.3504916874814268E-5</v>
      </c>
      <c r="I661" s="16">
        <f>MyReg($B$3:B661,$D$3:D661)</f>
        <v>0.25921617622910109</v>
      </c>
      <c r="J661" s="17">
        <f>STDEV($D$3:D661)</f>
        <v>1.3410807414793476E-2</v>
      </c>
      <c r="K661" s="4">
        <f t="shared" si="148"/>
        <v>1.9439261737836731E-3</v>
      </c>
      <c r="L661">
        <f t="shared" si="151"/>
        <v>1.1850552977661513</v>
      </c>
      <c r="M661">
        <f>RSQ($D$3:D661,$B$3:B661)</f>
        <v>5.4930608778377042E-2</v>
      </c>
      <c r="N661">
        <v>629</v>
      </c>
      <c r="O661" t="str">
        <f t="shared" si="149"/>
        <v/>
      </c>
      <c r="P661" t="str">
        <f t="shared" si="153"/>
        <v>close</v>
      </c>
      <c r="Q661">
        <f t="shared" si="154"/>
        <v>0</v>
      </c>
      <c r="R661">
        <f t="shared" si="155"/>
        <v>0</v>
      </c>
      <c r="S661">
        <f t="shared" si="156"/>
        <v>0</v>
      </c>
      <c r="T661">
        <f t="shared" si="157"/>
        <v>0</v>
      </c>
      <c r="U661">
        <f t="shared" si="152"/>
        <v>0</v>
      </c>
      <c r="V661">
        <f t="shared" si="158"/>
        <v>20</v>
      </c>
      <c r="W661">
        <f t="shared" si="162"/>
        <v>-446.75102799999991</v>
      </c>
      <c r="X661">
        <f>SUM($W$34:W661)</f>
        <v>169.68479399999967</v>
      </c>
      <c r="Y661">
        <f t="shared" si="159"/>
        <v>169.68479399999967</v>
      </c>
    </row>
    <row r="662" spans="1:25">
      <c r="A662">
        <v>127.2136726</v>
      </c>
      <c r="B662" s="2">
        <f t="shared" si="160"/>
        <v>1.0298019614703715E-2</v>
      </c>
      <c r="C662">
        <v>104.1178645</v>
      </c>
      <c r="D662" s="3">
        <f t="shared" si="161"/>
        <v>5.1983180671370957E-3</v>
      </c>
      <c r="E662" s="3">
        <f t="shared" si="147"/>
        <v>2.4891139029880383E-3</v>
      </c>
      <c r="F662" s="3">
        <f>STDEV($E$32:E662)</f>
        <v>1.308122810366498E-2</v>
      </c>
      <c r="G662" s="14">
        <f t="shared" si="150"/>
        <v>0.19028136221328187</v>
      </c>
      <c r="H662" s="15">
        <f>yint($B$3:B662,$D$3:D662)</f>
        <v>3.7174507316199663E-5</v>
      </c>
      <c r="I662" s="16">
        <f>MyReg($B$3:B662,$D$3:D662)</f>
        <v>0.25947024348425995</v>
      </c>
      <c r="J662" s="17">
        <f>STDEV($D$3:D662)</f>
        <v>1.3402073006817618E-2</v>
      </c>
      <c r="K662" s="4">
        <f t="shared" si="148"/>
        <v>2.7092041641490574E-3</v>
      </c>
      <c r="L662">
        <f t="shared" si="151"/>
        <v>0.19028136221328187</v>
      </c>
      <c r="M662">
        <f>RSQ($D$3:D662,$B$3:B662)</f>
        <v>5.5081855547217964E-2</v>
      </c>
      <c r="N662">
        <v>630</v>
      </c>
      <c r="O662" t="str">
        <f t="shared" si="149"/>
        <v/>
      </c>
      <c r="P662" t="str">
        <f t="shared" si="153"/>
        <v/>
      </c>
      <c r="Q662">
        <f t="shared" si="154"/>
        <v>0</v>
      </c>
      <c r="R662">
        <f t="shared" si="155"/>
        <v>0</v>
      </c>
      <c r="S662">
        <f t="shared" si="156"/>
        <v>0</v>
      </c>
      <c r="T662">
        <f t="shared" si="157"/>
        <v>0</v>
      </c>
      <c r="U662">
        <f t="shared" si="152"/>
        <v>0</v>
      </c>
      <c r="V662">
        <f t="shared" si="158"/>
        <v>0</v>
      </c>
      <c r="W662">
        <f t="shared" si="162"/>
        <v>0</v>
      </c>
      <c r="X662">
        <f>SUM($W$34:W662)</f>
        <v>169.68479399999967</v>
      </c>
      <c r="Y662">
        <f t="shared" si="159"/>
        <v>0</v>
      </c>
    </row>
    <row r="663" spans="1:25">
      <c r="A663">
        <v>126.0726368</v>
      </c>
      <c r="B663" s="2">
        <f t="shared" si="160"/>
        <v>-8.9694431162896677E-3</v>
      </c>
      <c r="C663">
        <v>103.778926</v>
      </c>
      <c r="D663" s="3">
        <f t="shared" si="161"/>
        <v>-3.2553347269238084E-3</v>
      </c>
      <c r="E663" s="3">
        <f t="shared" si="147"/>
        <v>-9.6286680168282315E-4</v>
      </c>
      <c r="F663" s="3">
        <f>STDEV($E$32:E663)</f>
        <v>1.307090411806843E-2</v>
      </c>
      <c r="G663" s="14">
        <f t="shared" si="150"/>
        <v>-7.3664896703802926E-2</v>
      </c>
      <c r="H663" s="15">
        <f>yint($B$3:B663,$D$3:D663)</f>
        <v>3.5674635551250744E-5</v>
      </c>
      <c r="I663" s="16">
        <f>MyReg($B$3:B663,$D$3:D663)</f>
        <v>0.25956378011518111</v>
      </c>
      <c r="J663" s="17">
        <f>STDEV($D$3:D663)</f>
        <v>1.3392571393620052E-2</v>
      </c>
      <c r="K663" s="4">
        <f t="shared" si="148"/>
        <v>-2.2924679252409852E-3</v>
      </c>
      <c r="L663">
        <f t="shared" si="151"/>
        <v>-7.3664896703802926E-2</v>
      </c>
      <c r="M663">
        <f>RSQ($D$3:D663,$B$3:B663)</f>
        <v>5.5166475369437737E-2</v>
      </c>
      <c r="N663">
        <v>631</v>
      </c>
      <c r="O663" t="str">
        <f t="shared" si="149"/>
        <v/>
      </c>
      <c r="P663" t="str">
        <f t="shared" si="153"/>
        <v/>
      </c>
      <c r="Q663">
        <f t="shared" si="154"/>
        <v>0</v>
      </c>
      <c r="R663">
        <f t="shared" si="155"/>
        <v>0</v>
      </c>
      <c r="S663">
        <f t="shared" si="156"/>
        <v>0</v>
      </c>
      <c r="T663">
        <f t="shared" si="157"/>
        <v>0</v>
      </c>
      <c r="U663">
        <f t="shared" si="152"/>
        <v>0</v>
      </c>
      <c r="V663">
        <f t="shared" si="158"/>
        <v>0</v>
      </c>
      <c r="W663">
        <f t="shared" si="162"/>
        <v>0</v>
      </c>
      <c r="X663">
        <f>SUM($W$34:W663)</f>
        <v>169.68479399999967</v>
      </c>
      <c r="Y663">
        <f t="shared" si="159"/>
        <v>0</v>
      </c>
    </row>
    <row r="664" spans="1:25">
      <c r="A664">
        <v>129.50744330000001</v>
      </c>
      <c r="B664" s="2">
        <f t="shared" si="160"/>
        <v>2.7244662975114419E-2</v>
      </c>
      <c r="C664">
        <v>103.4129696</v>
      </c>
      <c r="D664" s="3">
        <f t="shared" si="161"/>
        <v>-3.5263074508980921E-3</v>
      </c>
      <c r="E664" s="3">
        <f t="shared" si="147"/>
        <v>-1.0539547278849547E-2</v>
      </c>
      <c r="F664" s="3">
        <f>STDEV($E$32:E664)</f>
        <v>1.3067153405721271E-2</v>
      </c>
      <c r="G664" s="14">
        <f t="shared" si="150"/>
        <v>-0.8065679610246983</v>
      </c>
      <c r="H664" s="15">
        <f>yint($B$3:B664,$D$3:D664)</f>
        <v>2.0966046780183218E-5</v>
      </c>
      <c r="I664" s="16">
        <f>MyReg($B$3:B664,$D$3:D664)</f>
        <v>0.25664746844393316</v>
      </c>
      <c r="J664" s="17">
        <f>STDEV($D$3:D664)</f>
        <v>1.3383198001119435E-2</v>
      </c>
      <c r="K664" s="4">
        <f t="shared" si="148"/>
        <v>7.0132398279514549E-3</v>
      </c>
      <c r="L664">
        <f t="shared" si="151"/>
        <v>-0.8065679610246983</v>
      </c>
      <c r="M664">
        <f>RSQ($D$3:D664,$B$3:B664)</f>
        <v>5.4327278992076213E-2</v>
      </c>
      <c r="N664">
        <v>632</v>
      </c>
      <c r="O664" t="str">
        <f t="shared" si="149"/>
        <v/>
      </c>
      <c r="P664" t="str">
        <f t="shared" si="153"/>
        <v/>
      </c>
      <c r="Q664">
        <f t="shared" si="154"/>
        <v>0</v>
      </c>
      <c r="R664">
        <f t="shared" si="155"/>
        <v>0</v>
      </c>
      <c r="S664">
        <f t="shared" si="156"/>
        <v>0</v>
      </c>
      <c r="T664">
        <f t="shared" si="157"/>
        <v>0</v>
      </c>
      <c r="U664">
        <f t="shared" si="152"/>
        <v>0</v>
      </c>
      <c r="V664">
        <f t="shared" si="158"/>
        <v>0</v>
      </c>
      <c r="W664">
        <f t="shared" si="162"/>
        <v>0</v>
      </c>
      <c r="X664">
        <f>SUM($W$34:W664)</f>
        <v>169.68479399999967</v>
      </c>
      <c r="Y664">
        <f t="shared" si="159"/>
        <v>0</v>
      </c>
    </row>
    <row r="665" spans="1:25">
      <c r="A665">
        <v>130.04395070000001</v>
      </c>
      <c r="B665" s="2">
        <f t="shared" si="160"/>
        <v>4.1426761762040354E-3</v>
      </c>
      <c r="C665">
        <v>101.38669729999999</v>
      </c>
      <c r="D665" s="3">
        <f t="shared" si="161"/>
        <v>-1.959398620731613E-2</v>
      </c>
      <c r="E665" s="3">
        <f t="shared" si="147"/>
        <v>-2.0644114834105502E-2</v>
      </c>
      <c r="F665" s="3">
        <f>STDEV($E$32:E665)</f>
        <v>1.3082264068487667E-2</v>
      </c>
      <c r="G665" s="14">
        <f t="shared" si="150"/>
        <v>-1.5780230949345146</v>
      </c>
      <c r="H665" s="15">
        <f>yint($B$3:B665,$D$3:D665)</f>
        <v>-9.8572643314418369E-6</v>
      </c>
      <c r="I665" s="16">
        <f>MyReg($B$3:B665,$D$3:D665)</f>
        <v>0.2558698401795157</v>
      </c>
      <c r="J665" s="17">
        <f>STDEV($D$3:D665)</f>
        <v>1.3395029498702225E-2</v>
      </c>
      <c r="K665" s="4">
        <f t="shared" si="148"/>
        <v>1.0501286267893719E-3</v>
      </c>
      <c r="L665">
        <f t="shared" si="151"/>
        <v>-1.5780230949345146</v>
      </c>
      <c r="M665">
        <f>RSQ($D$3:D665,$B$3:B665)</f>
        <v>5.3829232275476251E-2</v>
      </c>
      <c r="N665">
        <v>633</v>
      </c>
      <c r="O665" t="str">
        <f t="shared" si="149"/>
        <v>buyY</v>
      </c>
      <c r="P665" t="str">
        <f t="shared" si="153"/>
        <v/>
      </c>
      <c r="Q665">
        <f t="shared" si="154"/>
        <v>-10</v>
      </c>
      <c r="R665">
        <f t="shared" si="155"/>
        <v>0</v>
      </c>
      <c r="S665">
        <f t="shared" si="156"/>
        <v>10</v>
      </c>
      <c r="T665">
        <f t="shared" si="157"/>
        <v>0</v>
      </c>
      <c r="U665">
        <f t="shared" si="152"/>
        <v>20</v>
      </c>
      <c r="V665">
        <f t="shared" si="158"/>
        <v>-10</v>
      </c>
      <c r="W665">
        <f t="shared" si="162"/>
        <v>286.57253400000013</v>
      </c>
      <c r="X665">
        <f>SUM($W$34:W665)</f>
        <v>456.2573279999998</v>
      </c>
      <c r="Y665">
        <f t="shared" si="159"/>
        <v>0</v>
      </c>
    </row>
    <row r="666" spans="1:25">
      <c r="A666">
        <v>132.0133654</v>
      </c>
      <c r="B666" s="2">
        <f t="shared" si="160"/>
        <v>1.5144223852005652E-2</v>
      </c>
      <c r="C666">
        <v>102.24882940000001</v>
      </c>
      <c r="D666" s="3">
        <f t="shared" si="161"/>
        <v>8.50340451912532E-3</v>
      </c>
      <c r="E666" s="3">
        <f t="shared" si="147"/>
        <v>4.6211524628599863E-3</v>
      </c>
      <c r="F666" s="3">
        <f>STDEV($E$32:E666)</f>
        <v>1.3073311108066737E-2</v>
      </c>
      <c r="G666" s="14">
        <f t="shared" si="150"/>
        <v>0.3534798816199331</v>
      </c>
      <c r="H666" s="15">
        <f>yint($B$3:B666,$D$3:D666)</f>
        <v>-3.2135298696930013E-6</v>
      </c>
      <c r="I666" s="16">
        <f>MyReg($B$3:B666,$D$3:D666)</f>
        <v>0.2565641939861083</v>
      </c>
      <c r="J666" s="17">
        <f>STDEV($D$3:D666)</f>
        <v>1.3388886243689618E-2</v>
      </c>
      <c r="K666" s="4">
        <f t="shared" si="148"/>
        <v>3.8822520562653332E-3</v>
      </c>
      <c r="L666">
        <f t="shared" si="151"/>
        <v>0.3534798816199331</v>
      </c>
      <c r="M666">
        <f>RSQ($D$3:D666,$B$3:B666)</f>
        <v>5.4208834048612306E-2</v>
      </c>
      <c r="N666">
        <v>634</v>
      </c>
      <c r="O666" t="str">
        <f t="shared" si="149"/>
        <v/>
      </c>
      <c r="P666" t="str">
        <f t="shared" si="153"/>
        <v>close</v>
      </c>
      <c r="Q666">
        <f t="shared" si="154"/>
        <v>0</v>
      </c>
      <c r="R666">
        <f t="shared" si="155"/>
        <v>0</v>
      </c>
      <c r="S666">
        <f t="shared" si="156"/>
        <v>0</v>
      </c>
      <c r="T666">
        <f t="shared" si="157"/>
        <v>0</v>
      </c>
      <c r="U666">
        <f t="shared" si="152"/>
        <v>0</v>
      </c>
      <c r="V666">
        <f t="shared" si="158"/>
        <v>10</v>
      </c>
      <c r="W666">
        <f t="shared" si="162"/>
        <v>-297.64535999999993</v>
      </c>
      <c r="X666">
        <f>SUM($W$34:W666)</f>
        <v>158.61196799999988</v>
      </c>
      <c r="Y666">
        <f t="shared" si="159"/>
        <v>158.61196799999988</v>
      </c>
    </row>
    <row r="667" spans="1:25">
      <c r="A667">
        <v>133.97316000000001</v>
      </c>
      <c r="B667" s="2">
        <f t="shared" si="160"/>
        <v>1.4845425643546311E-2</v>
      </c>
      <c r="C667">
        <v>102.37694190000001</v>
      </c>
      <c r="D667" s="3">
        <f t="shared" si="161"/>
        <v>1.252948329597212E-3</v>
      </c>
      <c r="E667" s="3">
        <f t="shared" si="147"/>
        <v>-2.5434586347552919E-3</v>
      </c>
      <c r="F667" s="3">
        <f>STDEV($E$32:E667)</f>
        <v>1.3063361431142216E-2</v>
      </c>
      <c r="G667" s="14">
        <f t="shared" si="150"/>
        <v>-0.19470169666222734</v>
      </c>
      <c r="H667" s="15">
        <f>yint($B$3:B667,$D$3:D667)</f>
        <v>-6.8605003900998785E-6</v>
      </c>
      <c r="I667" s="16">
        <f>MyReg($B$3:B667,$D$3:D667)</f>
        <v>0.25619120367868892</v>
      </c>
      <c r="J667" s="17">
        <f>STDEV($D$3:D667)</f>
        <v>1.3378872201915226E-2</v>
      </c>
      <c r="K667" s="4">
        <f t="shared" si="148"/>
        <v>3.7964069643525041E-3</v>
      </c>
      <c r="L667">
        <f t="shared" si="151"/>
        <v>-0.19470169666222734</v>
      </c>
      <c r="M667">
        <f>RSQ($D$3:D667,$B$3:B667)</f>
        <v>5.4164351368908556E-2</v>
      </c>
      <c r="N667">
        <v>635</v>
      </c>
      <c r="O667" t="str">
        <f t="shared" si="149"/>
        <v/>
      </c>
      <c r="P667" t="str">
        <f t="shared" si="153"/>
        <v/>
      </c>
      <c r="Q667">
        <f t="shared" si="154"/>
        <v>0</v>
      </c>
      <c r="R667">
        <f t="shared" si="155"/>
        <v>0</v>
      </c>
      <c r="S667">
        <f t="shared" si="156"/>
        <v>0</v>
      </c>
      <c r="T667">
        <f t="shared" si="157"/>
        <v>0</v>
      </c>
      <c r="U667">
        <f t="shared" si="152"/>
        <v>0</v>
      </c>
      <c r="V667">
        <f t="shared" si="158"/>
        <v>0</v>
      </c>
      <c r="W667">
        <f t="shared" si="162"/>
        <v>0</v>
      </c>
      <c r="X667">
        <f>SUM($W$34:W667)</f>
        <v>158.61196799999988</v>
      </c>
      <c r="Y667">
        <f t="shared" si="159"/>
        <v>0</v>
      </c>
    </row>
    <row r="668" spans="1:25">
      <c r="A668">
        <v>134.55853010000001</v>
      </c>
      <c r="B668" s="2">
        <f t="shared" si="160"/>
        <v>4.3693087481104856E-3</v>
      </c>
      <c r="C668">
        <v>101.8162114</v>
      </c>
      <c r="D668" s="3">
        <f t="shared" si="161"/>
        <v>-5.4771171085352113E-3</v>
      </c>
      <c r="E668" s="3">
        <f t="shared" si="147"/>
        <v>-6.5787451094119643E-3</v>
      </c>
      <c r="F668" s="3">
        <f>STDEV($E$32:E668)</f>
        <v>1.3055579088069369E-2</v>
      </c>
      <c r="G668" s="14">
        <f t="shared" si="150"/>
        <v>-0.50390297244063609</v>
      </c>
      <c r="H668" s="15">
        <f>yint($B$3:B668,$D$3:D668)</f>
        <v>-1.6620511716028166E-5</v>
      </c>
      <c r="I668" s="16">
        <f>MyReg($B$3:B668,$D$3:D668)</f>
        <v>0.25593259187196832</v>
      </c>
      <c r="J668" s="17">
        <f>STDEV($D$3:D668)</f>
        <v>1.3370571243761151E-2</v>
      </c>
      <c r="K668" s="4">
        <f t="shared" si="148"/>
        <v>1.1016280008767534E-3</v>
      </c>
      <c r="L668">
        <f t="shared" si="151"/>
        <v>-0.50390297244063609</v>
      </c>
      <c r="M668">
        <f>RSQ($D$3:D668,$B$3:B668)</f>
        <v>5.4048985728912709E-2</v>
      </c>
      <c r="N668">
        <v>636</v>
      </c>
      <c r="O668" t="str">
        <f t="shared" si="149"/>
        <v/>
      </c>
      <c r="P668" t="str">
        <f t="shared" si="153"/>
        <v/>
      </c>
      <c r="Q668">
        <f t="shared" si="154"/>
        <v>0</v>
      </c>
      <c r="R668">
        <f t="shared" si="155"/>
        <v>0</v>
      </c>
      <c r="S668">
        <f t="shared" si="156"/>
        <v>0</v>
      </c>
      <c r="T668">
        <f t="shared" si="157"/>
        <v>0</v>
      </c>
      <c r="U668">
        <f t="shared" si="152"/>
        <v>0</v>
      </c>
      <c r="V668">
        <f t="shared" si="158"/>
        <v>0</v>
      </c>
      <c r="W668">
        <f t="shared" si="162"/>
        <v>0</v>
      </c>
      <c r="X668">
        <f>SUM($W$34:W668)</f>
        <v>158.61196799999988</v>
      </c>
      <c r="Y668">
        <f t="shared" si="159"/>
        <v>0</v>
      </c>
    </row>
    <row r="669" spans="1:25">
      <c r="A669">
        <v>130.88077939999999</v>
      </c>
      <c r="B669" s="2">
        <f t="shared" si="160"/>
        <v>-2.7331977372722638E-2</v>
      </c>
      <c r="C669">
        <v>103.113551</v>
      </c>
      <c r="D669" s="3">
        <f t="shared" si="161"/>
        <v>1.2741974801077707E-2</v>
      </c>
      <c r="E669" s="3">
        <f t="shared" si="147"/>
        <v>1.9569609438820305E-2</v>
      </c>
      <c r="F669" s="3">
        <f>STDEV($E$32:E669)</f>
        <v>1.3068671099800255E-2</v>
      </c>
      <c r="G669" s="14">
        <f t="shared" si="150"/>
        <v>1.4974444830216449</v>
      </c>
      <c r="H669" s="15">
        <f>yint($B$3:B669,$D$3:D669)</f>
        <v>1.5649407359684612E-5</v>
      </c>
      <c r="I669" s="16">
        <f>MyReg($B$3:B669,$D$3:D669)</f>
        <v>0.25037647118542883</v>
      </c>
      <c r="J669" s="17">
        <f>STDEV($D$3:D669)</f>
        <v>1.3369470438609189E-2</v>
      </c>
      <c r="K669" s="4">
        <f t="shared" si="148"/>
        <v>-6.8276346377425974E-3</v>
      </c>
      <c r="L669">
        <f t="shared" si="151"/>
        <v>1.4974444830216449</v>
      </c>
      <c r="M669">
        <f>RSQ($D$3:D669,$B$3:B669)</f>
        <v>5.206643811417079E-2</v>
      </c>
      <c r="N669">
        <v>637</v>
      </c>
      <c r="O669" t="str">
        <f t="shared" si="149"/>
        <v/>
      </c>
      <c r="P669" t="str">
        <f t="shared" si="153"/>
        <v/>
      </c>
      <c r="Q669">
        <f t="shared" si="154"/>
        <v>0</v>
      </c>
      <c r="R669">
        <f t="shared" si="155"/>
        <v>0</v>
      </c>
      <c r="S669">
        <f t="shared" si="156"/>
        <v>0</v>
      </c>
      <c r="T669">
        <f t="shared" si="157"/>
        <v>0</v>
      </c>
      <c r="U669">
        <f t="shared" si="152"/>
        <v>0</v>
      </c>
      <c r="V669">
        <f t="shared" si="158"/>
        <v>0</v>
      </c>
      <c r="W669">
        <f t="shared" si="162"/>
        <v>0</v>
      </c>
      <c r="X669">
        <f>SUM($W$34:W669)</f>
        <v>158.61196799999988</v>
      </c>
      <c r="Y669">
        <f t="shared" si="159"/>
        <v>0</v>
      </c>
    </row>
    <row r="670" spans="1:25">
      <c r="A670">
        <v>131.18344250000001</v>
      </c>
      <c r="B670" s="2">
        <f t="shared" si="160"/>
        <v>2.3125099146530446E-3</v>
      </c>
      <c r="C670">
        <v>100.6277726</v>
      </c>
      <c r="D670" s="3">
        <f t="shared" si="161"/>
        <v>-2.4107194213493829E-2</v>
      </c>
      <c r="E670" s="3">
        <f t="shared" si="147"/>
        <v>-2.4664024344730848E-2</v>
      </c>
      <c r="F670" s="3">
        <f>STDEV($E$32:E670)</f>
        <v>1.3094470470188309E-2</v>
      </c>
      <c r="G670" s="14">
        <f t="shared" si="150"/>
        <v>-1.8835449971713258</v>
      </c>
      <c r="H670" s="15">
        <f>yint($B$3:B670,$D$3:D670)</f>
        <v>-2.1109499249563176E-5</v>
      </c>
      <c r="I670" s="16">
        <f>MyReg($B$3:B670,$D$3:D670)</f>
        <v>0.2499187687043038</v>
      </c>
      <c r="J670" s="17">
        <f>STDEV($D$3:D670)</f>
        <v>1.3392331553834539E-2</v>
      </c>
      <c r="K670" s="4">
        <f t="shared" si="148"/>
        <v>5.568301312370204E-4</v>
      </c>
      <c r="L670">
        <f t="shared" si="151"/>
        <v>-1.8835449971713258</v>
      </c>
      <c r="M670">
        <f>RSQ($D$3:D670,$B$3:B670)</f>
        <v>5.1623538655799814E-2</v>
      </c>
      <c r="N670">
        <v>638</v>
      </c>
      <c r="O670" t="str">
        <f t="shared" si="149"/>
        <v>buyY</v>
      </c>
      <c r="P670" t="str">
        <f t="shared" si="153"/>
        <v/>
      </c>
      <c r="Q670">
        <f t="shared" si="154"/>
        <v>-10</v>
      </c>
      <c r="R670">
        <f t="shared" si="155"/>
        <v>0</v>
      </c>
      <c r="S670">
        <f t="shared" si="156"/>
        <v>10</v>
      </c>
      <c r="T670">
        <f t="shared" si="157"/>
        <v>0</v>
      </c>
      <c r="U670">
        <f t="shared" si="152"/>
        <v>20</v>
      </c>
      <c r="V670">
        <f t="shared" si="158"/>
        <v>-10</v>
      </c>
      <c r="W670">
        <f t="shared" si="162"/>
        <v>305.55669900000009</v>
      </c>
      <c r="X670">
        <f>SUM($W$34:W670)</f>
        <v>464.16866699999997</v>
      </c>
      <c r="Y670">
        <f t="shared" si="159"/>
        <v>0</v>
      </c>
    </row>
    <row r="671" spans="1:25">
      <c r="A671">
        <v>131.52037849999999</v>
      </c>
      <c r="B671" s="2">
        <f t="shared" si="160"/>
        <v>2.5684338936293742E-3</v>
      </c>
      <c r="C671">
        <v>99.384506459999997</v>
      </c>
      <c r="D671" s="3">
        <f t="shared" si="161"/>
        <v>-1.235509947081948E-2</v>
      </c>
      <c r="E671" s="3">
        <f t="shared" si="147"/>
        <v>-1.2955923446211527E-2</v>
      </c>
      <c r="F671" s="3">
        <f>STDEV($E$32:E671)</f>
        <v>1.3093994754671653E-2</v>
      </c>
      <c r="G671" s="14">
        <f t="shared" si="150"/>
        <v>-0.98945537163814234</v>
      </c>
      <c r="H671" s="15">
        <f>yint($B$3:B671,$D$3:D671)</f>
        <v>-4.0373148004690183E-5</v>
      </c>
      <c r="I671" s="16">
        <f>MyReg($B$3:B671,$D$3:D671)</f>
        <v>0.24964517287641014</v>
      </c>
      <c r="J671" s="17">
        <f>STDEV($D$3:D671)</f>
        <v>1.3390963132372811E-2</v>
      </c>
      <c r="K671" s="4">
        <f t="shared" si="148"/>
        <v>6.0082397539204611E-4</v>
      </c>
      <c r="L671">
        <f t="shared" si="151"/>
        <v>-0.98945537163814234</v>
      </c>
      <c r="M671">
        <f>RSQ($D$3:D671,$B$3:B671)</f>
        <v>5.1446237717561898E-2</v>
      </c>
      <c r="N671">
        <v>639</v>
      </c>
      <c r="O671" t="str">
        <f t="shared" si="149"/>
        <v/>
      </c>
      <c r="P671" t="str">
        <f t="shared" si="153"/>
        <v>buyhold</v>
      </c>
      <c r="Q671">
        <f t="shared" si="154"/>
        <v>-10</v>
      </c>
      <c r="R671">
        <f t="shared" si="155"/>
        <v>0</v>
      </c>
      <c r="S671">
        <f t="shared" si="156"/>
        <v>10</v>
      </c>
      <c r="T671">
        <f t="shared" si="157"/>
        <v>0</v>
      </c>
      <c r="U671">
        <f t="shared" si="152"/>
        <v>20</v>
      </c>
      <c r="V671">
        <f t="shared" si="158"/>
        <v>0</v>
      </c>
      <c r="W671">
        <f t="shared" si="162"/>
        <v>0</v>
      </c>
      <c r="X671">
        <f>SUM($W$34:W671)</f>
        <v>464.16866699999997</v>
      </c>
      <c r="Y671">
        <f t="shared" si="159"/>
        <v>0</v>
      </c>
    </row>
    <row r="672" spans="1:25">
      <c r="A672">
        <v>129.53394800000001</v>
      </c>
      <c r="B672" s="2">
        <f t="shared" si="160"/>
        <v>-1.5103594763453203E-2</v>
      </c>
      <c r="C672">
        <v>98.621768250000002</v>
      </c>
      <c r="D672" s="3">
        <f t="shared" si="161"/>
        <v>-7.6746188834471863E-3</v>
      </c>
      <c r="E672" s="3">
        <f t="shared" si="147"/>
        <v>-3.8484973780671576E-3</v>
      </c>
      <c r="F672" s="3">
        <f>STDEV($E$32:E672)</f>
        <v>1.3084563804400021E-2</v>
      </c>
      <c r="G672" s="14">
        <f t="shared" si="150"/>
        <v>-0.29412500375236056</v>
      </c>
      <c r="H672" s="15">
        <f>yint($B$3:B672,$D$3:D672)</f>
        <v>-4.6419120343669821E-5</v>
      </c>
      <c r="I672" s="16">
        <f>MyReg($B$3:B672,$D$3:D672)</f>
        <v>0.25025184032229614</v>
      </c>
      <c r="J672" s="17">
        <f>STDEV($D$3:D672)</f>
        <v>1.3384304812431353E-2</v>
      </c>
      <c r="K672" s="4">
        <f t="shared" si="148"/>
        <v>-3.8261215053800287E-3</v>
      </c>
      <c r="L672">
        <f t="shared" si="151"/>
        <v>-0.29412500375236056</v>
      </c>
      <c r="M672">
        <f>RSQ($D$3:D672,$B$3:B672)</f>
        <v>5.1797450746706941E-2</v>
      </c>
      <c r="N672">
        <v>640</v>
      </c>
      <c r="O672" t="str">
        <f t="shared" si="149"/>
        <v/>
      </c>
      <c r="P672" t="str">
        <f t="shared" si="153"/>
        <v>close</v>
      </c>
      <c r="Q672">
        <f t="shared" si="154"/>
        <v>0</v>
      </c>
      <c r="R672">
        <f t="shared" si="155"/>
        <v>0</v>
      </c>
      <c r="S672">
        <f t="shared" si="156"/>
        <v>0</v>
      </c>
      <c r="T672">
        <f t="shared" si="157"/>
        <v>0</v>
      </c>
      <c r="U672">
        <f t="shared" si="152"/>
        <v>0</v>
      </c>
      <c r="V672">
        <f t="shared" si="158"/>
        <v>10</v>
      </c>
      <c r="W672">
        <f t="shared" si="162"/>
        <v>-309.12179750000007</v>
      </c>
      <c r="X672">
        <f>SUM($W$34:W672)</f>
        <v>155.0468694999999</v>
      </c>
      <c r="Y672">
        <f t="shared" si="159"/>
        <v>155.0468694999999</v>
      </c>
    </row>
    <row r="673" spans="1:25">
      <c r="A673">
        <v>126.9525738</v>
      </c>
      <c r="B673" s="2">
        <f t="shared" si="160"/>
        <v>-1.9928167402108465E-2</v>
      </c>
      <c r="C673">
        <v>98.711065070000004</v>
      </c>
      <c r="D673" s="3">
        <f t="shared" si="161"/>
        <v>9.0544736303692537E-4</v>
      </c>
      <c r="E673" s="3">
        <f t="shared" ref="E673:E736" si="163">D673-K673</f>
        <v>5.90534783766171E-3</v>
      </c>
      <c r="F673" s="3">
        <f>STDEV($E$32:E673)</f>
        <v>1.3076562617400807E-2</v>
      </c>
      <c r="G673" s="14">
        <f t="shared" si="150"/>
        <v>0.45159787097287651</v>
      </c>
      <c r="H673" s="15">
        <f>yint($B$3:B673,$D$3:D673)</f>
        <v>-3.7046060374291067E-5</v>
      </c>
      <c r="I673" s="16">
        <f>MyReg($B$3:B673,$D$3:D673)</f>
        <v>0.2490371700573635</v>
      </c>
      <c r="J673" s="17">
        <f>STDEV($D$3:D673)</f>
        <v>1.3374351797831653E-2</v>
      </c>
      <c r="K673" s="4">
        <f t="shared" ref="K673:K736" si="164">H673+B673*I673</f>
        <v>-4.9999004746247846E-3</v>
      </c>
      <c r="L673">
        <f t="shared" si="151"/>
        <v>0.45159787097287651</v>
      </c>
      <c r="M673">
        <f>RSQ($D$3:D673,$B$3:B673)</f>
        <v>5.1510341379851249E-2</v>
      </c>
      <c r="N673">
        <v>641</v>
      </c>
      <c r="O673" t="str">
        <f t="shared" ref="O673:O736" si="165">IF(L673&gt;1.5,"sellY",IF(L673&lt;-1.5,"buyY",""))</f>
        <v/>
      </c>
      <c r="P673" t="str">
        <f t="shared" si="153"/>
        <v/>
      </c>
      <c r="Q673">
        <f t="shared" si="154"/>
        <v>0</v>
      </c>
      <c r="R673">
        <f t="shared" si="155"/>
        <v>0</v>
      </c>
      <c r="S673">
        <f t="shared" si="156"/>
        <v>0</v>
      </c>
      <c r="T673">
        <f t="shared" si="157"/>
        <v>0</v>
      </c>
      <c r="U673">
        <f t="shared" si="152"/>
        <v>0</v>
      </c>
      <c r="V673">
        <f t="shared" si="158"/>
        <v>0</v>
      </c>
      <c r="W673">
        <f t="shared" si="162"/>
        <v>0</v>
      </c>
      <c r="X673">
        <f>SUM($W$34:W673)</f>
        <v>155.0468694999999</v>
      </c>
      <c r="Y673">
        <f t="shared" si="159"/>
        <v>0</v>
      </c>
    </row>
    <row r="674" spans="1:25">
      <c r="A674">
        <v>126.9019041</v>
      </c>
      <c r="B674" s="2">
        <f t="shared" si="160"/>
        <v>-3.9912306212731754E-4</v>
      </c>
      <c r="C674">
        <v>99.691597849999994</v>
      </c>
      <c r="D674" s="3">
        <f t="shared" si="161"/>
        <v>9.9333623774057623E-3</v>
      </c>
      <c r="E674" s="3">
        <f t="shared" si="163"/>
        <v>1.0054750763058689E-2</v>
      </c>
      <c r="F674" s="3">
        <f>STDEV($E$32:E674)</f>
        <v>1.3072601051305815E-2</v>
      </c>
      <c r="G674" s="14">
        <f t="shared" ref="G674:G737" si="166">E674/F674</f>
        <v>0.76914691449673855</v>
      </c>
      <c r="H674" s="15">
        <f>yint($B$3:B674,$D$3:D674)</f>
        <v>-2.2025332191727054E-5</v>
      </c>
      <c r="I674" s="16">
        <f>MyReg($B$3:B674,$D$3:D674)</f>
        <v>0.24895342537110177</v>
      </c>
      <c r="J674" s="17">
        <f>STDEV($D$3:D674)</f>
        <v>1.3369797269391918E-2</v>
      </c>
      <c r="K674" s="4">
        <f t="shared" si="164"/>
        <v>-1.2138838565292581E-4</v>
      </c>
      <c r="L674">
        <f t="shared" ref="L674:L737" si="167">(D674-K674)/F674</f>
        <v>0.76914691449673855</v>
      </c>
      <c r="M674">
        <f>RSQ($D$3:D674,$B$3:B674)</f>
        <v>5.143436867226673E-2</v>
      </c>
      <c r="N674">
        <v>642</v>
      </c>
      <c r="O674" t="str">
        <f t="shared" si="165"/>
        <v/>
      </c>
      <c r="P674" t="str">
        <f t="shared" si="153"/>
        <v/>
      </c>
      <c r="Q674">
        <f t="shared" si="154"/>
        <v>0</v>
      </c>
      <c r="R674">
        <f t="shared" si="155"/>
        <v>0</v>
      </c>
      <c r="S674">
        <f t="shared" si="156"/>
        <v>0</v>
      </c>
      <c r="T674">
        <f t="shared" si="157"/>
        <v>0</v>
      </c>
      <c r="U674">
        <f t="shared" ref="U674:U737" si="168">ABS(Q674)+ABS(S674)</f>
        <v>0</v>
      </c>
      <c r="V674">
        <f t="shared" si="158"/>
        <v>0</v>
      </c>
      <c r="W674">
        <f t="shared" si="162"/>
        <v>0</v>
      </c>
      <c r="X674">
        <f>SUM($W$34:W674)</f>
        <v>155.0468694999999</v>
      </c>
      <c r="Y674">
        <f t="shared" si="159"/>
        <v>0</v>
      </c>
    </row>
    <row r="675" spans="1:25">
      <c r="A675">
        <v>125.9468001</v>
      </c>
      <c r="B675" s="2">
        <f t="shared" si="160"/>
        <v>-7.5263173297018442E-3</v>
      </c>
      <c r="C675">
        <v>97.948611880000001</v>
      </c>
      <c r="D675" s="3">
        <f t="shared" si="161"/>
        <v>-1.7483780053586456E-2</v>
      </c>
      <c r="E675" s="3">
        <f t="shared" si="163"/>
        <v>-1.5555015703749325E-2</v>
      </c>
      <c r="F675" s="3">
        <f>STDEV($E$32:E675)</f>
        <v>1.307651241043014E-2</v>
      </c>
      <c r="G675" s="14">
        <f t="shared" si="166"/>
        <v>-1.189538557034693</v>
      </c>
      <c r="H675" s="15">
        <f>yint($B$3:B675,$D$3:D675)</f>
        <v>-4.5705583929938294E-5</v>
      </c>
      <c r="I675" s="16">
        <f>MyReg($B$3:B675,$D$3:D675)</f>
        <v>0.25019656804475859</v>
      </c>
      <c r="J675" s="17">
        <f>STDEV($D$3:D675)</f>
        <v>1.337699891230709E-2</v>
      </c>
      <c r="K675" s="4">
        <f t="shared" si="164"/>
        <v>-1.9287643498371316E-3</v>
      </c>
      <c r="L675">
        <f t="shared" si="167"/>
        <v>-1.189538557034693</v>
      </c>
      <c r="M675">
        <f>RSQ($D$3:D675,$B$3:B675)</f>
        <v>5.1849074967400544E-2</v>
      </c>
      <c r="N675">
        <v>643</v>
      </c>
      <c r="O675" t="str">
        <f t="shared" si="165"/>
        <v/>
      </c>
      <c r="P675" t="str">
        <f t="shared" ref="P675:P738" si="169">IF(AND(OR(O674="sellY",P674="sellhold"),L675&gt;0.5),"sellhold",IF(AND(OR(O674="sellY",P674="sellhold"),L675&lt;0.5,O675&lt;&gt;"buyY"),"close",IF(AND(OR(O674="sellY",P674="sellhold"),L675&lt;0.5,O675="buyY"),"close&amp;buy",IF(AND(OR(O674="buyY",P674="buyhold"),L675&lt;-0.5),"buyhold",IF(AND(OR(O674="buyY",P674="buyhold"),L675&gt;-0.5,O675&lt;&gt;"sellY"),"close",IF(AND(OR(O674="buyY",P674="buyhold"),L675&gt;-0.5,O675="sellY"),"close&amp;sell",""))))))</f>
        <v/>
      </c>
      <c r="Q675">
        <f t="shared" ref="Q675:Q738" si="170">IF(O675="sellY",MAX(10+R675,Q674),IF(O675="buyY",MIN(-10+R675,Q674),IF(P675="sellhold",Q674+R675,IF(P675="buyhold",Q674+R675,0))))</f>
        <v>0</v>
      </c>
      <c r="R675">
        <f t="shared" ref="R675:R738" si="171">IF(AND(L675&gt;2.5,Q674&lt;15),10,IF(AND(L675&gt;2,Q674&lt;15),5,IF(AND(L675&lt;-2.5,Q674&gt;-15),-10,IF(AND(L675&lt;-2,Q674&gt;-15),-5,0))))</f>
        <v>0</v>
      </c>
      <c r="S675">
        <f t="shared" ref="S675:S738" si="172">IF(O675="sellY",MIN(-10+T675,S674),IF(O675="buyY",MAX(10+T675,S674),IF(P675="sellhold",S674+T675,IF(P675="buyhold",S674+T675,0))))</f>
        <v>0</v>
      </c>
      <c r="T675">
        <f t="shared" ref="T675:T738" si="173">IF(AND(L675&gt;2.5,Q674&lt;15),-10,IF(AND(L675&gt;2,Q674&lt;15),-5,IF(AND(L675&lt;-2.5,Q674&gt;-15),10,IF(AND(L675&lt;-2,Q674&gt;-15),5,0))))</f>
        <v>0</v>
      </c>
      <c r="U675">
        <f t="shared" si="168"/>
        <v>0</v>
      </c>
      <c r="V675">
        <f t="shared" ref="V675:V738" si="174">Q675-Q674</f>
        <v>0</v>
      </c>
      <c r="W675">
        <f t="shared" si="162"/>
        <v>0</v>
      </c>
      <c r="X675">
        <f>SUM($W$34:W675)</f>
        <v>155.0468694999999</v>
      </c>
      <c r="Y675">
        <f t="shared" si="159"/>
        <v>0</v>
      </c>
    </row>
    <row r="676" spans="1:25">
      <c r="A676">
        <v>124.2839979</v>
      </c>
      <c r="B676" s="2">
        <f t="shared" si="160"/>
        <v>-1.32024172005939E-2</v>
      </c>
      <c r="C676">
        <v>99.711688969999997</v>
      </c>
      <c r="D676" s="3">
        <f t="shared" si="161"/>
        <v>1.8000021196420819E-2</v>
      </c>
      <c r="E676" s="3">
        <f t="shared" si="163"/>
        <v>2.1277685256527581E-2</v>
      </c>
      <c r="F676" s="3">
        <f>STDEV($E$32:E676)</f>
        <v>1.3093651991083147E-2</v>
      </c>
      <c r="G676" s="14">
        <f t="shared" si="166"/>
        <v>1.6250382453281795</v>
      </c>
      <c r="H676" s="15">
        <f>yint($B$3:B676,$D$3:D676)</f>
        <v>-1.2876578145261025E-5</v>
      </c>
      <c r="I676" s="16">
        <f>MyReg($B$3:B676,$D$3:D676)</f>
        <v>0.2472871014721939</v>
      </c>
      <c r="J676" s="17">
        <f>STDEV($D$3:D676)</f>
        <v>1.3384909361886551E-2</v>
      </c>
      <c r="K676" s="4">
        <f t="shared" si="164"/>
        <v>-3.2776640601067629E-3</v>
      </c>
      <c r="L676">
        <f t="shared" si="167"/>
        <v>1.6250382453281795</v>
      </c>
      <c r="M676">
        <f>RSQ($D$3:D676,$B$3:B676)</f>
        <v>5.0609120702122888E-2</v>
      </c>
      <c r="N676">
        <v>644</v>
      </c>
      <c r="O676" t="str">
        <f t="shared" si="165"/>
        <v>sellY</v>
      </c>
      <c r="P676" t="str">
        <f t="shared" si="169"/>
        <v/>
      </c>
      <c r="Q676">
        <f t="shared" si="170"/>
        <v>10</v>
      </c>
      <c r="R676">
        <f t="shared" si="171"/>
        <v>0</v>
      </c>
      <c r="S676">
        <f t="shared" si="172"/>
        <v>-10</v>
      </c>
      <c r="T676">
        <f t="shared" si="173"/>
        <v>0</v>
      </c>
      <c r="U676">
        <f t="shared" si="168"/>
        <v>20</v>
      </c>
      <c r="V676">
        <f t="shared" si="174"/>
        <v>10</v>
      </c>
      <c r="W676">
        <f t="shared" si="162"/>
        <v>-245.72308930000005</v>
      </c>
      <c r="X676">
        <f>SUM($W$34:W676)</f>
        <v>-90.676219800000155</v>
      </c>
      <c r="Y676">
        <f t="shared" ref="Y676:Y739" si="175">IF(P676="close",X676,0)</f>
        <v>0</v>
      </c>
    </row>
    <row r="677" spans="1:25">
      <c r="A677">
        <v>125.3678262</v>
      </c>
      <c r="B677" s="2">
        <f t="shared" si="160"/>
        <v>8.7205780173892633E-3</v>
      </c>
      <c r="C677">
        <v>100.4818504</v>
      </c>
      <c r="D677" s="3">
        <f t="shared" si="161"/>
        <v>7.7238831069416369E-3</v>
      </c>
      <c r="E677" s="3">
        <f t="shared" si="163"/>
        <v>5.5681455819478198E-3</v>
      </c>
      <c r="F677" s="3">
        <f>STDEV($E$32:E677)</f>
        <v>1.3085432092667678E-2</v>
      </c>
      <c r="G677" s="14">
        <f t="shared" si="166"/>
        <v>0.42552248504410395</v>
      </c>
      <c r="H677" s="15">
        <f>yint($B$3:B677,$D$3:D677)</f>
        <v>-4.7994707459102356E-6</v>
      </c>
      <c r="I677" s="16">
        <f>MyReg($B$3:B677,$D$3:D677)</f>
        <v>0.2477515815386904</v>
      </c>
      <c r="J677" s="17">
        <f>STDEV($D$3:D677)</f>
        <v>1.3378207364370535E-2</v>
      </c>
      <c r="K677" s="4">
        <f t="shared" si="164"/>
        <v>2.1557375249938167E-3</v>
      </c>
      <c r="L677">
        <f t="shared" si="167"/>
        <v>0.42552248504410395</v>
      </c>
      <c r="M677">
        <f>RSQ($D$3:D677,$B$3:B677)</f>
        <v>5.0810086084006396E-2</v>
      </c>
      <c r="N677">
        <v>645</v>
      </c>
      <c r="O677" t="str">
        <f t="shared" si="165"/>
        <v/>
      </c>
      <c r="P677" t="str">
        <f t="shared" si="169"/>
        <v>close</v>
      </c>
      <c r="Q677">
        <f t="shared" si="170"/>
        <v>0</v>
      </c>
      <c r="R677">
        <f t="shared" si="171"/>
        <v>0</v>
      </c>
      <c r="S677">
        <f t="shared" si="172"/>
        <v>0</v>
      </c>
      <c r="T677">
        <f t="shared" si="173"/>
        <v>0</v>
      </c>
      <c r="U677">
        <f t="shared" si="168"/>
        <v>0</v>
      </c>
      <c r="V677">
        <f t="shared" si="174"/>
        <v>-10</v>
      </c>
      <c r="W677">
        <f t="shared" si="162"/>
        <v>248.85975799999997</v>
      </c>
      <c r="X677">
        <f>SUM($W$34:W677)</f>
        <v>158.18353819999982</v>
      </c>
      <c r="Y677">
        <f t="shared" si="175"/>
        <v>158.18353819999982</v>
      </c>
    </row>
    <row r="678" spans="1:25">
      <c r="A678">
        <v>125.26840559999999</v>
      </c>
      <c r="B678" s="2">
        <f t="shared" si="160"/>
        <v>-7.9303121872270263E-4</v>
      </c>
      <c r="C678">
        <v>102.77666069999999</v>
      </c>
      <c r="D678" s="3">
        <f t="shared" si="161"/>
        <v>2.2838057727487815E-2</v>
      </c>
      <c r="E678" s="3">
        <f t="shared" si="163"/>
        <v>2.3004917713589909E-2</v>
      </c>
      <c r="F678" s="3">
        <f>STDEV($E$32:E678)</f>
        <v>1.3106926067512932E-2</v>
      </c>
      <c r="G678" s="14">
        <f t="shared" si="166"/>
        <v>1.7551726159965395</v>
      </c>
      <c r="H678" s="15">
        <f>yint($B$3:B678,$D$3:D678)</f>
        <v>2.9395144901551138E-5</v>
      </c>
      <c r="I678" s="16">
        <f>MyReg($B$3:B678,$D$3:D678)</f>
        <v>0.24747465972366736</v>
      </c>
      <c r="J678" s="17">
        <f>STDEV($D$3:D678)</f>
        <v>1.3396877886537926E-2</v>
      </c>
      <c r="K678" s="4">
        <f t="shared" si="164"/>
        <v>-1.6685998610209491E-4</v>
      </c>
      <c r="L678">
        <f t="shared" si="167"/>
        <v>1.7551726159965395</v>
      </c>
      <c r="M678">
        <f>RSQ($D$3:D678,$B$3:B678)</f>
        <v>5.048118936460097E-2</v>
      </c>
      <c r="N678">
        <v>646</v>
      </c>
      <c r="O678" t="str">
        <f t="shared" si="165"/>
        <v>sellY</v>
      </c>
      <c r="P678" t="str">
        <f t="shared" si="169"/>
        <v/>
      </c>
      <c r="Q678">
        <f t="shared" si="170"/>
        <v>10</v>
      </c>
      <c r="R678">
        <f t="shared" si="171"/>
        <v>0</v>
      </c>
      <c r="S678">
        <f t="shared" si="172"/>
        <v>-10</v>
      </c>
      <c r="T678">
        <f t="shared" si="173"/>
        <v>0</v>
      </c>
      <c r="U678">
        <f t="shared" si="168"/>
        <v>20</v>
      </c>
      <c r="V678">
        <f t="shared" si="174"/>
        <v>10</v>
      </c>
      <c r="W678">
        <f t="shared" si="162"/>
        <v>-224.917449</v>
      </c>
      <c r="X678">
        <f>SUM($W$34:W678)</f>
        <v>-66.733910800000189</v>
      </c>
      <c r="Y678">
        <f t="shared" si="175"/>
        <v>0</v>
      </c>
    </row>
    <row r="679" spans="1:25">
      <c r="A679">
        <v>125.7227603</v>
      </c>
      <c r="B679" s="2">
        <f t="shared" si="160"/>
        <v>3.6270494369572332E-3</v>
      </c>
      <c r="C679">
        <v>102.8213839</v>
      </c>
      <c r="D679" s="3">
        <f t="shared" si="161"/>
        <v>4.3514937822850544E-4</v>
      </c>
      <c r="E679" s="3">
        <f t="shared" si="163"/>
        <v>-4.9107117106451915E-4</v>
      </c>
      <c r="F679" s="3">
        <f>STDEV($E$32:E679)</f>
        <v>1.309680191510321E-2</v>
      </c>
      <c r="G679" s="14">
        <f t="shared" si="166"/>
        <v>-3.7495502661471627E-2</v>
      </c>
      <c r="H679" s="15">
        <f>yint($B$3:B679,$D$3:D679)</f>
        <v>2.8675156070743791E-5</v>
      </c>
      <c r="I679" s="16">
        <f>MyReg($B$3:B679,$D$3:D679)</f>
        <v>0.24745882536832478</v>
      </c>
      <c r="J679" s="17">
        <f>STDEV($D$3:D679)</f>
        <v>1.3386970417453644E-2</v>
      </c>
      <c r="K679" s="4">
        <f t="shared" si="164"/>
        <v>9.2622054929302454E-4</v>
      </c>
      <c r="L679">
        <f t="shared" si="167"/>
        <v>-3.7495502661471627E-2</v>
      </c>
      <c r="M679">
        <f>RSQ($D$3:D679,$B$3:B679)</f>
        <v>5.0479923585909615E-2</v>
      </c>
      <c r="N679">
        <v>647</v>
      </c>
      <c r="O679" t="str">
        <f t="shared" si="165"/>
        <v/>
      </c>
      <c r="P679" t="str">
        <f t="shared" si="169"/>
        <v>close</v>
      </c>
      <c r="Q679">
        <f t="shared" si="170"/>
        <v>0</v>
      </c>
      <c r="R679">
        <f t="shared" si="171"/>
        <v>0</v>
      </c>
      <c r="S679">
        <f t="shared" si="172"/>
        <v>0</v>
      </c>
      <c r="T679">
        <f t="shared" si="173"/>
        <v>0</v>
      </c>
      <c r="U679">
        <f t="shared" si="168"/>
        <v>0</v>
      </c>
      <c r="V679">
        <f t="shared" si="174"/>
        <v>-10</v>
      </c>
      <c r="W679">
        <f t="shared" si="162"/>
        <v>229.01376400000004</v>
      </c>
      <c r="X679">
        <f>SUM($W$34:W679)</f>
        <v>162.27985319999985</v>
      </c>
      <c r="Y679">
        <f t="shared" si="175"/>
        <v>162.27985319999985</v>
      </c>
    </row>
    <row r="680" spans="1:25">
      <c r="A680">
        <v>123.48400599999999</v>
      </c>
      <c r="B680" s="2">
        <f t="shared" si="160"/>
        <v>-1.7807072439850104E-2</v>
      </c>
      <c r="C680">
        <v>102.1787954</v>
      </c>
      <c r="D680" s="3">
        <f t="shared" si="161"/>
        <v>-6.2495608950853872E-3</v>
      </c>
      <c r="E680" s="3">
        <f t="shared" si="163"/>
        <v>-1.862775931091386E-3</v>
      </c>
      <c r="F680" s="3">
        <f>STDEV($E$32:E680)</f>
        <v>1.3086874150630232E-2</v>
      </c>
      <c r="G680" s="14">
        <f t="shared" si="166"/>
        <v>-0.14233925608596756</v>
      </c>
      <c r="H680" s="15">
        <f>yint($B$3:B680,$D$3:D680)</f>
        <v>2.5783644243563357E-5</v>
      </c>
      <c r="I680" s="16">
        <f>MyReg($B$3:B680,$D$3:D680)</f>
        <v>0.247798655457972</v>
      </c>
      <c r="J680" s="17">
        <f>STDEV($D$3:D680)</f>
        <v>1.3379323709028324E-2</v>
      </c>
      <c r="K680" s="4">
        <f t="shared" si="164"/>
        <v>-4.3867849639940013E-3</v>
      </c>
      <c r="L680">
        <f t="shared" si="167"/>
        <v>-0.14233925608596756</v>
      </c>
      <c r="M680">
        <f>RSQ($D$3:D680,$B$3:B680)</f>
        <v>5.0769625760863066E-2</v>
      </c>
      <c r="N680">
        <v>648</v>
      </c>
      <c r="O680" t="str">
        <f t="shared" si="165"/>
        <v/>
      </c>
      <c r="P680" t="str">
        <f t="shared" si="169"/>
        <v/>
      </c>
      <c r="Q680">
        <f t="shared" si="170"/>
        <v>0</v>
      </c>
      <c r="R680">
        <f t="shared" si="171"/>
        <v>0</v>
      </c>
      <c r="S680">
        <f t="shared" si="172"/>
        <v>0</v>
      </c>
      <c r="T680">
        <f t="shared" si="173"/>
        <v>0</v>
      </c>
      <c r="U680">
        <f t="shared" si="168"/>
        <v>0</v>
      </c>
      <c r="V680">
        <f t="shared" si="174"/>
        <v>0</v>
      </c>
      <c r="W680">
        <f t="shared" si="162"/>
        <v>0</v>
      </c>
      <c r="X680">
        <f>SUM($W$34:W680)</f>
        <v>162.27985319999985</v>
      </c>
      <c r="Y680">
        <f t="shared" si="175"/>
        <v>0</v>
      </c>
    </row>
    <row r="681" spans="1:25">
      <c r="A681">
        <v>124.2219786</v>
      </c>
      <c r="B681" s="2">
        <f t="shared" si="160"/>
        <v>5.9762606017171671E-3</v>
      </c>
      <c r="C681">
        <v>102.0267716</v>
      </c>
      <c r="D681" s="3">
        <f t="shared" si="161"/>
        <v>-1.4878214154401251E-3</v>
      </c>
      <c r="E681" s="3">
        <f t="shared" si="163"/>
        <v>-2.9891729953231494E-3</v>
      </c>
      <c r="F681" s="3">
        <f>STDEV($E$32:E681)</f>
        <v>1.3077275997129573E-2</v>
      </c>
      <c r="G681" s="14">
        <f t="shared" si="166"/>
        <v>-0.22857764843223199</v>
      </c>
      <c r="H681" s="15">
        <f>yint($B$3:B681,$D$3:D681)</f>
        <v>2.1439066480442363E-5</v>
      </c>
      <c r="I681" s="16">
        <f>MyReg($B$3:B681,$D$3:D681)</f>
        <v>0.24763185744901364</v>
      </c>
      <c r="J681" s="17">
        <f>STDEV($D$3:D681)</f>
        <v>1.3369595907867625E-2</v>
      </c>
      <c r="K681" s="4">
        <f t="shared" si="164"/>
        <v>1.5013515798830244E-3</v>
      </c>
      <c r="L681">
        <f t="shared" si="167"/>
        <v>-0.22857764843223199</v>
      </c>
      <c r="M681">
        <f>RSQ($D$3:D681,$B$3:B681)</f>
        <v>5.0716013957252046E-2</v>
      </c>
      <c r="N681">
        <v>649</v>
      </c>
      <c r="O681" t="str">
        <f t="shared" si="165"/>
        <v/>
      </c>
      <c r="P681" t="str">
        <f t="shared" si="169"/>
        <v/>
      </c>
      <c r="Q681">
        <f t="shared" si="170"/>
        <v>0</v>
      </c>
      <c r="R681">
        <f t="shared" si="171"/>
        <v>0</v>
      </c>
      <c r="S681">
        <f t="shared" si="172"/>
        <v>0</v>
      </c>
      <c r="T681">
        <f t="shared" si="173"/>
        <v>0</v>
      </c>
      <c r="U681">
        <f t="shared" si="168"/>
        <v>0</v>
      </c>
      <c r="V681">
        <f t="shared" si="174"/>
        <v>0</v>
      </c>
      <c r="W681">
        <f t="shared" si="162"/>
        <v>0</v>
      </c>
      <c r="X681">
        <f>SUM($W$34:W681)</f>
        <v>162.27985319999985</v>
      </c>
      <c r="Y681">
        <f t="shared" si="175"/>
        <v>0</v>
      </c>
    </row>
    <row r="682" spans="1:25">
      <c r="A682">
        <v>122.3705011</v>
      </c>
      <c r="B682" s="2">
        <f t="shared" si="160"/>
        <v>-1.4904588711807892E-2</v>
      </c>
      <c r="C682">
        <v>100.3880411</v>
      </c>
      <c r="D682" s="3">
        <f t="shared" si="161"/>
        <v>-1.6061769614986114E-2</v>
      </c>
      <c r="E682" s="3">
        <f t="shared" si="163"/>
        <v>-1.234535102359044E-2</v>
      </c>
      <c r="F682" s="3">
        <f>STDEV($E$32:E682)</f>
        <v>1.3076004371688505E-2</v>
      </c>
      <c r="G682" s="14">
        <f t="shared" si="166"/>
        <v>-0.94412258306673258</v>
      </c>
      <c r="H682" s="15">
        <f>yint($B$3:B682,$D$3:D682)</f>
        <v>2.5162845692429403E-6</v>
      </c>
      <c r="I682" s="16">
        <f>MyReg($B$3:B682,$D$3:D682)</f>
        <v>0.24951610191153129</v>
      </c>
      <c r="J682" s="17">
        <f>STDEV($D$3:D682)</f>
        <v>1.3374149074191719E-2</v>
      </c>
      <c r="K682" s="4">
        <f t="shared" si="164"/>
        <v>-3.7164185913956737E-3</v>
      </c>
      <c r="L682">
        <f t="shared" si="167"/>
        <v>-0.94412258306673258</v>
      </c>
      <c r="M682">
        <f>RSQ($D$3:D682,$B$3:B682)</f>
        <v>5.1499706904800067E-2</v>
      </c>
      <c r="N682">
        <v>650</v>
      </c>
      <c r="O682" t="str">
        <f t="shared" si="165"/>
        <v/>
      </c>
      <c r="P682" t="str">
        <f t="shared" si="169"/>
        <v/>
      </c>
      <c r="Q682">
        <f t="shared" si="170"/>
        <v>0</v>
      </c>
      <c r="R682">
        <f t="shared" si="171"/>
        <v>0</v>
      </c>
      <c r="S682">
        <f t="shared" si="172"/>
        <v>0</v>
      </c>
      <c r="T682">
        <f t="shared" si="173"/>
        <v>0</v>
      </c>
      <c r="U682">
        <f t="shared" si="168"/>
        <v>0</v>
      </c>
      <c r="V682">
        <f t="shared" si="174"/>
        <v>0</v>
      </c>
      <c r="W682">
        <f t="shared" si="162"/>
        <v>0</v>
      </c>
      <c r="X682">
        <f>SUM($W$34:W682)</f>
        <v>162.27985319999985</v>
      </c>
      <c r="Y682">
        <f t="shared" si="175"/>
        <v>0</v>
      </c>
    </row>
    <row r="683" spans="1:25">
      <c r="A683">
        <v>120.28183869999999</v>
      </c>
      <c r="B683" s="2">
        <f t="shared" si="160"/>
        <v>-1.7068348835910782E-2</v>
      </c>
      <c r="C683">
        <v>100.4858771</v>
      </c>
      <c r="D683" s="3">
        <f t="shared" si="161"/>
        <v>9.7457823589308917E-4</v>
      </c>
      <c r="E683" s="3">
        <f t="shared" si="163"/>
        <v>5.2074676941708687E-3</v>
      </c>
      <c r="F683" s="3">
        <f>STDEV($E$32:E683)</f>
        <v>1.3067630637955706E-2</v>
      </c>
      <c r="G683" s="14">
        <f t="shared" si="166"/>
        <v>0.39850129211989438</v>
      </c>
      <c r="H683" s="15">
        <f>yint($B$3:B683,$D$3:D683)</f>
        <v>1.0509532055629173E-5</v>
      </c>
      <c r="I683" s="16">
        <f>MyReg($B$3:B683,$D$3:D683)</f>
        <v>0.2486121552311816</v>
      </c>
      <c r="J683" s="17">
        <f>STDEV($D$3:D683)</f>
        <v>1.3364354022274302E-2</v>
      </c>
      <c r="K683" s="4">
        <f t="shared" si="164"/>
        <v>-4.2328894582777795E-3</v>
      </c>
      <c r="L683">
        <f t="shared" si="167"/>
        <v>0.39850129211989438</v>
      </c>
      <c r="M683">
        <f>RSQ($D$3:D683,$B$3:B683)</f>
        <v>5.1281455962693796E-2</v>
      </c>
      <c r="N683">
        <v>651</v>
      </c>
      <c r="O683" t="str">
        <f t="shared" si="165"/>
        <v/>
      </c>
      <c r="P683" t="str">
        <f t="shared" si="169"/>
        <v/>
      </c>
      <c r="Q683">
        <f t="shared" si="170"/>
        <v>0</v>
      </c>
      <c r="R683">
        <f t="shared" si="171"/>
        <v>0</v>
      </c>
      <c r="S683">
        <f t="shared" si="172"/>
        <v>0</v>
      </c>
      <c r="T683">
        <f t="shared" si="173"/>
        <v>0</v>
      </c>
      <c r="U683">
        <f t="shared" si="168"/>
        <v>0</v>
      </c>
      <c r="V683">
        <f t="shared" si="174"/>
        <v>0</v>
      </c>
      <c r="W683">
        <f t="shared" si="162"/>
        <v>0</v>
      </c>
      <c r="X683">
        <f>SUM($W$34:W683)</f>
        <v>162.27985319999985</v>
      </c>
      <c r="Y683">
        <f t="shared" si="175"/>
        <v>0</v>
      </c>
    </row>
    <row r="684" spans="1:25">
      <c r="A684">
        <v>121.9282814</v>
      </c>
      <c r="B684" s="2">
        <f t="shared" si="160"/>
        <v>1.3688206946241243E-2</v>
      </c>
      <c r="C684">
        <v>101.7276536</v>
      </c>
      <c r="D684" s="3">
        <f t="shared" si="161"/>
        <v>1.2357721660370522E-2</v>
      </c>
      <c r="E684" s="3">
        <f t="shared" si="163"/>
        <v>8.915314474192134E-3</v>
      </c>
      <c r="F684" s="3">
        <f>STDEV($E$32:E684)</f>
        <v>1.3062395833790494E-2</v>
      </c>
      <c r="G684" s="14">
        <f t="shared" si="166"/>
        <v>0.68251755555665594</v>
      </c>
      <c r="H684" s="15">
        <f>yint($B$3:B684,$D$3:D684)</f>
        <v>2.3193503895265838E-5</v>
      </c>
      <c r="I684" s="16">
        <f>MyReg($B$3:B684,$D$3:D684)</f>
        <v>0.24979266427748106</v>
      </c>
      <c r="J684" s="17">
        <f>STDEV($D$3:D684)</f>
        <v>1.3362789025568296E-2</v>
      </c>
      <c r="K684" s="4">
        <f t="shared" si="164"/>
        <v>3.4424071861783889E-3</v>
      </c>
      <c r="L684">
        <f t="shared" si="167"/>
        <v>0.68251755555665594</v>
      </c>
      <c r="M684">
        <f>RSQ($D$3:D684,$B$3:B684)</f>
        <v>5.1796929942961561E-2</v>
      </c>
      <c r="N684">
        <v>652</v>
      </c>
      <c r="O684" t="str">
        <f t="shared" si="165"/>
        <v/>
      </c>
      <c r="P684" t="str">
        <f t="shared" si="169"/>
        <v/>
      </c>
      <c r="Q684">
        <f t="shared" si="170"/>
        <v>0</v>
      </c>
      <c r="R684">
        <f t="shared" si="171"/>
        <v>0</v>
      </c>
      <c r="S684">
        <f t="shared" si="172"/>
        <v>0</v>
      </c>
      <c r="T684">
        <f t="shared" si="173"/>
        <v>0</v>
      </c>
      <c r="U684">
        <f t="shared" si="168"/>
        <v>0</v>
      </c>
      <c r="V684">
        <f t="shared" si="174"/>
        <v>0</v>
      </c>
      <c r="W684">
        <f t="shared" si="162"/>
        <v>0</v>
      </c>
      <c r="X684">
        <f>SUM($W$34:W684)</f>
        <v>162.27985319999985</v>
      </c>
      <c r="Y684">
        <f t="shared" si="175"/>
        <v>0</v>
      </c>
    </row>
    <row r="685" spans="1:25">
      <c r="A685">
        <v>120.86397460000001</v>
      </c>
      <c r="B685" s="2">
        <f t="shared" si="160"/>
        <v>-8.7289576116341208E-3</v>
      </c>
      <c r="C685">
        <v>103.206401</v>
      </c>
      <c r="D685" s="3">
        <f t="shared" si="161"/>
        <v>1.4536336459843435E-2</v>
      </c>
      <c r="E685" s="3">
        <f t="shared" si="163"/>
        <v>1.665550649344277E-2</v>
      </c>
      <c r="F685" s="3">
        <f>STDEV($E$32:E685)</f>
        <v>1.3068843537928608E-2</v>
      </c>
      <c r="G685" s="14">
        <f t="shared" si="166"/>
        <v>1.2744437903097463</v>
      </c>
      <c r="H685" s="15">
        <f>yint($B$3:B685,$D$3:D685)</f>
        <v>4.8162395986192693E-5</v>
      </c>
      <c r="I685" s="16">
        <f>MyReg($B$3:B685,$D$3:D685)</f>
        <v>0.24829223900650693</v>
      </c>
      <c r="J685" s="17">
        <f>STDEV($D$3:D685)</f>
        <v>1.3364386907557155E-2</v>
      </c>
      <c r="K685" s="4">
        <f t="shared" si="164"/>
        <v>-2.1191700335993343E-3</v>
      </c>
      <c r="L685">
        <f t="shared" si="167"/>
        <v>1.2744437903097463</v>
      </c>
      <c r="M685">
        <f>RSQ($D$3:D685,$B$3:B685)</f>
        <v>5.1131077430023229E-2</v>
      </c>
      <c r="N685">
        <v>653</v>
      </c>
      <c r="O685" t="str">
        <f t="shared" si="165"/>
        <v/>
      </c>
      <c r="P685" t="str">
        <f t="shared" si="169"/>
        <v/>
      </c>
      <c r="Q685">
        <f t="shared" si="170"/>
        <v>0</v>
      </c>
      <c r="R685">
        <f t="shared" si="171"/>
        <v>0</v>
      </c>
      <c r="S685">
        <f t="shared" si="172"/>
        <v>0</v>
      </c>
      <c r="T685">
        <f t="shared" si="173"/>
        <v>0</v>
      </c>
      <c r="U685">
        <f t="shared" si="168"/>
        <v>0</v>
      </c>
      <c r="V685">
        <f t="shared" si="174"/>
        <v>0</v>
      </c>
      <c r="W685">
        <f t="shared" si="162"/>
        <v>0</v>
      </c>
      <c r="X685">
        <f>SUM($W$34:W685)</f>
        <v>162.27985319999985</v>
      </c>
      <c r="Y685">
        <f t="shared" si="175"/>
        <v>0</v>
      </c>
    </row>
    <row r="686" spans="1:25">
      <c r="A686">
        <v>121.5011404</v>
      </c>
      <c r="B686" s="2">
        <f t="shared" si="160"/>
        <v>5.2717594478312903E-3</v>
      </c>
      <c r="C686">
        <v>105.01990189999999</v>
      </c>
      <c r="D686" s="3">
        <f t="shared" si="161"/>
        <v>1.7571593258057648E-2</v>
      </c>
      <c r="E686" s="3">
        <f t="shared" si="163"/>
        <v>1.6186915310435385E-2</v>
      </c>
      <c r="F686" s="3">
        <f>STDEV($E$32:E686)</f>
        <v>1.3074315131957141E-2</v>
      </c>
      <c r="G686" s="14">
        <f t="shared" si="166"/>
        <v>1.2380698451171803</v>
      </c>
      <c r="H686" s="15">
        <f>yint($B$3:B686,$D$3:D686)</f>
        <v>7.158504934090342E-5</v>
      </c>
      <c r="I686" s="16">
        <f>MyReg($B$3:B686,$D$3:D686)</f>
        <v>0.24908057950586904</v>
      </c>
      <c r="J686" s="17">
        <f>STDEV($D$3:D686)</f>
        <v>1.337123058713491E-2</v>
      </c>
      <c r="K686" s="4">
        <f t="shared" si="164"/>
        <v>1.3846779476222614E-3</v>
      </c>
      <c r="L686">
        <f t="shared" si="167"/>
        <v>1.2380698451171803</v>
      </c>
      <c r="M686">
        <f>RSQ($D$3:D686,$B$3:B686)</f>
        <v>5.13406413661288E-2</v>
      </c>
      <c r="N686">
        <v>654</v>
      </c>
      <c r="O686" t="str">
        <f t="shared" si="165"/>
        <v/>
      </c>
      <c r="P686" t="str">
        <f t="shared" si="169"/>
        <v/>
      </c>
      <c r="Q686">
        <f t="shared" si="170"/>
        <v>0</v>
      </c>
      <c r="R686">
        <f t="shared" si="171"/>
        <v>0</v>
      </c>
      <c r="S686">
        <f t="shared" si="172"/>
        <v>0</v>
      </c>
      <c r="T686">
        <f t="shared" si="173"/>
        <v>0</v>
      </c>
      <c r="U686">
        <f t="shared" si="168"/>
        <v>0</v>
      </c>
      <c r="V686">
        <f t="shared" si="174"/>
        <v>0</v>
      </c>
      <c r="W686">
        <f t="shared" si="162"/>
        <v>0</v>
      </c>
      <c r="X686">
        <f>SUM($W$34:W686)</f>
        <v>162.27985319999985</v>
      </c>
      <c r="Y686">
        <f t="shared" si="175"/>
        <v>0</v>
      </c>
    </row>
    <row r="687" spans="1:25">
      <c r="A687">
        <v>121.6258168</v>
      </c>
      <c r="B687" s="2">
        <f t="shared" si="160"/>
        <v>1.0261335785783166E-3</v>
      </c>
      <c r="C687">
        <v>106.1661539</v>
      </c>
      <c r="D687" s="3">
        <f t="shared" si="161"/>
        <v>1.0914616937001768E-2</v>
      </c>
      <c r="E687" s="3">
        <f t="shared" si="163"/>
        <v>1.0571939279976038E-2</v>
      </c>
      <c r="F687" s="3">
        <f>STDEV($E$32:E687)</f>
        <v>1.3070923338952335E-2</v>
      </c>
      <c r="G687" s="14">
        <f t="shared" si="166"/>
        <v>0.80881350198657076</v>
      </c>
      <c r="H687" s="15">
        <f>yint($B$3:B687,$D$3:D687)</f>
        <v>8.7016055558611702E-5</v>
      </c>
      <c r="I687" s="16">
        <f>MyReg($B$3:B687,$D$3:D687)</f>
        <v>0.2491504096584895</v>
      </c>
      <c r="J687" s="17">
        <f>STDEV($D$3:D687)</f>
        <v>1.3367768670344714E-2</v>
      </c>
      <c r="K687" s="4">
        <f t="shared" si="164"/>
        <v>3.4267765702573113E-4</v>
      </c>
      <c r="L687">
        <f t="shared" si="167"/>
        <v>0.80881350198657076</v>
      </c>
      <c r="M687">
        <f>RSQ($D$3:D687,$B$3:B687)</f>
        <v>5.1321128024029938E-2</v>
      </c>
      <c r="N687">
        <v>655</v>
      </c>
      <c r="O687" t="str">
        <f t="shared" si="165"/>
        <v/>
      </c>
      <c r="P687" t="str">
        <f t="shared" si="169"/>
        <v/>
      </c>
      <c r="Q687">
        <f t="shared" si="170"/>
        <v>0</v>
      </c>
      <c r="R687">
        <f t="shared" si="171"/>
        <v>0</v>
      </c>
      <c r="S687">
        <f t="shared" si="172"/>
        <v>0</v>
      </c>
      <c r="T687">
        <f t="shared" si="173"/>
        <v>0</v>
      </c>
      <c r="U687">
        <f t="shared" si="168"/>
        <v>0</v>
      </c>
      <c r="V687">
        <f t="shared" si="174"/>
        <v>0</v>
      </c>
      <c r="W687">
        <f t="shared" si="162"/>
        <v>0</v>
      </c>
      <c r="X687">
        <f>SUM($W$34:W687)</f>
        <v>162.27985319999985</v>
      </c>
      <c r="Y687">
        <f t="shared" si="175"/>
        <v>0</v>
      </c>
    </row>
    <row r="688" spans="1:25">
      <c r="A688">
        <v>123.20311479999999</v>
      </c>
      <c r="B688" s="2">
        <f t="shared" si="160"/>
        <v>1.2968447337078842E-2</v>
      </c>
      <c r="C688">
        <v>103.4607329</v>
      </c>
      <c r="D688" s="3">
        <f t="shared" si="161"/>
        <v>-2.5482895448471186E-2</v>
      </c>
      <c r="E688" s="3">
        <f t="shared" si="163"/>
        <v>-2.8713912806054634E-2</v>
      </c>
      <c r="F688" s="3">
        <f>STDEV($E$32:E688)</f>
        <v>1.3108766318385772E-2</v>
      </c>
      <c r="G688" s="14">
        <f t="shared" si="166"/>
        <v>-2.1904359349042464</v>
      </c>
      <c r="H688" s="15">
        <f>yint($B$3:B688,$D$3:D688)</f>
        <v>4.6386428121716449E-5</v>
      </c>
      <c r="I688" s="16">
        <f>MyReg($B$3:B688,$D$3:D688)</f>
        <v>0.24556763401863602</v>
      </c>
      <c r="J688" s="17">
        <f>STDEV($D$3:D688)</f>
        <v>1.3393884787707597E-2</v>
      </c>
      <c r="K688" s="4">
        <f t="shared" si="164"/>
        <v>3.2310173575834482E-3</v>
      </c>
      <c r="L688">
        <f t="shared" si="167"/>
        <v>-2.1904359349042464</v>
      </c>
      <c r="M688">
        <f>RSQ($D$3:D688,$B$3:B688)</f>
        <v>4.9666918731331028E-2</v>
      </c>
      <c r="N688">
        <v>656</v>
      </c>
      <c r="O688" t="str">
        <f t="shared" si="165"/>
        <v>buyY</v>
      </c>
      <c r="P688" t="str">
        <f t="shared" si="169"/>
        <v/>
      </c>
      <c r="Q688">
        <f t="shared" si="170"/>
        <v>-15</v>
      </c>
      <c r="R688">
        <f t="shared" si="171"/>
        <v>-5</v>
      </c>
      <c r="S688">
        <f t="shared" si="172"/>
        <v>15</v>
      </c>
      <c r="T688">
        <f t="shared" si="173"/>
        <v>5</v>
      </c>
      <c r="U688">
        <f t="shared" si="168"/>
        <v>30</v>
      </c>
      <c r="V688">
        <f t="shared" si="174"/>
        <v>-15</v>
      </c>
      <c r="W688">
        <f t="shared" si="162"/>
        <v>296.13572849999997</v>
      </c>
      <c r="X688">
        <f>SUM($W$34:W688)</f>
        <v>458.41558169999985</v>
      </c>
      <c r="Y688">
        <f t="shared" si="175"/>
        <v>0</v>
      </c>
    </row>
    <row r="689" spans="1:25">
      <c r="A689">
        <v>123.95671230000001</v>
      </c>
      <c r="B689" s="2">
        <f t="shared" si="160"/>
        <v>6.1167081791994775E-3</v>
      </c>
      <c r="C689">
        <v>102.5454056</v>
      </c>
      <c r="D689" s="3">
        <f t="shared" si="161"/>
        <v>-8.8470985497919406E-3</v>
      </c>
      <c r="E689" s="3">
        <f t="shared" si="163"/>
        <v>-1.0377047109357457E-2</v>
      </c>
      <c r="F689" s="3">
        <f>STDEV($E$32:E689)</f>
        <v>1.3104927601358654E-2</v>
      </c>
      <c r="G689" s="14">
        <f t="shared" si="166"/>
        <v>-0.79184314671693545</v>
      </c>
      <c r="H689" s="15">
        <f>yint($B$3:B689,$D$3:D689)</f>
        <v>3.1481954280558009E-5</v>
      </c>
      <c r="I689" s="16">
        <f>MyReg($B$3:B689,$D$3:D689)</f>
        <v>0.24497925377258575</v>
      </c>
      <c r="J689" s="17">
        <f>STDEV($D$3:D689)</f>
        <v>1.3388509434816514E-2</v>
      </c>
      <c r="K689" s="4">
        <f t="shared" si="164"/>
        <v>1.5299485595655178E-3</v>
      </c>
      <c r="L689">
        <f t="shared" si="167"/>
        <v>-0.79184314671693545</v>
      </c>
      <c r="M689">
        <f>RSQ($D$3:D689,$B$3:B689)</f>
        <v>4.9412836005174314E-2</v>
      </c>
      <c r="N689">
        <v>657</v>
      </c>
      <c r="O689" t="str">
        <f t="shared" si="165"/>
        <v/>
      </c>
      <c r="P689" t="str">
        <f t="shared" si="169"/>
        <v>buyhold</v>
      </c>
      <c r="Q689">
        <f t="shared" si="170"/>
        <v>-15</v>
      </c>
      <c r="R689">
        <f t="shared" si="171"/>
        <v>0</v>
      </c>
      <c r="S689">
        <f t="shared" si="172"/>
        <v>15</v>
      </c>
      <c r="T689">
        <f t="shared" si="173"/>
        <v>0</v>
      </c>
      <c r="U689">
        <f t="shared" si="168"/>
        <v>30</v>
      </c>
      <c r="V689">
        <f t="shared" si="174"/>
        <v>0</v>
      </c>
      <c r="W689">
        <f t="shared" si="162"/>
        <v>0</v>
      </c>
      <c r="X689">
        <f>SUM($W$34:W689)</f>
        <v>458.41558169999985</v>
      </c>
      <c r="Y689">
        <f t="shared" si="175"/>
        <v>0</v>
      </c>
    </row>
    <row r="690" spans="1:25">
      <c r="A690">
        <v>124.2245262</v>
      </c>
      <c r="B690" s="2">
        <f t="shared" si="160"/>
        <v>2.160543749755398E-3</v>
      </c>
      <c r="C690">
        <v>102.91539640000001</v>
      </c>
      <c r="D690" s="3">
        <f t="shared" si="161"/>
        <v>3.6080680342056273E-3</v>
      </c>
      <c r="E690" s="3">
        <f t="shared" si="163"/>
        <v>3.0427740097656595E-3</v>
      </c>
      <c r="F690" s="3">
        <f>STDEV($E$32:E690)</f>
        <v>1.3095538823888893E-2</v>
      </c>
      <c r="G690" s="14">
        <f t="shared" si="166"/>
        <v>0.23235195211784859</v>
      </c>
      <c r="H690" s="15">
        <f>yint($B$3:B690,$D$3:D690)</f>
        <v>3.5890427041033798E-5</v>
      </c>
      <c r="I690" s="16">
        <f>MyReg($B$3:B690,$D$3:D690)</f>
        <v>0.24503257453540087</v>
      </c>
      <c r="J690" s="17">
        <f>STDEV($D$3:D690)</f>
        <v>1.3379420262778812E-2</v>
      </c>
      <c r="K690" s="4">
        <f t="shared" si="164"/>
        <v>5.6529402443996788E-4</v>
      </c>
      <c r="L690">
        <f t="shared" si="167"/>
        <v>0.23235195211784859</v>
      </c>
      <c r="M690">
        <f>RSQ($D$3:D690,$B$3:B690)</f>
        <v>4.9431016317004653E-2</v>
      </c>
      <c r="N690">
        <v>658</v>
      </c>
      <c r="O690" t="str">
        <f t="shared" si="165"/>
        <v/>
      </c>
      <c r="P690" t="str">
        <f t="shared" si="169"/>
        <v>close</v>
      </c>
      <c r="Q690">
        <f t="shared" si="170"/>
        <v>0</v>
      </c>
      <c r="R690">
        <f t="shared" si="171"/>
        <v>0</v>
      </c>
      <c r="S690">
        <f t="shared" si="172"/>
        <v>0</v>
      </c>
      <c r="T690">
        <f t="shared" si="173"/>
        <v>0</v>
      </c>
      <c r="U690">
        <f t="shared" si="168"/>
        <v>0</v>
      </c>
      <c r="V690">
        <f t="shared" si="174"/>
        <v>15</v>
      </c>
      <c r="W690">
        <f t="shared" si="162"/>
        <v>-319.63694699999991</v>
      </c>
      <c r="X690">
        <f>SUM($W$34:W690)</f>
        <v>138.77863469999994</v>
      </c>
      <c r="Y690">
        <f t="shared" si="175"/>
        <v>138.77863469999994</v>
      </c>
    </row>
    <row r="691" spans="1:25">
      <c r="A691">
        <v>123.7290131</v>
      </c>
      <c r="B691" s="2">
        <f t="shared" si="160"/>
        <v>-3.9888507942644627E-3</v>
      </c>
      <c r="C691">
        <v>101.98538000000001</v>
      </c>
      <c r="D691" s="3">
        <f t="shared" si="161"/>
        <v>-9.0367081363153506E-3</v>
      </c>
      <c r="E691" s="3">
        <f t="shared" si="163"/>
        <v>-8.081923372590968E-3</v>
      </c>
      <c r="F691" s="3">
        <f>STDEV($E$32:E691)</f>
        <v>1.3089289234266058E-2</v>
      </c>
      <c r="G691" s="14">
        <f t="shared" si="166"/>
        <v>-0.61744554864243839</v>
      </c>
      <c r="H691" s="15">
        <f>yint($B$3:B691,$D$3:D691)</f>
        <v>2.4007526909097072E-5</v>
      </c>
      <c r="I691" s="16">
        <f>MyReg($B$3:B691,$D$3:D691)</f>
        <v>0.24538202633221509</v>
      </c>
      <c r="J691" s="17">
        <f>STDEV($D$3:D691)</f>
        <v>1.3374254681281469E-2</v>
      </c>
      <c r="K691" s="4">
        <f t="shared" si="164"/>
        <v>-9.5478476372438253E-4</v>
      </c>
      <c r="L691">
        <f t="shared" si="167"/>
        <v>-0.61744554864243839</v>
      </c>
      <c r="M691">
        <f>RSQ($D$3:D691,$B$3:B691)</f>
        <v>4.9547663915919783E-2</v>
      </c>
      <c r="N691">
        <v>659</v>
      </c>
      <c r="O691" t="str">
        <f t="shared" si="165"/>
        <v/>
      </c>
      <c r="P691" t="str">
        <f t="shared" si="169"/>
        <v/>
      </c>
      <c r="Q691">
        <f t="shared" si="170"/>
        <v>0</v>
      </c>
      <c r="R691">
        <f t="shared" si="171"/>
        <v>0</v>
      </c>
      <c r="S691">
        <f t="shared" si="172"/>
        <v>0</v>
      </c>
      <c r="T691">
        <f t="shared" si="173"/>
        <v>0</v>
      </c>
      <c r="U691">
        <f t="shared" si="168"/>
        <v>0</v>
      </c>
      <c r="V691">
        <f t="shared" si="174"/>
        <v>0</v>
      </c>
      <c r="W691">
        <f t="shared" si="162"/>
        <v>0</v>
      </c>
      <c r="X691">
        <f>SUM($W$34:W691)</f>
        <v>138.77863469999994</v>
      </c>
      <c r="Y691">
        <f t="shared" si="175"/>
        <v>0</v>
      </c>
    </row>
    <row r="692" spans="1:25">
      <c r="A692">
        <v>124.57956590000001</v>
      </c>
      <c r="B692" s="2">
        <f t="shared" si="160"/>
        <v>6.8743197629206878E-3</v>
      </c>
      <c r="C692">
        <v>103.888041</v>
      </c>
      <c r="D692" s="3">
        <f t="shared" si="161"/>
        <v>1.8656213272922009E-2</v>
      </c>
      <c r="E692" s="3">
        <f t="shared" si="163"/>
        <v>1.6913784170353767E-2</v>
      </c>
      <c r="F692" s="3">
        <f>STDEV($E$32:E692)</f>
        <v>1.3096118965000292E-2</v>
      </c>
      <c r="G692" s="14">
        <f t="shared" si="166"/>
        <v>1.2915111885861974</v>
      </c>
      <c r="H692" s="15">
        <f>yint($B$3:B692,$D$3:D692)</f>
        <v>4.814100147515756E-5</v>
      </c>
      <c r="I692" s="16">
        <f>MyReg($B$3:B692,$D$3:D692)</f>
        <v>0.2464662918696168</v>
      </c>
      <c r="J692" s="17">
        <f>STDEV($D$3:D692)</f>
        <v>1.3383166696783086E-2</v>
      </c>
      <c r="K692" s="4">
        <f t="shared" si="164"/>
        <v>1.7424291025682427E-3</v>
      </c>
      <c r="L692">
        <f t="shared" si="167"/>
        <v>1.2915111885861974</v>
      </c>
      <c r="M692">
        <f>RSQ($D$3:D692,$B$3:B692)</f>
        <v>4.9868212593035942E-2</v>
      </c>
      <c r="N692">
        <v>660</v>
      </c>
      <c r="O692" t="str">
        <f t="shared" si="165"/>
        <v/>
      </c>
      <c r="P692" t="str">
        <f t="shared" si="169"/>
        <v/>
      </c>
      <c r="Q692">
        <f t="shared" si="170"/>
        <v>0</v>
      </c>
      <c r="R692">
        <f t="shared" si="171"/>
        <v>0</v>
      </c>
      <c r="S692">
        <f t="shared" si="172"/>
        <v>0</v>
      </c>
      <c r="T692">
        <f t="shared" si="173"/>
        <v>0</v>
      </c>
      <c r="U692">
        <f t="shared" si="168"/>
        <v>0</v>
      </c>
      <c r="V692">
        <f t="shared" si="174"/>
        <v>0</v>
      </c>
      <c r="W692">
        <f t="shared" si="162"/>
        <v>0</v>
      </c>
      <c r="X692">
        <f>SUM($W$34:W692)</f>
        <v>138.77863469999994</v>
      </c>
      <c r="Y692">
        <f t="shared" si="175"/>
        <v>0</v>
      </c>
    </row>
    <row r="693" spans="1:25">
      <c r="A693">
        <v>123.9890544</v>
      </c>
      <c r="B693" s="2">
        <f t="shared" si="160"/>
        <v>-4.7400349787220216E-3</v>
      </c>
      <c r="C693">
        <v>105.09763700000001</v>
      </c>
      <c r="D693" s="3">
        <f t="shared" si="161"/>
        <v>1.1643265079952799E-2</v>
      </c>
      <c r="E693" s="3">
        <f t="shared" si="163"/>
        <v>1.2741604313966577E-2</v>
      </c>
      <c r="F693" s="3">
        <f>STDEV($E$32:E693)</f>
        <v>1.309569962512209E-2</v>
      </c>
      <c r="G693" s="14">
        <f t="shared" si="166"/>
        <v>0.97296094738793215</v>
      </c>
      <c r="H693" s="15">
        <f>yint($B$3:B693,$D$3:D693)</f>
        <v>6.6860115740878951E-5</v>
      </c>
      <c r="I693" s="16">
        <f>MyReg($B$3:B693,$D$3:D693)</f>
        <v>0.24582083359832291</v>
      </c>
      <c r="J693" s="17">
        <f>STDEV($D$3:D693)</f>
        <v>1.3380617026586659E-2</v>
      </c>
      <c r="K693" s="4">
        <f t="shared" si="164"/>
        <v>-1.0983392340137774E-3</v>
      </c>
      <c r="L693">
        <f t="shared" si="167"/>
        <v>0.97296094738793215</v>
      </c>
      <c r="M693">
        <f>RSQ($D$3:D693,$B$3:B693)</f>
        <v>4.9567209168326687E-2</v>
      </c>
      <c r="N693">
        <v>661</v>
      </c>
      <c r="O693" t="str">
        <f t="shared" si="165"/>
        <v/>
      </c>
      <c r="P693" t="str">
        <f t="shared" si="169"/>
        <v/>
      </c>
      <c r="Q693">
        <f t="shared" si="170"/>
        <v>0</v>
      </c>
      <c r="R693">
        <f t="shared" si="171"/>
        <v>0</v>
      </c>
      <c r="S693">
        <f t="shared" si="172"/>
        <v>0</v>
      </c>
      <c r="T693">
        <f t="shared" si="173"/>
        <v>0</v>
      </c>
      <c r="U693">
        <f t="shared" si="168"/>
        <v>0</v>
      </c>
      <c r="V693">
        <f t="shared" si="174"/>
        <v>0</v>
      </c>
      <c r="W693">
        <f t="shared" si="162"/>
        <v>0</v>
      </c>
      <c r="X693">
        <f>SUM($W$34:W693)</f>
        <v>138.77863469999994</v>
      </c>
      <c r="Y693">
        <f t="shared" si="175"/>
        <v>0</v>
      </c>
    </row>
    <row r="694" spans="1:25">
      <c r="A694">
        <v>123.7109047</v>
      </c>
      <c r="B694" s="2">
        <f t="shared" si="160"/>
        <v>-2.2433407637956803E-3</v>
      </c>
      <c r="C694">
        <v>103.95940950000001</v>
      </c>
      <c r="D694" s="3">
        <f t="shared" si="161"/>
        <v>-1.0830191167856601E-2</v>
      </c>
      <c r="E694" s="3">
        <f t="shared" si="163"/>
        <v>-1.0329938144681734E-2</v>
      </c>
      <c r="F694" s="3">
        <f>STDEV($E$32:E694)</f>
        <v>1.3091876391433071E-2</v>
      </c>
      <c r="G694" s="14">
        <f t="shared" si="166"/>
        <v>-0.7890341946278483</v>
      </c>
      <c r="H694" s="15">
        <f>yint($B$3:B694,$D$3:D694)</f>
        <v>5.180783399953511E-5</v>
      </c>
      <c r="I694" s="16">
        <f>MyReg($B$3:B694,$D$3:D694)</f>
        <v>0.24608872003927251</v>
      </c>
      <c r="J694" s="17">
        <f>STDEV($D$3:D694)</f>
        <v>1.3377458506723243E-2</v>
      </c>
      <c r="K694" s="4">
        <f t="shared" si="164"/>
        <v>-5.0025302317486782E-4</v>
      </c>
      <c r="L694">
        <f t="shared" si="167"/>
        <v>-0.7890341946278483</v>
      </c>
      <c r="M694">
        <f>RSQ($D$3:D694,$B$3:B694)</f>
        <v>4.9630215471536662E-2</v>
      </c>
      <c r="N694">
        <v>662</v>
      </c>
      <c r="O694" t="str">
        <f t="shared" si="165"/>
        <v/>
      </c>
      <c r="P694" t="str">
        <f t="shared" si="169"/>
        <v/>
      </c>
      <c r="Q694">
        <f t="shared" si="170"/>
        <v>0</v>
      </c>
      <c r="R694">
        <f t="shared" si="171"/>
        <v>0</v>
      </c>
      <c r="S694">
        <f t="shared" si="172"/>
        <v>0</v>
      </c>
      <c r="T694">
        <f t="shared" si="173"/>
        <v>0</v>
      </c>
      <c r="U694">
        <f t="shared" si="168"/>
        <v>0</v>
      </c>
      <c r="V694">
        <f t="shared" si="174"/>
        <v>0</v>
      </c>
      <c r="W694">
        <f t="shared" si="162"/>
        <v>0</v>
      </c>
      <c r="X694">
        <f>SUM($W$34:W694)</f>
        <v>138.77863469999994</v>
      </c>
      <c r="Y694">
        <f t="shared" si="175"/>
        <v>0</v>
      </c>
    </row>
    <row r="695" spans="1:25">
      <c r="A695">
        <v>125.75157969999999</v>
      </c>
      <c r="B695" s="2">
        <f t="shared" si="160"/>
        <v>1.6495514319846319E-2</v>
      </c>
      <c r="C695">
        <v>103.78956100000001</v>
      </c>
      <c r="D695" s="3">
        <f t="shared" si="161"/>
        <v>-1.6337963135506315E-3</v>
      </c>
      <c r="E695" s="3">
        <f t="shared" si="163"/>
        <v>-5.7220327949131303E-3</v>
      </c>
      <c r="F695" s="3">
        <f>STDEV($E$32:E695)</f>
        <v>1.3083831547996033E-2</v>
      </c>
      <c r="G695" s="14">
        <f t="shared" si="166"/>
        <v>-0.43733617128306251</v>
      </c>
      <c r="H695" s="15">
        <f>yint($B$3:B695,$D$3:D695)</f>
        <v>4.3885463584150469E-5</v>
      </c>
      <c r="I695" s="16">
        <f>MyReg($B$3:B695,$D$3:D695)</f>
        <v>0.24517883706799312</v>
      </c>
      <c r="J695" s="17">
        <f>STDEV($D$3:D695)</f>
        <v>1.3367960093006722E-2</v>
      </c>
      <c r="K695" s="4">
        <f t="shared" si="164"/>
        <v>4.0882364813624988E-3</v>
      </c>
      <c r="L695">
        <f t="shared" si="167"/>
        <v>-0.43733617128306251</v>
      </c>
      <c r="M695">
        <f>RSQ($D$3:D695,$B$3:B695)</f>
        <v>4.9388682967524966E-2</v>
      </c>
      <c r="N695">
        <v>663</v>
      </c>
      <c r="O695" t="str">
        <f t="shared" si="165"/>
        <v/>
      </c>
      <c r="P695" t="str">
        <f t="shared" si="169"/>
        <v/>
      </c>
      <c r="Q695">
        <f t="shared" si="170"/>
        <v>0</v>
      </c>
      <c r="R695">
        <f t="shared" si="171"/>
        <v>0</v>
      </c>
      <c r="S695">
        <f t="shared" si="172"/>
        <v>0</v>
      </c>
      <c r="T695">
        <f t="shared" si="173"/>
        <v>0</v>
      </c>
      <c r="U695">
        <f t="shared" si="168"/>
        <v>0</v>
      </c>
      <c r="V695">
        <f t="shared" si="174"/>
        <v>0</v>
      </c>
      <c r="W695">
        <f t="shared" si="162"/>
        <v>0</v>
      </c>
      <c r="X695">
        <f>SUM($W$34:W695)</f>
        <v>138.77863469999994</v>
      </c>
      <c r="Y695">
        <f t="shared" si="175"/>
        <v>0</v>
      </c>
    </row>
    <row r="696" spans="1:25">
      <c r="A696">
        <v>126.3498802</v>
      </c>
      <c r="B696" s="2">
        <f t="shared" si="160"/>
        <v>4.7577970903216228E-3</v>
      </c>
      <c r="C696">
        <v>105.3557814</v>
      </c>
      <c r="D696" s="3">
        <f t="shared" si="161"/>
        <v>1.5090346128354774E-2</v>
      </c>
      <c r="E696" s="3">
        <f t="shared" si="163"/>
        <v>1.3857367992757828E-2</v>
      </c>
      <c r="F696" s="3">
        <f>STDEV($E$32:E696)</f>
        <v>1.3085155880827466E-2</v>
      </c>
      <c r="G696" s="14">
        <f t="shared" si="166"/>
        <v>1.0590143609264768</v>
      </c>
      <c r="H696" s="15">
        <f>yint($B$3:B696,$D$3:D696)</f>
        <v>6.3641747551863642E-5</v>
      </c>
      <c r="I696" s="16">
        <f>MyReg($B$3:B696,$D$3:D696)</f>
        <v>0.24577264768683879</v>
      </c>
      <c r="J696" s="17">
        <f>STDEV($D$3:D696)</f>
        <v>1.337035627894425E-2</v>
      </c>
      <c r="K696" s="4">
        <f t="shared" si="164"/>
        <v>1.2329781355969465E-3</v>
      </c>
      <c r="L696">
        <f t="shared" si="167"/>
        <v>1.0590143609264768</v>
      </c>
      <c r="M696">
        <f>RSQ($D$3:D696,$B$3:B696)</f>
        <v>4.9548060666117083E-2</v>
      </c>
      <c r="N696">
        <v>664</v>
      </c>
      <c r="O696" t="str">
        <f t="shared" si="165"/>
        <v/>
      </c>
      <c r="P696" t="str">
        <f t="shared" si="169"/>
        <v/>
      </c>
      <c r="Q696">
        <f t="shared" si="170"/>
        <v>0</v>
      </c>
      <c r="R696">
        <f t="shared" si="171"/>
        <v>0</v>
      </c>
      <c r="S696">
        <f t="shared" si="172"/>
        <v>0</v>
      </c>
      <c r="T696">
        <f t="shared" si="173"/>
        <v>0</v>
      </c>
      <c r="U696">
        <f t="shared" si="168"/>
        <v>0</v>
      </c>
      <c r="V696">
        <f t="shared" si="174"/>
        <v>0</v>
      </c>
      <c r="W696">
        <f t="shared" si="162"/>
        <v>0</v>
      </c>
      <c r="X696">
        <f>SUM($W$34:W696)</f>
        <v>138.77863469999994</v>
      </c>
      <c r="Y696">
        <f t="shared" si="175"/>
        <v>0</v>
      </c>
    </row>
    <row r="697" spans="1:25">
      <c r="A697">
        <v>128.5876112</v>
      </c>
      <c r="B697" s="2">
        <f t="shared" si="160"/>
        <v>1.7710590595399683E-2</v>
      </c>
      <c r="C697">
        <v>107.0283033</v>
      </c>
      <c r="D697" s="3">
        <f t="shared" si="161"/>
        <v>1.5874989277047939E-2</v>
      </c>
      <c r="E697" s="3">
        <f t="shared" si="163"/>
        <v>1.1408528579811689E-2</v>
      </c>
      <c r="F697" s="3">
        <f>STDEV($E$32:E697)</f>
        <v>1.3082873576145336E-2</v>
      </c>
      <c r="G697" s="14">
        <f t="shared" si="166"/>
        <v>0.87202008896680272</v>
      </c>
      <c r="H697" s="15">
        <f>yint($B$3:B697,$D$3:D697)</f>
        <v>7.9283637062139254E-5</v>
      </c>
      <c r="I697" s="16">
        <f>MyReg($B$3:B697,$D$3:D697)</f>
        <v>0.24771489333131999</v>
      </c>
      <c r="J697" s="17">
        <f>STDEV($D$3:D697)</f>
        <v>1.3374003708575156E-2</v>
      </c>
      <c r="K697" s="4">
        <f t="shared" si="164"/>
        <v>4.4664606972362507E-3</v>
      </c>
      <c r="L697">
        <f t="shared" si="167"/>
        <v>0.87202008896680272</v>
      </c>
      <c r="M697">
        <f>RSQ($D$3:D697,$B$3:B697)</f>
        <v>5.0382075482282851E-2</v>
      </c>
      <c r="N697">
        <v>665</v>
      </c>
      <c r="O697" t="str">
        <f t="shared" si="165"/>
        <v/>
      </c>
      <c r="P697" t="str">
        <f t="shared" si="169"/>
        <v/>
      </c>
      <c r="Q697">
        <f t="shared" si="170"/>
        <v>0</v>
      </c>
      <c r="R697">
        <f t="shared" si="171"/>
        <v>0</v>
      </c>
      <c r="S697">
        <f t="shared" si="172"/>
        <v>0</v>
      </c>
      <c r="T697">
        <f t="shared" si="173"/>
        <v>0</v>
      </c>
      <c r="U697">
        <f t="shared" si="168"/>
        <v>0</v>
      </c>
      <c r="V697">
        <f t="shared" si="174"/>
        <v>0</v>
      </c>
      <c r="W697">
        <f t="shared" si="162"/>
        <v>0</v>
      </c>
      <c r="X697">
        <f>SUM($W$34:W697)</f>
        <v>138.77863469999994</v>
      </c>
      <c r="Y697">
        <f t="shared" si="175"/>
        <v>0</v>
      </c>
    </row>
    <row r="698" spans="1:25">
      <c r="A698">
        <v>127.07987350000001</v>
      </c>
      <c r="B698" s="2">
        <f t="shared" si="160"/>
        <v>-1.1725372965012299E-2</v>
      </c>
      <c r="C698">
        <v>106.5600488</v>
      </c>
      <c r="D698" s="3">
        <f t="shared" si="161"/>
        <v>-4.3750530052549235E-3</v>
      </c>
      <c r="E698" s="3">
        <f t="shared" si="163"/>
        <v>-1.5453214542382309E-3</v>
      </c>
      <c r="F698" s="3">
        <f>STDEV($E$32:E698)</f>
        <v>1.307317604888312E-2</v>
      </c>
      <c r="G698" s="14">
        <f t="shared" si="166"/>
        <v>-0.1182055109225162</v>
      </c>
      <c r="H698" s="15">
        <f>yint($B$3:B698,$D$3:D698)</f>
        <v>7.697991041388482E-5</v>
      </c>
      <c r="I698" s="16">
        <f>MyReg($B$3:B698,$D$3:D698)</f>
        <v>0.2478992753666773</v>
      </c>
      <c r="J698" s="17">
        <f>STDEV($D$3:D698)</f>
        <v>1.3365497405204183E-2</v>
      </c>
      <c r="K698" s="4">
        <f t="shared" si="164"/>
        <v>-2.8297315510166926E-3</v>
      </c>
      <c r="L698">
        <f t="shared" si="167"/>
        <v>-0.1182055109225162</v>
      </c>
      <c r="M698">
        <f>RSQ($D$3:D698,$B$3:B698)</f>
        <v>5.0521752296615485E-2</v>
      </c>
      <c r="N698">
        <v>666</v>
      </c>
      <c r="O698" t="str">
        <f t="shared" si="165"/>
        <v/>
      </c>
      <c r="P698" t="str">
        <f t="shared" si="169"/>
        <v/>
      </c>
      <c r="Q698">
        <f t="shared" si="170"/>
        <v>0</v>
      </c>
      <c r="R698">
        <f t="shared" si="171"/>
        <v>0</v>
      </c>
      <c r="S698">
        <f t="shared" si="172"/>
        <v>0</v>
      </c>
      <c r="T698">
        <f t="shared" si="173"/>
        <v>0</v>
      </c>
      <c r="U698">
        <f t="shared" si="168"/>
        <v>0</v>
      </c>
      <c r="V698">
        <f t="shared" si="174"/>
        <v>0</v>
      </c>
      <c r="W698">
        <f t="shared" si="162"/>
        <v>0</v>
      </c>
      <c r="X698">
        <f>SUM($W$34:W698)</f>
        <v>138.77863469999994</v>
      </c>
      <c r="Y698">
        <f t="shared" si="175"/>
        <v>0</v>
      </c>
    </row>
    <row r="699" spans="1:25">
      <c r="A699">
        <v>127.2249193</v>
      </c>
      <c r="B699" s="2">
        <f t="shared" si="160"/>
        <v>1.1413750738427609E-3</v>
      </c>
      <c r="C699">
        <v>105.9682542</v>
      </c>
      <c r="D699" s="3">
        <f t="shared" si="161"/>
        <v>-5.5536254596760285E-3</v>
      </c>
      <c r="E699" s="3">
        <f t="shared" si="163"/>
        <v>-5.9050368786272107E-3</v>
      </c>
      <c r="F699" s="3">
        <f>STDEV($E$32:E699)</f>
        <v>1.3065334703689384E-2</v>
      </c>
      <c r="G699" s="14">
        <f t="shared" si="166"/>
        <v>-0.45196215883851398</v>
      </c>
      <c r="H699" s="15">
        <f>yint($B$3:B699,$D$3:D699)</f>
        <v>6.8513150775756368E-5</v>
      </c>
      <c r="I699" s="16">
        <f>MyReg($B$3:B699,$D$3:D699)</f>
        <v>0.24785740871575973</v>
      </c>
      <c r="J699" s="17">
        <f>STDEV($D$3:D699)</f>
        <v>1.3357658239938643E-2</v>
      </c>
      <c r="K699" s="4">
        <f t="shared" si="164"/>
        <v>3.51411418951182E-4</v>
      </c>
      <c r="L699">
        <f t="shared" si="167"/>
        <v>-0.45196215883851398</v>
      </c>
      <c r="M699">
        <f>RSQ($D$3:D699,$B$3:B699)</f>
        <v>5.049159464787778E-2</v>
      </c>
      <c r="N699">
        <v>667</v>
      </c>
      <c r="O699" t="str">
        <f t="shared" si="165"/>
        <v/>
      </c>
      <c r="P699" t="str">
        <f t="shared" si="169"/>
        <v/>
      </c>
      <c r="Q699">
        <f t="shared" si="170"/>
        <v>0</v>
      </c>
      <c r="R699">
        <f t="shared" si="171"/>
        <v>0</v>
      </c>
      <c r="S699">
        <f t="shared" si="172"/>
        <v>0</v>
      </c>
      <c r="T699">
        <f t="shared" si="173"/>
        <v>0</v>
      </c>
      <c r="U699">
        <f t="shared" si="168"/>
        <v>0</v>
      </c>
      <c r="V699">
        <f t="shared" si="174"/>
        <v>0</v>
      </c>
      <c r="W699">
        <f t="shared" si="162"/>
        <v>0</v>
      </c>
      <c r="X699">
        <f>SUM($W$34:W699)</f>
        <v>138.77863469999994</v>
      </c>
      <c r="Y699">
        <f t="shared" si="175"/>
        <v>0</v>
      </c>
    </row>
    <row r="700" spans="1:25">
      <c r="A700">
        <v>129.12800319999999</v>
      </c>
      <c r="B700" s="2">
        <f t="shared" si="160"/>
        <v>1.495842096399741E-2</v>
      </c>
      <c r="C700">
        <v>107.62954360000001</v>
      </c>
      <c r="D700" s="3">
        <f t="shared" si="161"/>
        <v>1.5677236664336791E-2</v>
      </c>
      <c r="E700" s="3">
        <f t="shared" si="163"/>
        <v>1.1859589216094171E-2</v>
      </c>
      <c r="F700" s="3">
        <f>STDEV($E$32:E700)</f>
        <v>1.3063684406408052E-2</v>
      </c>
      <c r="G700" s="14">
        <f t="shared" si="166"/>
        <v>0.90782882126858144</v>
      </c>
      <c r="H700" s="15">
        <f>yint($B$3:B700,$D$3:D700)</f>
        <v>8.4820874526770652E-5</v>
      </c>
      <c r="I700" s="16">
        <f>MyReg($B$3:B700,$D$3:D700)</f>
        <v>0.24954683269712646</v>
      </c>
      <c r="J700" s="17">
        <f>STDEV($D$3:D700)</f>
        <v>1.3360967684769926E-2</v>
      </c>
      <c r="K700" s="4">
        <f t="shared" si="164"/>
        <v>3.8176474482426214E-3</v>
      </c>
      <c r="L700">
        <f t="shared" si="167"/>
        <v>0.90782882126858144</v>
      </c>
      <c r="M700">
        <f>RSQ($D$3:D700,$B$3:B700)</f>
        <v>5.1189158212835921E-2</v>
      </c>
      <c r="N700">
        <v>668</v>
      </c>
      <c r="O700" t="str">
        <f t="shared" si="165"/>
        <v/>
      </c>
      <c r="P700" t="str">
        <f t="shared" si="169"/>
        <v/>
      </c>
      <c r="Q700">
        <f t="shared" si="170"/>
        <v>0</v>
      </c>
      <c r="R700">
        <f t="shared" si="171"/>
        <v>0</v>
      </c>
      <c r="S700">
        <f t="shared" si="172"/>
        <v>0</v>
      </c>
      <c r="T700">
        <f t="shared" si="173"/>
        <v>0</v>
      </c>
      <c r="U700">
        <f t="shared" si="168"/>
        <v>0</v>
      </c>
      <c r="V700">
        <f t="shared" si="174"/>
        <v>0</v>
      </c>
      <c r="W700">
        <f t="shared" si="162"/>
        <v>0</v>
      </c>
      <c r="X700">
        <f>SUM($W$34:W700)</f>
        <v>138.77863469999994</v>
      </c>
      <c r="Y700">
        <f t="shared" si="175"/>
        <v>0</v>
      </c>
    </row>
    <row r="701" spans="1:25">
      <c r="A701">
        <v>129.95896629999999</v>
      </c>
      <c r="B701" s="2">
        <f t="shared" si="160"/>
        <v>6.4351889552024845E-3</v>
      </c>
      <c r="C701">
        <v>108.2400042</v>
      </c>
      <c r="D701" s="3">
        <f t="shared" si="161"/>
        <v>5.6718683326275488E-3</v>
      </c>
      <c r="E701" s="3">
        <f t="shared" si="163"/>
        <v>3.9740761688138873E-3</v>
      </c>
      <c r="F701" s="3">
        <f>STDEV($E$32:E701)</f>
        <v>1.3054839931489396E-2</v>
      </c>
      <c r="G701" s="14">
        <f t="shared" si="166"/>
        <v>0.30441400964465859</v>
      </c>
      <c r="H701" s="15">
        <f>yint($B$3:B701,$D$3:D701)</f>
        <v>9.0411984526049308E-5</v>
      </c>
      <c r="I701" s="16">
        <f>MyReg($B$3:B701,$D$3:D701)</f>
        <v>0.24977979519748786</v>
      </c>
      <c r="J701" s="17">
        <f>STDEV($D$3:D701)</f>
        <v>1.3353000600841975E-2</v>
      </c>
      <c r="K701" s="4">
        <f t="shared" si="164"/>
        <v>1.6977921638136617E-3</v>
      </c>
      <c r="L701">
        <f t="shared" si="167"/>
        <v>0.30441400964465859</v>
      </c>
      <c r="M701">
        <f>RSQ($D$3:D701,$B$3:B701)</f>
        <v>5.1290426900447918E-2</v>
      </c>
      <c r="N701">
        <v>669</v>
      </c>
      <c r="O701" t="str">
        <f t="shared" si="165"/>
        <v/>
      </c>
      <c r="P701" t="str">
        <f t="shared" si="169"/>
        <v/>
      </c>
      <c r="Q701">
        <f t="shared" si="170"/>
        <v>0</v>
      </c>
      <c r="R701">
        <f t="shared" si="171"/>
        <v>0</v>
      </c>
      <c r="S701">
        <f t="shared" si="172"/>
        <v>0</v>
      </c>
      <c r="T701">
        <f t="shared" si="173"/>
        <v>0</v>
      </c>
      <c r="U701">
        <f t="shared" si="168"/>
        <v>0</v>
      </c>
      <c r="V701">
        <f t="shared" si="174"/>
        <v>0</v>
      </c>
      <c r="W701">
        <f t="shared" si="162"/>
        <v>0</v>
      </c>
      <c r="X701">
        <f>SUM($W$34:W701)</f>
        <v>138.77863469999994</v>
      </c>
      <c r="Y701">
        <f t="shared" si="175"/>
        <v>0</v>
      </c>
    </row>
    <row r="702" spans="1:25">
      <c r="A702">
        <v>131.0913745</v>
      </c>
      <c r="B702" s="2">
        <f t="shared" si="160"/>
        <v>8.7135826964485075E-3</v>
      </c>
      <c r="C702">
        <v>106.41957189999999</v>
      </c>
      <c r="D702" s="3">
        <f t="shared" si="161"/>
        <v>-1.6818479576518785E-2</v>
      </c>
      <c r="E702" s="3">
        <f t="shared" si="163"/>
        <v>-1.9045404828079013E-2</v>
      </c>
      <c r="F702" s="3">
        <f>STDEV($E$32:E702)</f>
        <v>1.3065715374617315E-2</v>
      </c>
      <c r="G702" s="14">
        <f t="shared" si="166"/>
        <v>-1.4576626141021261</v>
      </c>
      <c r="H702" s="15">
        <f>yint($B$3:B702,$D$3:D702)</f>
        <v>6.3854886362800013E-5</v>
      </c>
      <c r="I702" s="16">
        <f>MyReg($B$3:B702,$D$3:D702)</f>
        <v>0.24824121610495029</v>
      </c>
      <c r="J702" s="17">
        <f>STDEV($D$3:D702)</f>
        <v>1.3358945032744034E-2</v>
      </c>
      <c r="K702" s="4">
        <f t="shared" si="164"/>
        <v>2.2269252515602291E-3</v>
      </c>
      <c r="L702">
        <f t="shared" si="167"/>
        <v>-1.4576626141021261</v>
      </c>
      <c r="M702">
        <f>RSQ($D$3:D702,$B$3:B702)</f>
        <v>5.057671499238716E-2</v>
      </c>
      <c r="N702">
        <v>670</v>
      </c>
      <c r="O702" t="str">
        <f t="shared" si="165"/>
        <v/>
      </c>
      <c r="P702" t="str">
        <f t="shared" si="169"/>
        <v/>
      </c>
      <c r="Q702">
        <f t="shared" si="170"/>
        <v>0</v>
      </c>
      <c r="R702">
        <f t="shared" si="171"/>
        <v>0</v>
      </c>
      <c r="S702">
        <f t="shared" si="172"/>
        <v>0</v>
      </c>
      <c r="T702">
        <f t="shared" si="173"/>
        <v>0</v>
      </c>
      <c r="U702">
        <f t="shared" si="168"/>
        <v>0</v>
      </c>
      <c r="V702">
        <f t="shared" si="174"/>
        <v>0</v>
      </c>
      <c r="W702">
        <f t="shared" si="162"/>
        <v>0</v>
      </c>
      <c r="X702">
        <f>SUM($W$34:W702)</f>
        <v>138.77863469999994</v>
      </c>
      <c r="Y702">
        <f t="shared" si="175"/>
        <v>0</v>
      </c>
    </row>
    <row r="703" spans="1:25">
      <c r="A703">
        <v>131.01341690000001</v>
      </c>
      <c r="B703" s="2">
        <f t="shared" si="160"/>
        <v>-5.946813838616868E-4</v>
      </c>
      <c r="C703">
        <v>107.01326709999999</v>
      </c>
      <c r="D703" s="3">
        <f t="shared" si="161"/>
        <v>5.5788159020023192E-3</v>
      </c>
      <c r="E703" s="3">
        <f t="shared" si="163"/>
        <v>5.6544462337576509E-3</v>
      </c>
      <c r="F703" s="3">
        <f>STDEV($E$32:E703)</f>
        <v>1.3057840455020772E-2</v>
      </c>
      <c r="G703" s="14">
        <f t="shared" si="166"/>
        <v>0.43303073377523937</v>
      </c>
      <c r="H703" s="15">
        <f>yint($B$3:B703,$D$3:D703)</f>
        <v>7.1959459382354862E-5</v>
      </c>
      <c r="I703" s="16">
        <f>MyReg($B$3:B703,$D$3:D703)</f>
        <v>0.24818296846503188</v>
      </c>
      <c r="J703" s="17">
        <f>STDEV($D$3:D703)</f>
        <v>1.3350957912301245E-2</v>
      </c>
      <c r="K703" s="4">
        <f t="shared" si="164"/>
        <v>-7.5630331755331668E-5</v>
      </c>
      <c r="L703">
        <f t="shared" si="167"/>
        <v>0.43303073377523937</v>
      </c>
      <c r="M703">
        <f>RSQ($D$3:D703,$B$3:B703)</f>
        <v>5.0541730388265184E-2</v>
      </c>
      <c r="N703">
        <v>671</v>
      </c>
      <c r="O703" t="str">
        <f t="shared" si="165"/>
        <v/>
      </c>
      <c r="P703" t="str">
        <f t="shared" si="169"/>
        <v/>
      </c>
      <c r="Q703">
        <f t="shared" si="170"/>
        <v>0</v>
      </c>
      <c r="R703">
        <f t="shared" si="171"/>
        <v>0</v>
      </c>
      <c r="S703">
        <f t="shared" si="172"/>
        <v>0</v>
      </c>
      <c r="T703">
        <f t="shared" si="173"/>
        <v>0</v>
      </c>
      <c r="U703">
        <f t="shared" si="168"/>
        <v>0</v>
      </c>
      <c r="V703">
        <f t="shared" si="174"/>
        <v>0</v>
      </c>
      <c r="W703">
        <f t="shared" si="162"/>
        <v>0</v>
      </c>
      <c r="X703">
        <f>SUM($W$34:W703)</f>
        <v>138.77863469999994</v>
      </c>
      <c r="Y703">
        <f t="shared" si="175"/>
        <v>0</v>
      </c>
    </row>
    <row r="704" spans="1:25">
      <c r="A704">
        <v>131.08388819999999</v>
      </c>
      <c r="B704" s="2">
        <f t="shared" si="160"/>
        <v>5.3789376437505859E-4</v>
      </c>
      <c r="C704">
        <v>109.9267909</v>
      </c>
      <c r="D704" s="3">
        <f t="shared" si="161"/>
        <v>2.7225818620016766E-2</v>
      </c>
      <c r="E704" s="3">
        <f t="shared" si="163"/>
        <v>2.6981870883881195E-2</v>
      </c>
      <c r="F704" s="3">
        <f>STDEV($E$32:E704)</f>
        <v>1.3089684178999198E-2</v>
      </c>
      <c r="G704" s="14">
        <f t="shared" si="166"/>
        <v>2.0613080128526184</v>
      </c>
      <c r="H704" s="15">
        <f>yint($B$3:B704,$D$3:D704)</f>
        <v>1.1044040685229817E-4</v>
      </c>
      <c r="I704" s="16">
        <f>MyReg($B$3:B704,$D$3:D704)</f>
        <v>0.24820389847498381</v>
      </c>
      <c r="J704" s="17">
        <f>STDEV($D$3:D704)</f>
        <v>1.3380409064410558E-2</v>
      </c>
      <c r="K704" s="4">
        <f t="shared" si="164"/>
        <v>2.4394773613557207E-4</v>
      </c>
      <c r="L704">
        <f t="shared" si="167"/>
        <v>2.0613080128526184</v>
      </c>
      <c r="M704">
        <f>RSQ($D$3:D704,$B$3:B704)</f>
        <v>5.0256180059578999E-2</v>
      </c>
      <c r="N704">
        <v>672</v>
      </c>
      <c r="O704" t="str">
        <f t="shared" si="165"/>
        <v>sellY</v>
      </c>
      <c r="P704" t="str">
        <f t="shared" si="169"/>
        <v/>
      </c>
      <c r="Q704">
        <f t="shared" si="170"/>
        <v>15</v>
      </c>
      <c r="R704">
        <f t="shared" si="171"/>
        <v>5</v>
      </c>
      <c r="S704">
        <f t="shared" si="172"/>
        <v>-15</v>
      </c>
      <c r="T704">
        <f t="shared" si="173"/>
        <v>-5</v>
      </c>
      <c r="U704">
        <f t="shared" si="168"/>
        <v>30</v>
      </c>
      <c r="V704">
        <f t="shared" si="174"/>
        <v>15</v>
      </c>
      <c r="W704">
        <f t="shared" si="162"/>
        <v>-317.35645949999986</v>
      </c>
      <c r="X704">
        <f>SUM($W$34:W704)</f>
        <v>-178.57782479999992</v>
      </c>
      <c r="Y704">
        <f t="shared" si="175"/>
        <v>0</v>
      </c>
    </row>
    <row r="705" spans="1:25">
      <c r="A705">
        <v>131.8932926</v>
      </c>
      <c r="B705" s="2">
        <f t="shared" si="160"/>
        <v>6.1747054585767572E-3</v>
      </c>
      <c r="C705">
        <v>111.3759481</v>
      </c>
      <c r="D705" s="3">
        <f t="shared" si="161"/>
        <v>1.3182930094978347E-2</v>
      </c>
      <c r="E705" s="3">
        <f t="shared" si="163"/>
        <v>1.1519817357990868E-2</v>
      </c>
      <c r="F705" s="3">
        <f>STDEV($E$32:E705)</f>
        <v>1.308750260955042E-2</v>
      </c>
      <c r="G705" s="14">
        <f t="shared" si="166"/>
        <v>0.88021509539829579</v>
      </c>
      <c r="H705" s="15">
        <f>yint($B$3:B705,$D$3:D705)</f>
        <v>1.2655545883678772E-4</v>
      </c>
      <c r="I705" s="16">
        <f>MyReg($B$3:B705,$D$3:D705)</f>
        <v>0.24884705650475844</v>
      </c>
      <c r="J705" s="17">
        <f>STDEV($D$3:D705)</f>
        <v>1.3379805030497516E-2</v>
      </c>
      <c r="K705" s="4">
        <f t="shared" si="164"/>
        <v>1.6631127369874784E-3</v>
      </c>
      <c r="L705">
        <f t="shared" si="167"/>
        <v>0.88021509539829579</v>
      </c>
      <c r="M705">
        <f>RSQ($D$3:D705,$B$3:B705)</f>
        <v>5.0465640614008614E-2</v>
      </c>
      <c r="N705">
        <v>673</v>
      </c>
      <c r="O705" t="str">
        <f t="shared" si="165"/>
        <v/>
      </c>
      <c r="P705" t="str">
        <f t="shared" si="169"/>
        <v>sellhold</v>
      </c>
      <c r="Q705">
        <f t="shared" si="170"/>
        <v>15</v>
      </c>
      <c r="R705">
        <f t="shared" si="171"/>
        <v>0</v>
      </c>
      <c r="S705">
        <f t="shared" si="172"/>
        <v>-15</v>
      </c>
      <c r="T705">
        <f t="shared" si="173"/>
        <v>0</v>
      </c>
      <c r="U705">
        <f t="shared" si="168"/>
        <v>30</v>
      </c>
      <c r="V705">
        <f t="shared" si="174"/>
        <v>0</v>
      </c>
      <c r="W705">
        <f t="shared" si="162"/>
        <v>0</v>
      </c>
      <c r="X705">
        <f>SUM($W$34:W705)</f>
        <v>-178.57782479999992</v>
      </c>
      <c r="Y705">
        <f t="shared" si="175"/>
        <v>0</v>
      </c>
    </row>
    <row r="706" spans="1:25">
      <c r="A706">
        <v>130.28812830000001</v>
      </c>
      <c r="B706" s="2">
        <f t="shared" si="160"/>
        <v>-1.2170173845519603E-2</v>
      </c>
      <c r="C706">
        <v>110.64793400000001</v>
      </c>
      <c r="D706" s="3">
        <f t="shared" si="161"/>
        <v>-6.5365468255887803E-3</v>
      </c>
      <c r="E706" s="3">
        <f t="shared" si="163"/>
        <v>-3.6237852486212274E-3</v>
      </c>
      <c r="F706" s="3">
        <f>STDEV($E$32:E706)</f>
        <v>1.3078533898675937E-2</v>
      </c>
      <c r="G706" s="14">
        <f t="shared" si="166"/>
        <v>-0.27707885889167572</v>
      </c>
      <c r="H706" s="15">
        <f>yint($B$3:B706,$D$3:D706)</f>
        <v>1.2119202994816891E-4</v>
      </c>
      <c r="I706" s="16">
        <f>MyReg($B$3:B706,$D$3:D706)</f>
        <v>0.24929418802284889</v>
      </c>
      <c r="J706" s="17">
        <f>STDEV($D$3:D706)</f>
        <v>1.3372726490202743E-2</v>
      </c>
      <c r="K706" s="4">
        <f t="shared" si="164"/>
        <v>-2.912761576967553E-3</v>
      </c>
      <c r="L706">
        <f t="shared" si="167"/>
        <v>-0.27707885889167572</v>
      </c>
      <c r="M706">
        <f>RSQ($D$3:D706,$B$3:B706)</f>
        <v>5.0707499637110749E-2</v>
      </c>
      <c r="N706">
        <v>674</v>
      </c>
      <c r="O706" t="str">
        <f t="shared" si="165"/>
        <v/>
      </c>
      <c r="P706" t="str">
        <f t="shared" si="169"/>
        <v>close</v>
      </c>
      <c r="Q706">
        <f t="shared" si="170"/>
        <v>0</v>
      </c>
      <c r="R706">
        <f t="shared" si="171"/>
        <v>0</v>
      </c>
      <c r="S706">
        <f t="shared" si="172"/>
        <v>0</v>
      </c>
      <c r="T706">
        <f t="shared" si="173"/>
        <v>0</v>
      </c>
      <c r="U706">
        <f t="shared" si="168"/>
        <v>0</v>
      </c>
      <c r="V706">
        <f t="shared" si="174"/>
        <v>-15</v>
      </c>
      <c r="W706">
        <f t="shared" si="162"/>
        <v>294.60291450000005</v>
      </c>
      <c r="X706">
        <f>SUM($W$34:W706)</f>
        <v>116.02508970000014</v>
      </c>
      <c r="Y706">
        <f t="shared" si="175"/>
        <v>116.02508970000014</v>
      </c>
    </row>
    <row r="707" spans="1:25">
      <c r="A707">
        <v>129.28832990000001</v>
      </c>
      <c r="B707" s="2">
        <f t="shared" si="160"/>
        <v>-7.6737490441023013E-3</v>
      </c>
      <c r="C707">
        <v>112.0823292</v>
      </c>
      <c r="D707" s="3">
        <f t="shared" si="161"/>
        <v>1.296359677172099E-2</v>
      </c>
      <c r="E707" s="3">
        <f t="shared" si="163"/>
        <v>1.4725038557582519E-2</v>
      </c>
      <c r="F707" s="3">
        <f>STDEV($E$32:E707)</f>
        <v>1.3081117461474754E-2</v>
      </c>
      <c r="G707" s="14">
        <f t="shared" si="166"/>
        <v>1.1256713045310758</v>
      </c>
      <c r="H707" s="15">
        <f>yint($B$3:B707,$D$3:D707)</f>
        <v>1.426315484069937E-4</v>
      </c>
      <c r="I707" s="16">
        <f>MyReg($B$3:B707,$D$3:D707)</f>
        <v>0.24812817350756453</v>
      </c>
      <c r="J707" s="17">
        <f>STDEV($D$3:D707)</f>
        <v>1.3371823942437876E-2</v>
      </c>
      <c r="K707" s="4">
        <f t="shared" si="164"/>
        <v>-1.7614417858615296E-3</v>
      </c>
      <c r="L707">
        <f t="shared" si="167"/>
        <v>1.1256713045310758</v>
      </c>
      <c r="M707">
        <f>RSQ($D$3:D707,$B$3:B707)</f>
        <v>5.0201903454644571E-2</v>
      </c>
      <c r="N707">
        <v>675</v>
      </c>
      <c r="O707" t="str">
        <f t="shared" si="165"/>
        <v/>
      </c>
      <c r="P707" t="str">
        <f t="shared" si="169"/>
        <v/>
      </c>
      <c r="Q707">
        <f t="shared" si="170"/>
        <v>0</v>
      </c>
      <c r="R707">
        <f t="shared" si="171"/>
        <v>0</v>
      </c>
      <c r="S707">
        <f t="shared" si="172"/>
        <v>0</v>
      </c>
      <c r="T707">
        <f t="shared" si="173"/>
        <v>0</v>
      </c>
      <c r="U707">
        <f t="shared" si="168"/>
        <v>0</v>
      </c>
      <c r="V707">
        <f t="shared" si="174"/>
        <v>0</v>
      </c>
      <c r="W707">
        <f t="shared" si="162"/>
        <v>0</v>
      </c>
      <c r="X707">
        <f>SUM($W$34:W707)</f>
        <v>116.02508970000014</v>
      </c>
      <c r="Y707">
        <f t="shared" si="175"/>
        <v>0</v>
      </c>
    </row>
    <row r="708" spans="1:25">
      <c r="A708">
        <v>130.53059970000001</v>
      </c>
      <c r="B708" s="2">
        <f t="shared" ref="B708:B771" si="176">(A708-A707)/A707</f>
        <v>9.6085222924671906E-3</v>
      </c>
      <c r="C708">
        <v>115.4037739</v>
      </c>
      <c r="D708" s="3">
        <f t="shared" ref="D708:D771" si="177">(C708-C707)/C707</f>
        <v>2.9633972845739188E-2</v>
      </c>
      <c r="E708" s="3">
        <f t="shared" si="163"/>
        <v>2.7046667985054802E-2</v>
      </c>
      <c r="F708" s="3">
        <f>STDEV($E$32:E708)</f>
        <v>1.3112655673322569E-2</v>
      </c>
      <c r="G708" s="14">
        <f t="shared" si="166"/>
        <v>2.0626384661408212</v>
      </c>
      <c r="H708" s="15">
        <f>yint($B$3:B708,$D$3:D708)</f>
        <v>1.7993892432989912E-4</v>
      </c>
      <c r="I708" s="16">
        <f>MyReg($B$3:B708,$D$3:D708)</f>
        <v>0.25054486663800474</v>
      </c>
      <c r="J708" s="17">
        <f>STDEV($D$3:D708)</f>
        <v>1.340801731484343E-2</v>
      </c>
      <c r="K708" s="4">
        <f t="shared" si="164"/>
        <v>2.5873048606843869E-3</v>
      </c>
      <c r="L708">
        <f t="shared" si="167"/>
        <v>2.0626384661408212</v>
      </c>
      <c r="M708">
        <f>RSQ($D$3:D708,$B$3:B708)</f>
        <v>5.0877997305699876E-2</v>
      </c>
      <c r="N708">
        <v>676</v>
      </c>
      <c r="O708" t="str">
        <f t="shared" si="165"/>
        <v>sellY</v>
      </c>
      <c r="P708" t="str">
        <f t="shared" si="169"/>
        <v/>
      </c>
      <c r="Q708">
        <f t="shared" si="170"/>
        <v>15</v>
      </c>
      <c r="R708">
        <f t="shared" si="171"/>
        <v>5</v>
      </c>
      <c r="S708">
        <f t="shared" si="172"/>
        <v>-15</v>
      </c>
      <c r="T708">
        <f t="shared" si="173"/>
        <v>-5</v>
      </c>
      <c r="U708">
        <f t="shared" si="168"/>
        <v>30</v>
      </c>
      <c r="V708">
        <f t="shared" si="174"/>
        <v>15</v>
      </c>
      <c r="W708">
        <f t="shared" si="162"/>
        <v>-226.90238700000009</v>
      </c>
      <c r="X708">
        <f>SUM($W$34:W708)</f>
        <v>-110.87729729999995</v>
      </c>
      <c r="Y708">
        <f t="shared" si="175"/>
        <v>0</v>
      </c>
    </row>
    <row r="709" spans="1:25">
      <c r="A709">
        <v>130.53428769999999</v>
      </c>
      <c r="B709" s="2">
        <f t="shared" si="176"/>
        <v>2.8253911408196755E-5</v>
      </c>
      <c r="C709">
        <v>110.1139589</v>
      </c>
      <c r="D709" s="3">
        <f t="shared" si="177"/>
        <v>-4.583745246133588E-2</v>
      </c>
      <c r="E709" s="3">
        <f t="shared" si="163"/>
        <v>-4.5959292441549678E-2</v>
      </c>
      <c r="F709" s="3">
        <f>STDEV($E$32:E709)</f>
        <v>1.322160393924846E-2</v>
      </c>
      <c r="G709" s="14">
        <f t="shared" si="166"/>
        <v>-3.4760754181358489</v>
      </c>
      <c r="H709" s="15">
        <f>yint($B$3:B709,$D$3:D709)</f>
        <v>1.1475577353503325E-4</v>
      </c>
      <c r="I709" s="16">
        <f>MyReg($B$3:B709,$D$3:D709)</f>
        <v>0.25073366219689802</v>
      </c>
      <c r="J709" s="17">
        <f>STDEV($D$3:D709)</f>
        <v>1.3510373181905186E-2</v>
      </c>
      <c r="K709" s="4">
        <f t="shared" si="164"/>
        <v>1.2183998021379714E-4</v>
      </c>
      <c r="L709">
        <f t="shared" si="167"/>
        <v>-3.4760754181358489</v>
      </c>
      <c r="M709">
        <f>RSQ($D$3:D709,$B$3:B709)</f>
        <v>5.0114555133858915E-2</v>
      </c>
      <c r="N709">
        <v>677</v>
      </c>
      <c r="O709" t="str">
        <f t="shared" si="165"/>
        <v>buyY</v>
      </c>
      <c r="P709" t="str">
        <f t="shared" si="169"/>
        <v>close&amp;buy</v>
      </c>
      <c r="Q709">
        <f t="shared" si="170"/>
        <v>-20</v>
      </c>
      <c r="R709">
        <f t="shared" si="171"/>
        <v>-10</v>
      </c>
      <c r="S709">
        <f t="shared" si="172"/>
        <v>20</v>
      </c>
      <c r="T709">
        <f t="shared" si="173"/>
        <v>10</v>
      </c>
      <c r="U709">
        <f t="shared" si="168"/>
        <v>40</v>
      </c>
      <c r="V709">
        <f t="shared" si="174"/>
        <v>-35</v>
      </c>
      <c r="W709">
        <f t="shared" si="162"/>
        <v>714.71150799999975</v>
      </c>
      <c r="X709">
        <f>SUM($W$34:W709)</f>
        <v>603.83421069999986</v>
      </c>
      <c r="Y709">
        <f t="shared" si="175"/>
        <v>0</v>
      </c>
    </row>
    <row r="710" spans="1:25">
      <c r="A710">
        <v>130.57253750000001</v>
      </c>
      <c r="B710" s="2">
        <f t="shared" si="176"/>
        <v>2.930249260479695E-4</v>
      </c>
      <c r="C710">
        <v>111.75199790000001</v>
      </c>
      <c r="D710" s="3">
        <f t="shared" si="177"/>
        <v>1.487585240203371E-2</v>
      </c>
      <c r="E710" s="3">
        <f t="shared" si="163"/>
        <v>1.466687668486529E-2</v>
      </c>
      <c r="F710" s="3">
        <f>STDEV($E$32:E710)</f>
        <v>1.3223853311569399E-2</v>
      </c>
      <c r="G710" s="14">
        <f t="shared" si="166"/>
        <v>1.1091227601589777</v>
      </c>
      <c r="H710" s="15">
        <f>yint($B$3:B710,$D$3:D710)</f>
        <v>1.3551105673695888E-4</v>
      </c>
      <c r="I710" s="16">
        <f>MyReg($B$3:B710,$D$3:D710)</f>
        <v>0.25071130098821454</v>
      </c>
      <c r="J710" s="17">
        <f>STDEV($D$3:D710)</f>
        <v>1.3512034598144023E-2</v>
      </c>
      <c r="K710" s="4">
        <f t="shared" si="164"/>
        <v>2.0897571716842065E-4</v>
      </c>
      <c r="L710">
        <f t="shared" si="167"/>
        <v>1.1091227601589777</v>
      </c>
      <c r="M710">
        <f>RSQ($D$3:D710,$B$3:B710)</f>
        <v>5.0022454356594817E-2</v>
      </c>
      <c r="N710">
        <v>678</v>
      </c>
      <c r="O710" t="str">
        <f t="shared" si="165"/>
        <v/>
      </c>
      <c r="P710" t="str">
        <f t="shared" si="169"/>
        <v>close</v>
      </c>
      <c r="Q710">
        <f t="shared" si="170"/>
        <v>0</v>
      </c>
      <c r="R710">
        <f t="shared" si="171"/>
        <v>0</v>
      </c>
      <c r="S710">
        <f t="shared" si="172"/>
        <v>0</v>
      </c>
      <c r="T710">
        <f t="shared" si="173"/>
        <v>0</v>
      </c>
      <c r="U710">
        <f t="shared" si="168"/>
        <v>0</v>
      </c>
      <c r="V710">
        <f t="shared" si="174"/>
        <v>20</v>
      </c>
      <c r="W710">
        <f t="shared" si="162"/>
        <v>-376.41079200000007</v>
      </c>
      <c r="X710">
        <f>SUM($W$34:W710)</f>
        <v>227.42341869999979</v>
      </c>
      <c r="Y710">
        <f t="shared" si="175"/>
        <v>227.42341869999979</v>
      </c>
    </row>
    <row r="711" spans="1:25">
      <c r="A711">
        <v>130.2043333</v>
      </c>
      <c r="B711" s="2">
        <f t="shared" si="176"/>
        <v>-2.8199206896780118E-3</v>
      </c>
      <c r="C711">
        <v>111.3479069</v>
      </c>
      <c r="D711" s="3">
        <f t="shared" si="177"/>
        <v>-3.6159621983814947E-3</v>
      </c>
      <c r="E711" s="3">
        <f t="shared" si="163"/>
        <v>-3.0398773589508403E-3</v>
      </c>
      <c r="F711" s="3">
        <f>STDEV($E$32:E711)</f>
        <v>1.3214629549990435E-2</v>
      </c>
      <c r="G711" s="14">
        <f t="shared" si="166"/>
        <v>-0.23003878750070905</v>
      </c>
      <c r="H711" s="15">
        <f>yint($B$3:B711,$D$3:D711)</f>
        <v>1.3117396459772429E-4</v>
      </c>
      <c r="I711" s="16">
        <f>MyReg($B$3:B711,$D$3:D711)</f>
        <v>0.25080804811894758</v>
      </c>
      <c r="J711" s="17">
        <f>STDEV($D$3:D711)</f>
        <v>1.3503268667798657E-2</v>
      </c>
      <c r="K711" s="4">
        <f t="shared" si="164"/>
        <v>-5.7608483943065425E-4</v>
      </c>
      <c r="L711">
        <f t="shared" si="167"/>
        <v>-0.23003878750070905</v>
      </c>
      <c r="M711">
        <f>RSQ($D$3:D711,$B$3:B711)</f>
        <v>5.0060487028951078E-2</v>
      </c>
      <c r="N711">
        <v>679</v>
      </c>
      <c r="O711" t="str">
        <f t="shared" si="165"/>
        <v/>
      </c>
      <c r="P711" t="str">
        <f t="shared" si="169"/>
        <v/>
      </c>
      <c r="Q711">
        <f t="shared" si="170"/>
        <v>0</v>
      </c>
      <c r="R711">
        <f t="shared" si="171"/>
        <v>0</v>
      </c>
      <c r="S711">
        <f t="shared" si="172"/>
        <v>0</v>
      </c>
      <c r="T711">
        <f t="shared" si="173"/>
        <v>0</v>
      </c>
      <c r="U711">
        <f t="shared" si="168"/>
        <v>0</v>
      </c>
      <c r="V711">
        <f t="shared" si="174"/>
        <v>0</v>
      </c>
      <c r="W711">
        <f t="shared" si="162"/>
        <v>0</v>
      </c>
      <c r="X711">
        <f>SUM($W$34:W711)</f>
        <v>227.42341869999979</v>
      </c>
      <c r="Y711">
        <f t="shared" si="175"/>
        <v>0</v>
      </c>
    </row>
    <row r="712" spans="1:25">
      <c r="A712">
        <v>128.37726079999999</v>
      </c>
      <c r="B712" s="2">
        <f t="shared" si="176"/>
        <v>-1.403234787731918E-2</v>
      </c>
      <c r="C712">
        <v>114.0105938</v>
      </c>
      <c r="D712" s="3">
        <f t="shared" si="177"/>
        <v>2.391321915365072E-2</v>
      </c>
      <c r="E712" s="3">
        <f t="shared" si="163"/>
        <v>2.7207591204949748E-2</v>
      </c>
      <c r="F712" s="3">
        <f>STDEV($E$32:E712)</f>
        <v>1.3245988150760557E-2</v>
      </c>
      <c r="G712" s="14">
        <f t="shared" si="166"/>
        <v>2.0540250297134341</v>
      </c>
      <c r="H712" s="15">
        <f>yint($B$3:B712,$D$3:D712)</f>
        <v>1.7125395176594086E-4</v>
      </c>
      <c r="I712" s="16">
        <f>MyReg($B$3:B712,$D$3:D712)</f>
        <v>0.24697406544962744</v>
      </c>
      <c r="J712" s="17">
        <f>STDEV($D$3:D712)</f>
        <v>1.3522952022899291E-2</v>
      </c>
      <c r="K712" s="4">
        <f t="shared" si="164"/>
        <v>-3.2943720512990269E-3</v>
      </c>
      <c r="L712">
        <f t="shared" si="167"/>
        <v>2.0540250297134341</v>
      </c>
      <c r="M712">
        <f>RSQ($D$3:D712,$B$3:B712)</f>
        <v>4.8430672580862449E-2</v>
      </c>
      <c r="N712">
        <v>680</v>
      </c>
      <c r="O712" t="str">
        <f t="shared" si="165"/>
        <v>sellY</v>
      </c>
      <c r="P712" t="str">
        <f t="shared" si="169"/>
        <v/>
      </c>
      <c r="Q712">
        <f t="shared" si="170"/>
        <v>15</v>
      </c>
      <c r="R712">
        <f t="shared" si="171"/>
        <v>5</v>
      </c>
      <c r="S712">
        <f t="shared" si="172"/>
        <v>-15</v>
      </c>
      <c r="T712">
        <f t="shared" si="173"/>
        <v>-5</v>
      </c>
      <c r="U712">
        <f t="shared" si="168"/>
        <v>30</v>
      </c>
      <c r="V712">
        <f t="shared" si="174"/>
        <v>15</v>
      </c>
      <c r="W712">
        <f t="shared" si="162"/>
        <v>-215.50000499999987</v>
      </c>
      <c r="X712">
        <f>SUM($W$34:W712)</f>
        <v>11.923413699999912</v>
      </c>
      <c r="Y712">
        <f t="shared" si="175"/>
        <v>0</v>
      </c>
    </row>
    <row r="713" spans="1:25">
      <c r="A713">
        <v>129.48224239999999</v>
      </c>
      <c r="B713" s="2">
        <f t="shared" si="176"/>
        <v>8.6073000242734756E-3</v>
      </c>
      <c r="C713">
        <v>118.4923584</v>
      </c>
      <c r="D713" s="3">
        <f t="shared" si="177"/>
        <v>3.9310071552315744E-2</v>
      </c>
      <c r="E713" s="3">
        <f t="shared" si="163"/>
        <v>3.6936988592993963E-2</v>
      </c>
      <c r="F713" s="3">
        <f>STDEV($E$32:E713)</f>
        <v>1.3311428951089685E-2</v>
      </c>
      <c r="G713" s="14">
        <f t="shared" si="166"/>
        <v>2.7748327192153379</v>
      </c>
      <c r="H713" s="15">
        <f>yint($B$3:B713,$D$3:D713)</f>
        <v>2.2203177477405798E-4</v>
      </c>
      <c r="I713" s="16">
        <f>MyReg($B$3:B713,$D$3:D713)</f>
        <v>0.24991009706662209</v>
      </c>
      <c r="J713" s="17">
        <f>STDEV($D$3:D713)</f>
        <v>1.3592484670157707E-2</v>
      </c>
      <c r="K713" s="4">
        <f t="shared" si="164"/>
        <v>2.3730829593217812E-3</v>
      </c>
      <c r="L713">
        <f t="shared" si="167"/>
        <v>2.7748327192153379</v>
      </c>
      <c r="M713">
        <f>RSQ($D$3:D713,$B$3:B713)</f>
        <v>4.9045661336880347E-2</v>
      </c>
      <c r="N713">
        <v>681</v>
      </c>
      <c r="O713" t="str">
        <f t="shared" si="165"/>
        <v>sellY</v>
      </c>
      <c r="P713" t="str">
        <f t="shared" si="169"/>
        <v>sellhold</v>
      </c>
      <c r="Q713">
        <f t="shared" si="170"/>
        <v>15</v>
      </c>
      <c r="R713">
        <f t="shared" si="171"/>
        <v>0</v>
      </c>
      <c r="S713">
        <f t="shared" si="172"/>
        <v>-15</v>
      </c>
      <c r="T713">
        <f t="shared" si="173"/>
        <v>0</v>
      </c>
      <c r="U713">
        <f t="shared" si="168"/>
        <v>30</v>
      </c>
      <c r="V713">
        <f t="shared" si="174"/>
        <v>0</v>
      </c>
      <c r="W713">
        <f t="shared" si="162"/>
        <v>0</v>
      </c>
      <c r="X713">
        <f>SUM($W$34:W713)</f>
        <v>11.923413699999912</v>
      </c>
      <c r="Y713">
        <f t="shared" si="175"/>
        <v>0</v>
      </c>
    </row>
    <row r="714" spans="1:25">
      <c r="A714">
        <v>130.1039394</v>
      </c>
      <c r="B714" s="2">
        <f t="shared" si="176"/>
        <v>4.8014074244980155E-3</v>
      </c>
      <c r="C714">
        <v>117.155146</v>
      </c>
      <c r="D714" s="3">
        <f t="shared" si="177"/>
        <v>-1.128522056659477E-2</v>
      </c>
      <c r="E714" s="3">
        <f t="shared" si="163"/>
        <v>-1.2686981571352215E-2</v>
      </c>
      <c r="F714" s="3">
        <f>STDEV($E$32:E714)</f>
        <v>1.3310661220305737E-2</v>
      </c>
      <c r="G714" s="14">
        <f t="shared" si="166"/>
        <v>-0.95314435258842867</v>
      </c>
      <c r="H714" s="15">
        <f>yint($B$3:B714,$D$3:D714)</f>
        <v>2.0442229586126257E-4</v>
      </c>
      <c r="I714" s="16">
        <f>MyReg($B$3:B714,$D$3:D714)</f>
        <v>0.24937244500165789</v>
      </c>
      <c r="J714" s="17">
        <f>STDEV($D$3:D714)</f>
        <v>1.3589897097452173E-2</v>
      </c>
      <c r="K714" s="4">
        <f t="shared" si="164"/>
        <v>1.4017610047574458E-3</v>
      </c>
      <c r="L714">
        <f t="shared" si="167"/>
        <v>-0.95314435258842867</v>
      </c>
      <c r="M714">
        <f>RSQ($D$3:D714,$B$3:B714)</f>
        <v>4.8793756595946439E-2</v>
      </c>
      <c r="N714">
        <v>682</v>
      </c>
      <c r="O714" t="str">
        <f t="shared" si="165"/>
        <v/>
      </c>
      <c r="P714" t="str">
        <f t="shared" si="169"/>
        <v>close</v>
      </c>
      <c r="Q714">
        <f t="shared" si="170"/>
        <v>0</v>
      </c>
      <c r="R714">
        <f t="shared" si="171"/>
        <v>0</v>
      </c>
      <c r="S714">
        <f t="shared" si="172"/>
        <v>0</v>
      </c>
      <c r="T714">
        <f t="shared" si="173"/>
        <v>0</v>
      </c>
      <c r="U714">
        <f t="shared" si="168"/>
        <v>0</v>
      </c>
      <c r="V714">
        <f t="shared" si="174"/>
        <v>-15</v>
      </c>
      <c r="W714">
        <f t="shared" si="162"/>
        <v>194.23190099999999</v>
      </c>
      <c r="X714">
        <f>SUM($W$34:W714)</f>
        <v>206.15531469999991</v>
      </c>
      <c r="Y714">
        <f t="shared" si="175"/>
        <v>206.15531469999991</v>
      </c>
    </row>
    <row r="715" spans="1:25">
      <c r="A715">
        <v>130.69545310000001</v>
      </c>
      <c r="B715" s="2">
        <f t="shared" si="176"/>
        <v>4.5464703277079037E-3</v>
      </c>
      <c r="C715">
        <v>116.9743608</v>
      </c>
      <c r="D715" s="3">
        <f t="shared" si="177"/>
        <v>-1.5431264111949682E-3</v>
      </c>
      <c r="E715" s="3">
        <f t="shared" si="163"/>
        <v>-2.8768023028256963E-3</v>
      </c>
      <c r="F715" s="3">
        <f>STDEV($E$32:E715)</f>
        <v>1.3301394119440098E-2</v>
      </c>
      <c r="G715" s="14">
        <f t="shared" si="166"/>
        <v>-0.21627825451929328</v>
      </c>
      <c r="H715" s="15">
        <f>yint($B$3:B715,$D$3:D715)</f>
        <v>2.0043250389055722E-4</v>
      </c>
      <c r="I715" s="16">
        <f>MyReg($B$3:B715,$D$3:D715)</f>
        <v>0.2492578431302539</v>
      </c>
      <c r="J715" s="17">
        <f>STDEV($D$3:D715)</f>
        <v>1.3580528497719688E-2</v>
      </c>
      <c r="K715" s="4">
        <f t="shared" si="164"/>
        <v>1.3336758916307279E-3</v>
      </c>
      <c r="L715">
        <f t="shared" si="167"/>
        <v>-0.21627825451929328</v>
      </c>
      <c r="M715">
        <f>RSQ($D$3:D715,$B$3:B715)</f>
        <v>4.8755599331408293E-2</v>
      </c>
      <c r="N715">
        <v>683</v>
      </c>
      <c r="O715" t="str">
        <f t="shared" si="165"/>
        <v/>
      </c>
      <c r="P715" t="str">
        <f t="shared" si="169"/>
        <v/>
      </c>
      <c r="Q715">
        <f t="shared" si="170"/>
        <v>0</v>
      </c>
      <c r="R715">
        <f t="shared" si="171"/>
        <v>0</v>
      </c>
      <c r="S715">
        <f t="shared" si="172"/>
        <v>0</v>
      </c>
      <c r="T715">
        <f t="shared" si="173"/>
        <v>0</v>
      </c>
      <c r="U715">
        <f t="shared" si="168"/>
        <v>0</v>
      </c>
      <c r="V715">
        <f t="shared" si="174"/>
        <v>0</v>
      </c>
      <c r="W715">
        <f t="shared" si="162"/>
        <v>0</v>
      </c>
      <c r="X715">
        <f>SUM($W$34:W715)</f>
        <v>206.15531469999991</v>
      </c>
      <c r="Y715">
        <f t="shared" si="175"/>
        <v>0</v>
      </c>
    </row>
    <row r="716" spans="1:25">
      <c r="A716">
        <v>130.2022786</v>
      </c>
      <c r="B716" s="2">
        <f t="shared" si="176"/>
        <v>-3.7734633325205492E-3</v>
      </c>
      <c r="C716">
        <v>116.5139784</v>
      </c>
      <c r="D716" s="3">
        <f t="shared" si="177"/>
        <v>-3.9357547829404361E-3</v>
      </c>
      <c r="E716" s="3">
        <f t="shared" si="163"/>
        <v>-3.1905953461845177E-3</v>
      </c>
      <c r="F716" s="3">
        <f>STDEV($E$32:E716)</f>
        <v>1.329225346659E-2</v>
      </c>
      <c r="G716" s="14">
        <f t="shared" si="166"/>
        <v>-0.24003419391633332</v>
      </c>
      <c r="H716" s="15">
        <f>yint($B$3:B716,$D$3:D716)</f>
        <v>1.9589908622381558E-4</v>
      </c>
      <c r="I716" s="16">
        <f>MyReg($B$3:B716,$D$3:D716)</f>
        <v>0.24938854311090855</v>
      </c>
      <c r="J716" s="17">
        <f>STDEV($D$3:D716)</f>
        <v>1.3571932697883309E-2</v>
      </c>
      <c r="K716" s="4">
        <f t="shared" si="164"/>
        <v>-7.4515943675591812E-4</v>
      </c>
      <c r="L716">
        <f t="shared" si="167"/>
        <v>-0.24003419391633332</v>
      </c>
      <c r="M716">
        <f>RSQ($D$3:D716,$B$3:B716)</f>
        <v>4.8808473911106709E-2</v>
      </c>
      <c r="N716">
        <v>684</v>
      </c>
      <c r="O716" t="str">
        <f t="shared" si="165"/>
        <v/>
      </c>
      <c r="P716" t="str">
        <f t="shared" si="169"/>
        <v/>
      </c>
      <c r="Q716">
        <f t="shared" si="170"/>
        <v>0</v>
      </c>
      <c r="R716">
        <f t="shared" si="171"/>
        <v>0</v>
      </c>
      <c r="S716">
        <f t="shared" si="172"/>
        <v>0</v>
      </c>
      <c r="T716">
        <f t="shared" si="173"/>
        <v>0</v>
      </c>
      <c r="U716">
        <f t="shared" si="168"/>
        <v>0</v>
      </c>
      <c r="V716">
        <f t="shared" si="174"/>
        <v>0</v>
      </c>
      <c r="W716">
        <f t="shared" ref="W716:W779" si="178">IF(ABS(V716)&gt;0,V716*(C716-A716),0)</f>
        <v>0</v>
      </c>
      <c r="X716">
        <f>SUM($W$34:W716)</f>
        <v>206.15531469999991</v>
      </c>
      <c r="Y716">
        <f t="shared" si="175"/>
        <v>0</v>
      </c>
    </row>
    <row r="717" spans="1:25">
      <c r="A717">
        <v>128.99931119999999</v>
      </c>
      <c r="B717" s="2">
        <f t="shared" si="176"/>
        <v>-9.2392192589477902E-3</v>
      </c>
      <c r="C717">
        <v>117.29263539999999</v>
      </c>
      <c r="D717" s="3">
        <f t="shared" si="177"/>
        <v>6.6829492108390273E-3</v>
      </c>
      <c r="E717" s="3">
        <f t="shared" si="163"/>
        <v>8.7709453641773294E-3</v>
      </c>
      <c r="F717" s="3">
        <f>STDEV($E$32:E717)</f>
        <v>1.3286699574901376E-2</v>
      </c>
      <c r="G717" s="14">
        <f t="shared" si="166"/>
        <v>0.66012972708028095</v>
      </c>
      <c r="H717" s="15">
        <f>yint($B$3:B717,$D$3:D717)</f>
        <v>2.0854739227637914E-4</v>
      </c>
      <c r="I717" s="16">
        <f>MyReg($B$3:B717,$D$3:D717)</f>
        <v>0.24856467643524927</v>
      </c>
      <c r="J717" s="17">
        <f>STDEV($D$3:D717)</f>
        <v>1.3564521760765887E-2</v>
      </c>
      <c r="K717" s="4">
        <f t="shared" si="164"/>
        <v>-2.0879961533383016E-3</v>
      </c>
      <c r="L717">
        <f t="shared" si="167"/>
        <v>0.66012972708028095</v>
      </c>
      <c r="M717">
        <f>RSQ($D$3:D717,$B$3:B717)</f>
        <v>4.8515553804998147E-2</v>
      </c>
      <c r="N717">
        <v>685</v>
      </c>
      <c r="O717" t="str">
        <f t="shared" si="165"/>
        <v/>
      </c>
      <c r="P717" t="str">
        <f t="shared" si="169"/>
        <v/>
      </c>
      <c r="Q717">
        <f t="shared" si="170"/>
        <v>0</v>
      </c>
      <c r="R717">
        <f t="shared" si="171"/>
        <v>0</v>
      </c>
      <c r="S717">
        <f t="shared" si="172"/>
        <v>0</v>
      </c>
      <c r="T717">
        <f t="shared" si="173"/>
        <v>0</v>
      </c>
      <c r="U717">
        <f t="shared" si="168"/>
        <v>0</v>
      </c>
      <c r="V717">
        <f t="shared" si="174"/>
        <v>0</v>
      </c>
      <c r="W717">
        <f t="shared" si="178"/>
        <v>0</v>
      </c>
      <c r="X717">
        <f>SUM($W$34:W717)</f>
        <v>206.15531469999991</v>
      </c>
      <c r="Y717">
        <f t="shared" si="175"/>
        <v>0</v>
      </c>
    </row>
    <row r="718" spans="1:25">
      <c r="A718">
        <v>127.88574509999999</v>
      </c>
      <c r="B718" s="2">
        <f t="shared" si="176"/>
        <v>-8.6323414415254637E-3</v>
      </c>
      <c r="C718">
        <v>115.0103192</v>
      </c>
      <c r="D718" s="3">
        <f t="shared" si="177"/>
        <v>-1.9458307780507052E-2</v>
      </c>
      <c r="E718" s="3">
        <f t="shared" si="163"/>
        <v>-1.7482795405275958E-2</v>
      </c>
      <c r="F718" s="3">
        <f>STDEV($E$32:E718)</f>
        <v>1.3293917836765794E-2</v>
      </c>
      <c r="G718" s="14">
        <f t="shared" si="166"/>
        <v>-1.3150972963685212</v>
      </c>
      <c r="H718" s="15">
        <f>yint($B$3:B718,$D$3:D718)</f>
        <v>1.834381587422186E-4</v>
      </c>
      <c r="I718" s="16">
        <f>MyReg($B$3:B718,$D$3:D718)</f>
        <v>0.2501002246722755</v>
      </c>
      <c r="J718" s="17">
        <f>STDEV($D$3:D718)</f>
        <v>1.3575160444256997E-2</v>
      </c>
      <c r="K718" s="4">
        <f t="shared" si="164"/>
        <v>-1.975512375231094E-3</v>
      </c>
      <c r="L718">
        <f t="shared" si="167"/>
        <v>-1.3150972963685212</v>
      </c>
      <c r="M718">
        <f>RSQ($D$3:D718,$B$3:B718)</f>
        <v>4.9010206896383558E-2</v>
      </c>
      <c r="N718">
        <v>686</v>
      </c>
      <c r="O718" t="str">
        <f t="shared" si="165"/>
        <v/>
      </c>
      <c r="P718" t="str">
        <f t="shared" si="169"/>
        <v/>
      </c>
      <c r="Q718">
        <f t="shared" si="170"/>
        <v>0</v>
      </c>
      <c r="R718">
        <f t="shared" si="171"/>
        <v>0</v>
      </c>
      <c r="S718">
        <f t="shared" si="172"/>
        <v>0</v>
      </c>
      <c r="T718">
        <f t="shared" si="173"/>
        <v>0</v>
      </c>
      <c r="U718">
        <f t="shared" si="168"/>
        <v>0</v>
      </c>
      <c r="V718">
        <f t="shared" si="174"/>
        <v>0</v>
      </c>
      <c r="W718">
        <f t="shared" si="178"/>
        <v>0</v>
      </c>
      <c r="X718">
        <f>SUM($W$34:W718)</f>
        <v>206.15531469999991</v>
      </c>
      <c r="Y718">
        <f t="shared" si="175"/>
        <v>0</v>
      </c>
    </row>
    <row r="719" spans="1:25">
      <c r="A719">
        <v>129.1999649</v>
      </c>
      <c r="B719" s="2">
        <f t="shared" si="176"/>
        <v>1.027651517354301E-2</v>
      </c>
      <c r="C719">
        <v>115.7227803</v>
      </c>
      <c r="D719" s="3">
        <f t="shared" si="177"/>
        <v>6.1947580439373198E-3</v>
      </c>
      <c r="E719" s="3">
        <f t="shared" si="163"/>
        <v>3.4331328401306961E-3</v>
      </c>
      <c r="F719" s="3">
        <f>STDEV($E$32:E719)</f>
        <v>1.3284861859140367E-2</v>
      </c>
      <c r="G719" s="14">
        <f t="shared" si="166"/>
        <v>0.2584244289878409</v>
      </c>
      <c r="H719" s="15">
        <f>yint($B$3:B719,$D$3:D719)</f>
        <v>1.8809672407153112E-4</v>
      </c>
      <c r="I719" s="16">
        <f>MyReg($B$3:B719,$D$3:D719)</f>
        <v>0.25042813018567495</v>
      </c>
      <c r="J719" s="17">
        <f>STDEV($D$3:D719)</f>
        <v>1.3567471039164147E-2</v>
      </c>
      <c r="K719" s="4">
        <f t="shared" si="164"/>
        <v>2.7616252038066237E-3</v>
      </c>
      <c r="L719">
        <f t="shared" si="167"/>
        <v>0.2584244289878409</v>
      </c>
      <c r="M719">
        <f>RSQ($D$3:D719,$B$3:B719)</f>
        <v>4.9172016271680601E-2</v>
      </c>
      <c r="N719">
        <v>687</v>
      </c>
      <c r="O719" t="str">
        <f t="shared" si="165"/>
        <v/>
      </c>
      <c r="P719" t="str">
        <f t="shared" si="169"/>
        <v/>
      </c>
      <c r="Q719">
        <f t="shared" si="170"/>
        <v>0</v>
      </c>
      <c r="R719">
        <f t="shared" si="171"/>
        <v>0</v>
      </c>
      <c r="S719">
        <f t="shared" si="172"/>
        <v>0</v>
      </c>
      <c r="T719">
        <f t="shared" si="173"/>
        <v>0</v>
      </c>
      <c r="U719">
        <f t="shared" si="168"/>
        <v>0</v>
      </c>
      <c r="V719">
        <f t="shared" si="174"/>
        <v>0</v>
      </c>
      <c r="W719">
        <f t="shared" si="178"/>
        <v>0</v>
      </c>
      <c r="X719">
        <f>SUM($W$34:W719)</f>
        <v>206.15531469999991</v>
      </c>
      <c r="Y719">
        <f t="shared" si="175"/>
        <v>0</v>
      </c>
    </row>
    <row r="720" spans="1:25">
      <c r="A720">
        <v>127.9426047</v>
      </c>
      <c r="B720" s="2">
        <f t="shared" si="176"/>
        <v>-9.7318927367602854E-3</v>
      </c>
      <c r="C720">
        <v>116.36498709999999</v>
      </c>
      <c r="D720" s="3">
        <f t="shared" si="177"/>
        <v>5.5495279177975015E-3</v>
      </c>
      <c r="E720" s="3">
        <f t="shared" si="163"/>
        <v>7.7799466928707801E-3</v>
      </c>
      <c r="F720" s="3">
        <f>STDEV($E$32:E720)</f>
        <v>1.3278458024901024E-2</v>
      </c>
      <c r="G720" s="14">
        <f t="shared" si="166"/>
        <v>0.58590739062330022</v>
      </c>
      <c r="H720" s="15">
        <f>yint($B$3:B720,$D$3:D720)</f>
        <v>1.9927595748127588E-4</v>
      </c>
      <c r="I720" s="16">
        <f>MyReg($B$3:B720,$D$3:D720)</f>
        <v>0.24966312291717591</v>
      </c>
      <c r="J720" s="17">
        <f>STDEV($D$3:D720)</f>
        <v>1.3559424171934774E-2</v>
      </c>
      <c r="K720" s="4">
        <f t="shared" si="164"/>
        <v>-2.2304187750732786E-3</v>
      </c>
      <c r="L720">
        <f t="shared" si="167"/>
        <v>0.58590739062330022</v>
      </c>
      <c r="M720">
        <f>RSQ($D$3:D720,$B$3:B720)</f>
        <v>4.8910588283076907E-2</v>
      </c>
      <c r="N720">
        <v>688</v>
      </c>
      <c r="O720" t="str">
        <f t="shared" si="165"/>
        <v/>
      </c>
      <c r="P720" t="str">
        <f t="shared" si="169"/>
        <v/>
      </c>
      <c r="Q720">
        <f t="shared" si="170"/>
        <v>0</v>
      </c>
      <c r="R720">
        <f t="shared" si="171"/>
        <v>0</v>
      </c>
      <c r="S720">
        <f t="shared" si="172"/>
        <v>0</v>
      </c>
      <c r="T720">
        <f t="shared" si="173"/>
        <v>0</v>
      </c>
      <c r="U720">
        <f t="shared" si="168"/>
        <v>0</v>
      </c>
      <c r="V720">
        <f t="shared" si="174"/>
        <v>0</v>
      </c>
      <c r="W720">
        <f t="shared" si="178"/>
        <v>0</v>
      </c>
      <c r="X720">
        <f>SUM($W$34:W720)</f>
        <v>206.15531469999991</v>
      </c>
      <c r="Y720">
        <f t="shared" si="175"/>
        <v>0</v>
      </c>
    </row>
    <row r="721" spans="1:25">
      <c r="A721">
        <v>127.4578262</v>
      </c>
      <c r="B721" s="2">
        <f t="shared" si="176"/>
        <v>-3.7890310357266348E-3</v>
      </c>
      <c r="C721">
        <v>115.28188160000001</v>
      </c>
      <c r="D721" s="3">
        <f t="shared" si="177"/>
        <v>-9.3078298463540841E-3</v>
      </c>
      <c r="E721" s="3">
        <f t="shared" si="163"/>
        <v>-8.5477588560459901E-3</v>
      </c>
      <c r="F721" s="3">
        <f>STDEV($E$32:E721)</f>
        <v>1.3272878299587076E-2</v>
      </c>
      <c r="G721" s="14">
        <f t="shared" si="166"/>
        <v>-0.64400190095255483</v>
      </c>
      <c r="H721" s="15">
        <f>yint($B$3:B721,$D$3:D721)</f>
        <v>1.8722671452986626E-4</v>
      </c>
      <c r="I721" s="16">
        <f>MyReg($B$3:B721,$D$3:D721)</f>
        <v>0.25001054251230048</v>
      </c>
      <c r="J721" s="17">
        <f>STDEV($D$3:D721)</f>
        <v>1.3554718022171487E-2</v>
      </c>
      <c r="K721" s="4">
        <f t="shared" si="164"/>
        <v>-7.6007099030809351E-4</v>
      </c>
      <c r="L721">
        <f t="shared" si="167"/>
        <v>-0.64400190095255483</v>
      </c>
      <c r="M721">
        <f>RSQ($D$3:D721,$B$3:B721)</f>
        <v>4.9020876078647455E-2</v>
      </c>
      <c r="N721">
        <v>689</v>
      </c>
      <c r="O721" t="str">
        <f t="shared" si="165"/>
        <v/>
      </c>
      <c r="P721" t="str">
        <f t="shared" si="169"/>
        <v/>
      </c>
      <c r="Q721">
        <f t="shared" si="170"/>
        <v>0</v>
      </c>
      <c r="R721">
        <f t="shared" si="171"/>
        <v>0</v>
      </c>
      <c r="S721">
        <f t="shared" si="172"/>
        <v>0</v>
      </c>
      <c r="T721">
        <f t="shared" si="173"/>
        <v>0</v>
      </c>
      <c r="U721">
        <f t="shared" si="168"/>
        <v>0</v>
      </c>
      <c r="V721">
        <f t="shared" si="174"/>
        <v>0</v>
      </c>
      <c r="W721">
        <f t="shared" si="178"/>
        <v>0</v>
      </c>
      <c r="X721">
        <f>SUM($W$34:W721)</f>
        <v>206.15531469999991</v>
      </c>
      <c r="Y721">
        <f t="shared" si="175"/>
        <v>0</v>
      </c>
    </row>
    <row r="722" spans="1:25">
      <c r="A722">
        <v>129.32633820000001</v>
      </c>
      <c r="B722" s="2">
        <f t="shared" si="176"/>
        <v>1.4659845187286033E-2</v>
      </c>
      <c r="C722">
        <v>116.11614059999999</v>
      </c>
      <c r="D722" s="3">
        <f t="shared" si="177"/>
        <v>7.2366879202636876E-3</v>
      </c>
      <c r="E722" s="3">
        <f t="shared" si="163"/>
        <v>3.3730333726393318E-3</v>
      </c>
      <c r="F722" s="3">
        <f>STDEV($E$32:E722)</f>
        <v>1.3263854714736123E-2</v>
      </c>
      <c r="G722" s="14">
        <f t="shared" si="166"/>
        <v>0.2543026476980253</v>
      </c>
      <c r="H722" s="15">
        <f>yint($B$3:B722,$D$3:D722)</f>
        <v>1.9172776397007919E-4</v>
      </c>
      <c r="I722" s="16">
        <f>MyReg($B$3:B722,$D$3:D722)</f>
        <v>0.25047514054505904</v>
      </c>
      <c r="J722" s="17">
        <f>STDEV($D$3:D722)</f>
        <v>1.3547762742781118E-2</v>
      </c>
      <c r="K722" s="4">
        <f t="shared" si="164"/>
        <v>3.8636545476243558E-3</v>
      </c>
      <c r="L722">
        <f t="shared" si="167"/>
        <v>0.2543026476980253</v>
      </c>
      <c r="M722">
        <f>RSQ($D$3:D722,$B$3:B722)</f>
        <v>4.9281676733418274E-2</v>
      </c>
      <c r="N722">
        <v>690</v>
      </c>
      <c r="O722" t="str">
        <f t="shared" si="165"/>
        <v/>
      </c>
      <c r="P722" t="str">
        <f t="shared" si="169"/>
        <v/>
      </c>
      <c r="Q722">
        <f t="shared" si="170"/>
        <v>0</v>
      </c>
      <c r="R722">
        <f t="shared" si="171"/>
        <v>0</v>
      </c>
      <c r="S722">
        <f t="shared" si="172"/>
        <v>0</v>
      </c>
      <c r="T722">
        <f t="shared" si="173"/>
        <v>0</v>
      </c>
      <c r="U722">
        <f t="shared" si="168"/>
        <v>0</v>
      </c>
      <c r="V722">
        <f t="shared" si="174"/>
        <v>0</v>
      </c>
      <c r="W722">
        <f t="shared" si="178"/>
        <v>0</v>
      </c>
      <c r="X722">
        <f>SUM($W$34:W722)</f>
        <v>206.15531469999991</v>
      </c>
      <c r="Y722">
        <f t="shared" si="175"/>
        <v>0</v>
      </c>
    </row>
    <row r="723" spans="1:25">
      <c r="A723">
        <v>128.51900860000001</v>
      </c>
      <c r="B723" s="2">
        <f t="shared" si="176"/>
        <v>-6.2425768117820466E-3</v>
      </c>
      <c r="C723">
        <v>117.6136439</v>
      </c>
      <c r="D723" s="3">
        <f t="shared" si="177"/>
        <v>1.2896598976352865E-2</v>
      </c>
      <c r="E723" s="3">
        <f t="shared" si="163"/>
        <v>1.4242584276339482E-2</v>
      </c>
      <c r="F723" s="3">
        <f>STDEV($E$32:E723)</f>
        <v>1.3265203270559014E-2</v>
      </c>
      <c r="G723" s="14">
        <f t="shared" si="166"/>
        <v>1.0736800624796818</v>
      </c>
      <c r="H723" s="15">
        <f>yint($B$3:B723,$D$3:D723)</f>
        <v>2.1190261504963137E-4</v>
      </c>
      <c r="I723" s="16">
        <f>MyReg($B$3:B723,$D$3:D723)</f>
        <v>0.24955846952430588</v>
      </c>
      <c r="J723" s="17">
        <f>STDEV($D$3:D723)</f>
        <v>1.354647768847019E-2</v>
      </c>
      <c r="K723" s="4">
        <f t="shared" si="164"/>
        <v>-1.345985299986617E-3</v>
      </c>
      <c r="L723">
        <f t="shared" si="167"/>
        <v>1.0736800624796818</v>
      </c>
      <c r="M723">
        <f>RSQ($D$3:D723,$B$3:B723)</f>
        <v>4.8883897208958887E-2</v>
      </c>
      <c r="N723">
        <v>691</v>
      </c>
      <c r="O723" t="str">
        <f t="shared" si="165"/>
        <v/>
      </c>
      <c r="P723" t="str">
        <f t="shared" si="169"/>
        <v/>
      </c>
      <c r="Q723">
        <f t="shared" si="170"/>
        <v>0</v>
      </c>
      <c r="R723">
        <f t="shared" si="171"/>
        <v>0</v>
      </c>
      <c r="S723">
        <f t="shared" si="172"/>
        <v>0</v>
      </c>
      <c r="T723">
        <f t="shared" si="173"/>
        <v>0</v>
      </c>
      <c r="U723">
        <f t="shared" si="168"/>
        <v>0</v>
      </c>
      <c r="V723">
        <f t="shared" si="174"/>
        <v>0</v>
      </c>
      <c r="W723">
        <f t="shared" si="178"/>
        <v>0</v>
      </c>
      <c r="X723">
        <f>SUM($W$34:W723)</f>
        <v>206.15531469999991</v>
      </c>
      <c r="Y723">
        <f t="shared" si="175"/>
        <v>0</v>
      </c>
    </row>
    <row r="724" spans="1:25">
      <c r="A724">
        <v>129.1232904</v>
      </c>
      <c r="B724" s="2">
        <f t="shared" si="176"/>
        <v>4.7018865659067604E-3</v>
      </c>
      <c r="C724">
        <v>117.2597698</v>
      </c>
      <c r="D724" s="3">
        <f t="shared" si="177"/>
        <v>-3.008784425562711E-3</v>
      </c>
      <c r="E724" s="3">
        <f t="shared" si="163"/>
        <v>-4.387222114989927E-3</v>
      </c>
      <c r="F724" s="3">
        <f>STDEV($E$32:E724)</f>
        <v>1.3256705024281E-2</v>
      </c>
      <c r="G724" s="14">
        <f t="shared" si="166"/>
        <v>-0.33094363244518793</v>
      </c>
      <c r="H724" s="15">
        <f>yint($B$3:B724,$D$3:D724)</f>
        <v>2.0589378171018179E-4</v>
      </c>
      <c r="I724" s="16">
        <f>MyReg($B$3:B724,$D$3:D724)</f>
        <v>0.24937732786220648</v>
      </c>
      <c r="J724" s="17">
        <f>STDEV($D$3:D724)</f>
        <v>1.353764593519423E-2</v>
      </c>
      <c r="K724" s="4">
        <f t="shared" si="164"/>
        <v>1.3784376894272162E-3</v>
      </c>
      <c r="L724">
        <f t="shared" si="167"/>
        <v>-0.33094363244518793</v>
      </c>
      <c r="M724">
        <f>RSQ($D$3:D724,$B$3:B724)</f>
        <v>4.8817495763704942E-2</v>
      </c>
      <c r="N724">
        <v>692</v>
      </c>
      <c r="O724" t="str">
        <f t="shared" si="165"/>
        <v/>
      </c>
      <c r="P724" t="str">
        <f t="shared" si="169"/>
        <v/>
      </c>
      <c r="Q724">
        <f t="shared" si="170"/>
        <v>0</v>
      </c>
      <c r="R724">
        <f t="shared" si="171"/>
        <v>0</v>
      </c>
      <c r="S724">
        <f t="shared" si="172"/>
        <v>0</v>
      </c>
      <c r="T724">
        <f t="shared" si="173"/>
        <v>0</v>
      </c>
      <c r="U724">
        <f t="shared" si="168"/>
        <v>0</v>
      </c>
      <c r="V724">
        <f t="shared" si="174"/>
        <v>0</v>
      </c>
      <c r="W724">
        <f t="shared" si="178"/>
        <v>0</v>
      </c>
      <c r="X724">
        <f>SUM($W$34:W724)</f>
        <v>206.15531469999991</v>
      </c>
      <c r="Y724">
        <f t="shared" si="175"/>
        <v>0</v>
      </c>
    </row>
    <row r="725" spans="1:25">
      <c r="A725">
        <v>131.90196950000001</v>
      </c>
      <c r="B725" s="2">
        <f t="shared" si="176"/>
        <v>2.1519580947729666E-2</v>
      </c>
      <c r="C725">
        <v>117.8626347</v>
      </c>
      <c r="D725" s="3">
        <f t="shared" si="177"/>
        <v>5.1412765096525044E-3</v>
      </c>
      <c r="E725" s="3">
        <f t="shared" si="163"/>
        <v>-4.2868024367097562E-4</v>
      </c>
      <c r="F725" s="3">
        <f>STDEV($E$32:E725)</f>
        <v>1.3247150990061079E-2</v>
      </c>
      <c r="G725" s="14">
        <f t="shared" si="166"/>
        <v>-3.2360184011837788E-2</v>
      </c>
      <c r="H725" s="15">
        <f>yint($B$3:B725,$D$3:D725)</f>
        <v>2.0533717309874588E-4</v>
      </c>
      <c r="I725" s="16">
        <f>MyReg($B$3:B725,$D$3:D725)</f>
        <v>0.24929015082845773</v>
      </c>
      <c r="J725" s="17">
        <f>STDEV($D$3:D725)</f>
        <v>1.3529459690748192E-2</v>
      </c>
      <c r="K725" s="4">
        <f t="shared" si="164"/>
        <v>5.56995675332348E-3</v>
      </c>
      <c r="L725">
        <f t="shared" si="167"/>
        <v>-3.2360184011837788E-2</v>
      </c>
      <c r="M725">
        <f>RSQ($D$3:D725,$B$3:B725)</f>
        <v>4.898371080708E-2</v>
      </c>
      <c r="N725">
        <v>693</v>
      </c>
      <c r="O725" t="str">
        <f t="shared" si="165"/>
        <v/>
      </c>
      <c r="P725" t="str">
        <f t="shared" si="169"/>
        <v/>
      </c>
      <c r="Q725">
        <f t="shared" si="170"/>
        <v>0</v>
      </c>
      <c r="R725">
        <f t="shared" si="171"/>
        <v>0</v>
      </c>
      <c r="S725">
        <f t="shared" si="172"/>
        <v>0</v>
      </c>
      <c r="T725">
        <f t="shared" si="173"/>
        <v>0</v>
      </c>
      <c r="U725">
        <f t="shared" si="168"/>
        <v>0</v>
      </c>
      <c r="V725">
        <f t="shared" si="174"/>
        <v>0</v>
      </c>
      <c r="W725">
        <f t="shared" si="178"/>
        <v>0</v>
      </c>
      <c r="X725">
        <f>SUM($W$34:W725)</f>
        <v>206.15531469999991</v>
      </c>
      <c r="Y725">
        <f t="shared" si="175"/>
        <v>0</v>
      </c>
    </row>
    <row r="726" spans="1:25">
      <c r="A726">
        <v>131.2062215</v>
      </c>
      <c r="B726" s="2">
        <f t="shared" si="176"/>
        <v>-5.274735492103542E-3</v>
      </c>
      <c r="C726">
        <v>119.04665730000001</v>
      </c>
      <c r="D726" s="3">
        <f t="shared" si="177"/>
        <v>1.0045784255661187E-2</v>
      </c>
      <c r="E726" s="3">
        <f t="shared" si="163"/>
        <v>1.1136473656029371E-2</v>
      </c>
      <c r="F726" s="3">
        <f>STDEV($E$32:E726)</f>
        <v>1.3244244914635744E-2</v>
      </c>
      <c r="G726" s="14">
        <f t="shared" si="166"/>
        <v>0.84085379935271731</v>
      </c>
      <c r="H726" s="15">
        <f>yint($B$3:B726,$D$3:D726)</f>
        <v>2.2101909858281084E-4</v>
      </c>
      <c r="I726" s="16">
        <f>MyReg($B$3:B726,$D$3:D726)</f>
        <v>0.24867758789320657</v>
      </c>
      <c r="J726" s="17">
        <f>STDEV($D$3:D726)</f>
        <v>1.3524932028067194E-2</v>
      </c>
      <c r="K726" s="4">
        <f t="shared" si="164"/>
        <v>-1.0906894003681841E-3</v>
      </c>
      <c r="L726">
        <f t="shared" si="167"/>
        <v>0.84085379935271731</v>
      </c>
      <c r="M726">
        <f>RSQ($D$3:D726,$B$3:B726)</f>
        <v>4.8723785700472963E-2</v>
      </c>
      <c r="N726">
        <v>694</v>
      </c>
      <c r="O726" t="str">
        <f t="shared" si="165"/>
        <v/>
      </c>
      <c r="P726" t="str">
        <f t="shared" si="169"/>
        <v/>
      </c>
      <c r="Q726">
        <f t="shared" si="170"/>
        <v>0</v>
      </c>
      <c r="R726">
        <f t="shared" si="171"/>
        <v>0</v>
      </c>
      <c r="S726">
        <f t="shared" si="172"/>
        <v>0</v>
      </c>
      <c r="T726">
        <f t="shared" si="173"/>
        <v>0</v>
      </c>
      <c r="U726">
        <f t="shared" si="168"/>
        <v>0</v>
      </c>
      <c r="V726">
        <f t="shared" si="174"/>
        <v>0</v>
      </c>
      <c r="W726">
        <f t="shared" si="178"/>
        <v>0</v>
      </c>
      <c r="X726">
        <f>SUM($W$34:W726)</f>
        <v>206.15531469999991</v>
      </c>
      <c r="Y726">
        <f t="shared" si="175"/>
        <v>0</v>
      </c>
    </row>
    <row r="727" spans="1:25">
      <c r="A727">
        <v>132.7369534</v>
      </c>
      <c r="B727" s="2">
        <f t="shared" si="176"/>
        <v>1.1666610641630331E-2</v>
      </c>
      <c r="C727">
        <v>120.83013889999999</v>
      </c>
      <c r="D727" s="3">
        <f t="shared" si="177"/>
        <v>1.4981366469665566E-2</v>
      </c>
      <c r="E727" s="3">
        <f t="shared" si="163"/>
        <v>1.182849633062414E-2</v>
      </c>
      <c r="F727" s="3">
        <f>STDEV($E$32:E727)</f>
        <v>1.32421824585752E-2</v>
      </c>
      <c r="G727" s="14">
        <f t="shared" si="166"/>
        <v>0.89324372078594916</v>
      </c>
      <c r="H727" s="15">
        <f>yint($B$3:B727,$D$3:D727)</f>
        <v>2.3678727009946522E-4</v>
      </c>
      <c r="I727" s="16">
        <f>MyReg($B$3:B727,$D$3:D727)</f>
        <v>0.24995116049698363</v>
      </c>
      <c r="J727" s="17">
        <f>STDEV($D$3:D727)</f>
        <v>1.3526534128038444E-2</v>
      </c>
      <c r="K727" s="4">
        <f t="shared" si="164"/>
        <v>3.1528701390414254E-3</v>
      </c>
      <c r="L727">
        <f t="shared" si="167"/>
        <v>0.89324372078594916</v>
      </c>
      <c r="M727">
        <f>RSQ($D$3:D727,$B$3:B727)</f>
        <v>4.9203781437465927E-2</v>
      </c>
      <c r="N727">
        <v>695</v>
      </c>
      <c r="O727" t="str">
        <f t="shared" si="165"/>
        <v/>
      </c>
      <c r="P727" t="str">
        <f t="shared" si="169"/>
        <v/>
      </c>
      <c r="Q727">
        <f t="shared" si="170"/>
        <v>0</v>
      </c>
      <c r="R727">
        <f t="shared" si="171"/>
        <v>0</v>
      </c>
      <c r="S727">
        <f t="shared" si="172"/>
        <v>0</v>
      </c>
      <c r="T727">
        <f t="shared" si="173"/>
        <v>0</v>
      </c>
      <c r="U727">
        <f t="shared" si="168"/>
        <v>0</v>
      </c>
      <c r="V727">
        <f t="shared" si="174"/>
        <v>0</v>
      </c>
      <c r="W727">
        <f t="shared" si="178"/>
        <v>0</v>
      </c>
      <c r="X727">
        <f>SUM($W$34:W727)</f>
        <v>206.15531469999991</v>
      </c>
      <c r="Y727">
        <f t="shared" si="175"/>
        <v>0</v>
      </c>
    </row>
    <row r="728" spans="1:25">
      <c r="A728">
        <v>134.02649049999999</v>
      </c>
      <c r="B728" s="2">
        <f t="shared" si="176"/>
        <v>9.7149819019425356E-3</v>
      </c>
      <c r="C728">
        <v>121.77723640000001</v>
      </c>
      <c r="D728" s="3">
        <f t="shared" si="177"/>
        <v>7.838255493390088E-3</v>
      </c>
      <c r="E728" s="3">
        <f t="shared" si="163"/>
        <v>5.1618419301069519E-3</v>
      </c>
      <c r="F728" s="3">
        <f>STDEV($E$32:E728)</f>
        <v>1.3234047651278814E-2</v>
      </c>
      <c r="G728" s="14">
        <f t="shared" si="166"/>
        <v>0.39004256793711634</v>
      </c>
      <c r="H728" s="15">
        <f>yint($B$3:B728,$D$3:D728)</f>
        <v>2.4369525338159217E-4</v>
      </c>
      <c r="I728" s="16">
        <f>MyReg($B$3:B728,$D$3:D728)</f>
        <v>0.25040893894152449</v>
      </c>
      <c r="J728" s="17">
        <f>STDEV($D$3:D728)</f>
        <v>1.352005709291856E-2</v>
      </c>
      <c r="K728" s="4">
        <f t="shared" si="164"/>
        <v>2.6764135632831362E-3</v>
      </c>
      <c r="L728">
        <f t="shared" si="167"/>
        <v>0.39004256793711634</v>
      </c>
      <c r="M728">
        <f>RSQ($D$3:D728,$B$3:B728)</f>
        <v>4.9403772814593475E-2</v>
      </c>
      <c r="N728">
        <v>696</v>
      </c>
      <c r="O728" t="str">
        <f t="shared" si="165"/>
        <v/>
      </c>
      <c r="P728" t="str">
        <f t="shared" si="169"/>
        <v/>
      </c>
      <c r="Q728">
        <f t="shared" si="170"/>
        <v>0</v>
      </c>
      <c r="R728">
        <f t="shared" si="171"/>
        <v>0</v>
      </c>
      <c r="S728">
        <f t="shared" si="172"/>
        <v>0</v>
      </c>
      <c r="T728">
        <f t="shared" si="173"/>
        <v>0</v>
      </c>
      <c r="U728">
        <f t="shared" si="168"/>
        <v>0</v>
      </c>
      <c r="V728">
        <f t="shared" si="174"/>
        <v>0</v>
      </c>
      <c r="W728">
        <f t="shared" si="178"/>
        <v>0</v>
      </c>
      <c r="X728">
        <f>SUM($W$34:W728)</f>
        <v>206.15531469999991</v>
      </c>
      <c r="Y728">
        <f t="shared" si="175"/>
        <v>0</v>
      </c>
    </row>
    <row r="729" spans="1:25">
      <c r="A729">
        <v>135.05120869999999</v>
      </c>
      <c r="B729" s="2">
        <f t="shared" si="176"/>
        <v>7.6456392775575612E-3</v>
      </c>
      <c r="C729">
        <v>121.621071</v>
      </c>
      <c r="D729" s="3">
        <f t="shared" si="177"/>
        <v>-1.2823858104896698E-3</v>
      </c>
      <c r="E729" s="3">
        <f t="shared" si="163"/>
        <v>-3.4341962162520597E-3</v>
      </c>
      <c r="F729" s="3">
        <f>STDEV($E$32:E729)</f>
        <v>1.3225235095178719E-2</v>
      </c>
      <c r="G729" s="14">
        <f t="shared" si="166"/>
        <v>-0.25966995607541232</v>
      </c>
      <c r="H729" s="15">
        <f>yint($B$3:B729,$D$3:D729)</f>
        <v>2.3907707256063873E-4</v>
      </c>
      <c r="I729" s="16">
        <f>MyReg($B$3:B729,$D$3:D729)</f>
        <v>0.2501731070175186</v>
      </c>
      <c r="J729" s="17">
        <f>STDEV($D$3:D729)</f>
        <v>1.3510880319909749E-2</v>
      </c>
      <c r="K729" s="4">
        <f t="shared" si="164"/>
        <v>2.1518104057623899E-3</v>
      </c>
      <c r="L729">
        <f t="shared" si="167"/>
        <v>-0.25966995607541232</v>
      </c>
      <c r="M729">
        <f>RSQ($D$3:D729,$B$3:B729)</f>
        <v>4.9334001627412624E-2</v>
      </c>
      <c r="N729">
        <v>697</v>
      </c>
      <c r="O729" t="str">
        <f t="shared" si="165"/>
        <v/>
      </c>
      <c r="P729" t="str">
        <f t="shared" si="169"/>
        <v/>
      </c>
      <c r="Q729">
        <f t="shared" si="170"/>
        <v>0</v>
      </c>
      <c r="R729">
        <f t="shared" si="171"/>
        <v>0</v>
      </c>
      <c r="S729">
        <f t="shared" si="172"/>
        <v>0</v>
      </c>
      <c r="T729">
        <f t="shared" si="173"/>
        <v>0</v>
      </c>
      <c r="U729">
        <f t="shared" si="168"/>
        <v>0</v>
      </c>
      <c r="V729">
        <f t="shared" si="174"/>
        <v>0</v>
      </c>
      <c r="W729">
        <f t="shared" si="178"/>
        <v>0</v>
      </c>
      <c r="X729">
        <f>SUM($W$34:W729)</f>
        <v>206.15531469999991</v>
      </c>
      <c r="Y729">
        <f t="shared" si="175"/>
        <v>0</v>
      </c>
    </row>
    <row r="730" spans="1:25">
      <c r="A730">
        <v>138.430431</v>
      </c>
      <c r="B730" s="2">
        <f t="shared" si="176"/>
        <v>2.5021784940159587E-2</v>
      </c>
      <c r="C730">
        <v>122.6949054</v>
      </c>
      <c r="D730" s="3">
        <f t="shared" si="177"/>
        <v>8.8293450400547414E-3</v>
      </c>
      <c r="E730" s="3">
        <f t="shared" si="163"/>
        <v>2.3139717164699656E-3</v>
      </c>
      <c r="F730" s="3">
        <f>STDEV($E$32:E730)</f>
        <v>1.3216019656590727E-2</v>
      </c>
      <c r="G730" s="14">
        <f t="shared" si="166"/>
        <v>0.17508839851914157</v>
      </c>
      <c r="H730" s="15">
        <f>yint($B$3:B730,$D$3:D730)</f>
        <v>2.4199622978687417E-4</v>
      </c>
      <c r="I730" s="16">
        <f>MyReg($B$3:B730,$D$3:D730)</f>
        <v>0.25071660989817024</v>
      </c>
      <c r="J730" s="17">
        <f>STDEV($D$3:D730)</f>
        <v>1.3505232830748582E-2</v>
      </c>
      <c r="K730" s="4">
        <f t="shared" si="164"/>
        <v>6.5153733235847758E-3</v>
      </c>
      <c r="L730">
        <f t="shared" si="167"/>
        <v>0.17508839851914157</v>
      </c>
      <c r="M730">
        <f>RSQ($D$3:D730,$B$3:B730)</f>
        <v>4.9806835235181347E-2</v>
      </c>
      <c r="N730">
        <v>698</v>
      </c>
      <c r="O730" t="str">
        <f t="shared" si="165"/>
        <v/>
      </c>
      <c r="P730" t="str">
        <f t="shared" si="169"/>
        <v/>
      </c>
      <c r="Q730">
        <f t="shared" si="170"/>
        <v>0</v>
      </c>
      <c r="R730">
        <f t="shared" si="171"/>
        <v>0</v>
      </c>
      <c r="S730">
        <f t="shared" si="172"/>
        <v>0</v>
      </c>
      <c r="T730">
        <f t="shared" si="173"/>
        <v>0</v>
      </c>
      <c r="U730">
        <f t="shared" si="168"/>
        <v>0</v>
      </c>
      <c r="V730">
        <f t="shared" si="174"/>
        <v>0</v>
      </c>
      <c r="W730">
        <f t="shared" si="178"/>
        <v>0</v>
      </c>
      <c r="X730">
        <f>SUM($W$34:W730)</f>
        <v>206.15531469999991</v>
      </c>
      <c r="Y730">
        <f t="shared" si="175"/>
        <v>0</v>
      </c>
    </row>
    <row r="731" spans="1:25">
      <c r="A731">
        <v>138.7667428</v>
      </c>
      <c r="B731" s="2">
        <f t="shared" si="176"/>
        <v>2.4294643711685348E-3</v>
      </c>
      <c r="C731">
        <v>122.7322492</v>
      </c>
      <c r="D731" s="3">
        <f t="shared" si="177"/>
        <v>3.0436308564122457E-4</v>
      </c>
      <c r="E731" s="3">
        <f t="shared" si="163"/>
        <v>-5.4597128767904803E-4</v>
      </c>
      <c r="F731" s="3">
        <f>STDEV($E$32:E731)</f>
        <v>1.3206586638167081E-2</v>
      </c>
      <c r="G731" s="14">
        <f t="shared" si="166"/>
        <v>-4.1340832619171188E-2</v>
      </c>
      <c r="H731" s="15">
        <f>yint($B$3:B731,$D$3:D731)</f>
        <v>2.4125142152535054E-4</v>
      </c>
      <c r="I731" s="16">
        <f>MyReg($B$3:B731,$D$3:D731)</f>
        <v>0.25070668210786012</v>
      </c>
      <c r="J731" s="17">
        <f>STDEV($D$3:D731)</f>
        <v>1.3495954304532322E-2</v>
      </c>
      <c r="K731" s="4">
        <f t="shared" si="164"/>
        <v>8.503343733202726E-4</v>
      </c>
      <c r="L731">
        <f t="shared" si="167"/>
        <v>-4.1340832619171188E-2</v>
      </c>
      <c r="M731">
        <f>RSQ($D$3:D731,$B$3:B731)</f>
        <v>4.9804616891103132E-2</v>
      </c>
      <c r="N731">
        <v>699</v>
      </c>
      <c r="O731" t="str">
        <f t="shared" si="165"/>
        <v/>
      </c>
      <c r="P731" t="str">
        <f t="shared" si="169"/>
        <v/>
      </c>
      <c r="Q731">
        <f t="shared" si="170"/>
        <v>0</v>
      </c>
      <c r="R731">
        <f t="shared" si="171"/>
        <v>0</v>
      </c>
      <c r="S731">
        <f t="shared" si="172"/>
        <v>0</v>
      </c>
      <c r="T731">
        <f t="shared" si="173"/>
        <v>0</v>
      </c>
      <c r="U731">
        <f t="shared" si="168"/>
        <v>0</v>
      </c>
      <c r="V731">
        <f t="shared" si="174"/>
        <v>0</v>
      </c>
      <c r="W731">
        <f t="shared" si="178"/>
        <v>0</v>
      </c>
      <c r="X731">
        <f>SUM($W$34:W731)</f>
        <v>206.15531469999991</v>
      </c>
      <c r="Y731">
        <f t="shared" si="175"/>
        <v>0</v>
      </c>
    </row>
    <row r="732" spans="1:25">
      <c r="A732">
        <v>139.55217500000001</v>
      </c>
      <c r="B732" s="2">
        <f t="shared" si="176"/>
        <v>5.6600896162275743E-3</v>
      </c>
      <c r="C732">
        <v>120.90715729999999</v>
      </c>
      <c r="D732" s="3">
        <f t="shared" si="177"/>
        <v>-1.4870516200073061E-2</v>
      </c>
      <c r="E732" s="3">
        <f t="shared" si="163"/>
        <v>-1.6504003194177646E-2</v>
      </c>
      <c r="F732" s="3">
        <f>STDEV($E$32:E732)</f>
        <v>1.3212073556702305E-2</v>
      </c>
      <c r="G732" s="14">
        <f t="shared" si="166"/>
        <v>-1.2491607107201874</v>
      </c>
      <c r="H732" s="15">
        <f>yint($B$3:B732,$D$3:D732)</f>
        <v>2.1903318770130279E-4</v>
      </c>
      <c r="I732" s="16">
        <f>MyReg($B$3:B732,$D$3:D732)</f>
        <v>0.24989954264116565</v>
      </c>
      <c r="J732" s="17">
        <f>STDEV($D$3:D732)</f>
        <v>1.3498488781664568E-2</v>
      </c>
      <c r="K732" s="4">
        <f t="shared" si="164"/>
        <v>1.6334869941045844E-3</v>
      </c>
      <c r="L732">
        <f t="shared" si="167"/>
        <v>-1.2491607107201874</v>
      </c>
      <c r="M732">
        <f>RSQ($D$3:D732,$B$3:B732)</f>
        <v>4.9410407146827144E-2</v>
      </c>
      <c r="N732">
        <v>700</v>
      </c>
      <c r="O732" t="str">
        <f t="shared" si="165"/>
        <v/>
      </c>
      <c r="P732" t="str">
        <f t="shared" si="169"/>
        <v/>
      </c>
      <c r="Q732">
        <f t="shared" si="170"/>
        <v>0</v>
      </c>
      <c r="R732">
        <f t="shared" si="171"/>
        <v>0</v>
      </c>
      <c r="S732">
        <f t="shared" si="172"/>
        <v>0</v>
      </c>
      <c r="T732">
        <f t="shared" si="173"/>
        <v>0</v>
      </c>
      <c r="U732">
        <f t="shared" si="168"/>
        <v>0</v>
      </c>
      <c r="V732">
        <f t="shared" si="174"/>
        <v>0</v>
      </c>
      <c r="W732">
        <f t="shared" si="178"/>
        <v>0</v>
      </c>
      <c r="X732">
        <f>SUM($W$34:W732)</f>
        <v>206.15531469999991</v>
      </c>
      <c r="Y732">
        <f t="shared" si="175"/>
        <v>0</v>
      </c>
    </row>
    <row r="733" spans="1:25">
      <c r="A733">
        <v>140.18637609999999</v>
      </c>
      <c r="B733" s="2">
        <f t="shared" si="176"/>
        <v>4.5445447195644516E-3</v>
      </c>
      <c r="C733">
        <v>122.3707091</v>
      </c>
      <c r="D733" s="3">
        <f t="shared" si="177"/>
        <v>1.2104757341772394E-2</v>
      </c>
      <c r="E733" s="3">
        <f t="shared" si="163"/>
        <v>1.0733693674237935E-2</v>
      </c>
      <c r="F733" s="3">
        <f>STDEV($E$32:E733)</f>
        <v>1.320875219802013E-2</v>
      </c>
      <c r="G733" s="14">
        <f t="shared" si="166"/>
        <v>0.81261980793665101</v>
      </c>
      <c r="H733" s="15">
        <f>yint($B$3:B733,$D$3:D733)</f>
        <v>2.3352005473754417E-4</v>
      </c>
      <c r="I733" s="16">
        <f>MyReg($B$3:B733,$D$3:D733)</f>
        <v>0.25030969722879876</v>
      </c>
      <c r="J733" s="17">
        <f>STDEV($D$3:D733)</f>
        <v>1.3496243257395383E-2</v>
      </c>
      <c r="K733" s="4">
        <f t="shared" si="164"/>
        <v>1.3710636675344583E-3</v>
      </c>
      <c r="L733">
        <f t="shared" si="167"/>
        <v>0.81261980793665101</v>
      </c>
      <c r="M733">
        <f>RSQ($D$3:D733,$B$3:B733)</f>
        <v>4.9528888461529981E-2</v>
      </c>
      <c r="N733">
        <v>701</v>
      </c>
      <c r="O733" t="str">
        <f t="shared" si="165"/>
        <v/>
      </c>
      <c r="P733" t="str">
        <f t="shared" si="169"/>
        <v/>
      </c>
      <c r="Q733">
        <f t="shared" si="170"/>
        <v>0</v>
      </c>
      <c r="R733">
        <f t="shared" si="171"/>
        <v>0</v>
      </c>
      <c r="S733">
        <f t="shared" si="172"/>
        <v>0</v>
      </c>
      <c r="T733">
        <f t="shared" si="173"/>
        <v>0</v>
      </c>
      <c r="U733">
        <f t="shared" si="168"/>
        <v>0</v>
      </c>
      <c r="V733">
        <f t="shared" si="174"/>
        <v>0</v>
      </c>
      <c r="W733">
        <f t="shared" si="178"/>
        <v>0</v>
      </c>
      <c r="X733">
        <f>SUM($W$34:W733)</f>
        <v>206.15531469999991</v>
      </c>
      <c r="Y733">
        <f t="shared" si="175"/>
        <v>0</v>
      </c>
    </row>
    <row r="734" spans="1:25">
      <c r="A734">
        <v>139.0752588</v>
      </c>
      <c r="B734" s="2">
        <f t="shared" si="176"/>
        <v>-7.9260005922928596E-3</v>
      </c>
      <c r="C734">
        <v>123.2378314</v>
      </c>
      <c r="D734" s="3">
        <f t="shared" si="177"/>
        <v>7.086028236474487E-3</v>
      </c>
      <c r="E734" s="3">
        <f t="shared" si="163"/>
        <v>8.818394814958698E-3</v>
      </c>
      <c r="F734" s="3">
        <f>STDEV($E$32:E734)</f>
        <v>1.3203427536742682E-2</v>
      </c>
      <c r="G734" s="14">
        <f t="shared" si="166"/>
        <v>0.6678867885190225</v>
      </c>
      <c r="H734" s="15">
        <f>yint($B$3:B734,$D$3:D734)</f>
        <v>2.4596262984904945E-4</v>
      </c>
      <c r="I734" s="16">
        <f>MyReg($B$3:B734,$D$3:D734)</f>
        <v>0.2495999319325011</v>
      </c>
      <c r="J734" s="17">
        <f>STDEV($D$3:D734)</f>
        <v>1.3489294820452621E-2</v>
      </c>
      <c r="K734" s="4">
        <f t="shared" si="164"/>
        <v>-1.7323665784842119E-3</v>
      </c>
      <c r="L734">
        <f t="shared" si="167"/>
        <v>0.6678867885190225</v>
      </c>
      <c r="M734">
        <f>RSQ($D$3:D734,$B$3:B734)</f>
        <v>4.926518990773758E-2</v>
      </c>
      <c r="N734">
        <v>702</v>
      </c>
      <c r="O734" t="str">
        <f t="shared" si="165"/>
        <v/>
      </c>
      <c r="P734" t="str">
        <f t="shared" si="169"/>
        <v/>
      </c>
      <c r="Q734">
        <f t="shared" si="170"/>
        <v>0</v>
      </c>
      <c r="R734">
        <f t="shared" si="171"/>
        <v>0</v>
      </c>
      <c r="S734">
        <f t="shared" si="172"/>
        <v>0</v>
      </c>
      <c r="T734">
        <f t="shared" si="173"/>
        <v>0</v>
      </c>
      <c r="U734">
        <f t="shared" si="168"/>
        <v>0</v>
      </c>
      <c r="V734">
        <f t="shared" si="174"/>
        <v>0</v>
      </c>
      <c r="W734">
        <f t="shared" si="178"/>
        <v>0</v>
      </c>
      <c r="X734">
        <f>SUM($W$34:W734)</f>
        <v>206.15531469999991</v>
      </c>
      <c r="Y734">
        <f t="shared" si="175"/>
        <v>0</v>
      </c>
    </row>
    <row r="735" spans="1:25">
      <c r="A735">
        <v>137.7234071</v>
      </c>
      <c r="B735" s="2">
        <f t="shared" si="176"/>
        <v>-9.7202889404222163E-3</v>
      </c>
      <c r="C735">
        <v>122.7998207</v>
      </c>
      <c r="D735" s="3">
        <f t="shared" si="177"/>
        <v>-3.5541902597939308E-3</v>
      </c>
      <c r="E735" s="3">
        <f t="shared" si="163"/>
        <v>-1.3707296021734901E-3</v>
      </c>
      <c r="F735" s="3">
        <f>STDEV($E$32:E735)</f>
        <v>1.3194153276179272E-2</v>
      </c>
      <c r="G735" s="14">
        <f t="shared" si="166"/>
        <v>-0.10388916768522052</v>
      </c>
      <c r="H735" s="15">
        <f>yint($B$3:B735,$D$3:D735)</f>
        <v>2.4402029377069252E-4</v>
      </c>
      <c r="I735" s="16">
        <f>MyReg($B$3:B735,$D$3:D735)</f>
        <v>0.24973341494987408</v>
      </c>
      <c r="J735" s="17">
        <f>STDEV($D$3:D735)</f>
        <v>1.3480859436666902E-2</v>
      </c>
      <c r="K735" s="4">
        <f t="shared" si="164"/>
        <v>-2.1834606576204407E-3</v>
      </c>
      <c r="L735">
        <f t="shared" si="167"/>
        <v>-0.10388916768522052</v>
      </c>
      <c r="M735">
        <f>RSQ($D$3:D735,$B$3:B735)</f>
        <v>4.9361296885399454E-2</v>
      </c>
      <c r="N735">
        <v>703</v>
      </c>
      <c r="O735" t="str">
        <f t="shared" si="165"/>
        <v/>
      </c>
      <c r="P735" t="str">
        <f t="shared" si="169"/>
        <v/>
      </c>
      <c r="Q735">
        <f t="shared" si="170"/>
        <v>0</v>
      </c>
      <c r="R735">
        <f t="shared" si="171"/>
        <v>0</v>
      </c>
      <c r="S735">
        <f t="shared" si="172"/>
        <v>0</v>
      </c>
      <c r="T735">
        <f t="shared" si="173"/>
        <v>0</v>
      </c>
      <c r="U735">
        <f t="shared" si="168"/>
        <v>0</v>
      </c>
      <c r="V735">
        <f t="shared" si="174"/>
        <v>0</v>
      </c>
      <c r="W735">
        <f t="shared" si="178"/>
        <v>0</v>
      </c>
      <c r="X735">
        <f>SUM($W$34:W735)</f>
        <v>206.15531469999991</v>
      </c>
      <c r="Y735">
        <f t="shared" si="175"/>
        <v>0</v>
      </c>
    </row>
    <row r="736" spans="1:25">
      <c r="A736">
        <v>138.25487419999999</v>
      </c>
      <c r="B736" s="2">
        <f t="shared" si="176"/>
        <v>3.8589453397278478E-3</v>
      </c>
      <c r="C736">
        <v>120.58845669999999</v>
      </c>
      <c r="D736" s="3">
        <f t="shared" si="177"/>
        <v>-1.8007876456125831E-2</v>
      </c>
      <c r="E736" s="3">
        <f t="shared" si="163"/>
        <v>-1.9187382261426245E-2</v>
      </c>
      <c r="F736" s="3">
        <f>STDEV($E$32:E736)</f>
        <v>1.3204814336888474E-2</v>
      </c>
      <c r="G736" s="14">
        <f t="shared" si="166"/>
        <v>-1.4530596017412447</v>
      </c>
      <c r="H736" s="15">
        <f>yint($B$3:B736,$D$3:D736)</f>
        <v>2.1815431185319458E-4</v>
      </c>
      <c r="I736" s="16">
        <f>MyReg($B$3:B736,$D$3:D736)</f>
        <v>0.24912285840125944</v>
      </c>
      <c r="J736" s="17">
        <f>STDEV($D$3:D736)</f>
        <v>1.3488729986106188E-2</v>
      </c>
      <c r="K736" s="4">
        <f t="shared" si="164"/>
        <v>1.1795058053004153E-3</v>
      </c>
      <c r="L736">
        <f t="shared" si="167"/>
        <v>-1.4530596017412447</v>
      </c>
      <c r="M736">
        <f>RSQ($D$3:D736,$B$3:B736)</f>
        <v>4.9001207925678497E-2</v>
      </c>
      <c r="N736">
        <v>704</v>
      </c>
      <c r="O736" t="str">
        <f t="shared" si="165"/>
        <v/>
      </c>
      <c r="P736" t="str">
        <f t="shared" si="169"/>
        <v/>
      </c>
      <c r="Q736">
        <f t="shared" si="170"/>
        <v>0</v>
      </c>
      <c r="R736">
        <f t="shared" si="171"/>
        <v>0</v>
      </c>
      <c r="S736">
        <f t="shared" si="172"/>
        <v>0</v>
      </c>
      <c r="T736">
        <f t="shared" si="173"/>
        <v>0</v>
      </c>
      <c r="U736">
        <f t="shared" si="168"/>
        <v>0</v>
      </c>
      <c r="V736">
        <f t="shared" si="174"/>
        <v>0</v>
      </c>
      <c r="W736">
        <f t="shared" si="178"/>
        <v>0</v>
      </c>
      <c r="X736">
        <f>SUM($W$34:W736)</f>
        <v>206.15531469999991</v>
      </c>
      <c r="Y736">
        <f t="shared" si="175"/>
        <v>0</v>
      </c>
    </row>
    <row r="737" spans="1:25">
      <c r="A737">
        <v>137.61151409999999</v>
      </c>
      <c r="B737" s="2">
        <f t="shared" si="176"/>
        <v>-4.653435213208529E-3</v>
      </c>
      <c r="C737">
        <v>121.4643631</v>
      </c>
      <c r="D737" s="3">
        <f t="shared" si="177"/>
        <v>7.2636007124553007E-3</v>
      </c>
      <c r="E737" s="3">
        <f t="shared" ref="E737:E800" si="179">D737-K737</f>
        <v>8.1914868486619337E-3</v>
      </c>
      <c r="F737" s="3">
        <f>STDEV($E$32:E737)</f>
        <v>1.3198966402415418E-2</v>
      </c>
      <c r="G737" s="14">
        <f t="shared" si="166"/>
        <v>0.62061578148747221</v>
      </c>
      <c r="H737" s="15">
        <f>yint($B$3:B737,$D$3:D737)</f>
        <v>2.2952062752490081E-4</v>
      </c>
      <c r="I737" s="16">
        <f>MyReg($B$3:B737,$D$3:D737)</f>
        <v>0.24872093640549578</v>
      </c>
      <c r="J737" s="17">
        <f>STDEV($D$3:D737)</f>
        <v>1.3481953141588204E-2</v>
      </c>
      <c r="K737" s="4">
        <f t="shared" ref="K737:K800" si="180">H737+B737*I737</f>
        <v>-9.278861362066324E-4</v>
      </c>
      <c r="L737">
        <f t="shared" si="167"/>
        <v>0.62061578148747221</v>
      </c>
      <c r="M737">
        <f>RSQ($D$3:D737,$B$3:B737)</f>
        <v>4.8838088703602477E-2</v>
      </c>
      <c r="N737">
        <v>705</v>
      </c>
      <c r="O737" t="str">
        <f t="shared" ref="O737:O800" si="181">IF(L737&gt;1.5,"sellY",IF(L737&lt;-1.5,"buyY",""))</f>
        <v/>
      </c>
      <c r="P737" t="str">
        <f t="shared" si="169"/>
        <v/>
      </c>
      <c r="Q737">
        <f t="shared" si="170"/>
        <v>0</v>
      </c>
      <c r="R737">
        <f t="shared" si="171"/>
        <v>0</v>
      </c>
      <c r="S737">
        <f t="shared" si="172"/>
        <v>0</v>
      </c>
      <c r="T737">
        <f t="shared" si="173"/>
        <v>0</v>
      </c>
      <c r="U737">
        <f t="shared" si="168"/>
        <v>0</v>
      </c>
      <c r="V737">
        <f t="shared" si="174"/>
        <v>0</v>
      </c>
      <c r="W737">
        <f t="shared" si="178"/>
        <v>0</v>
      </c>
      <c r="X737">
        <f>SUM($W$34:W737)</f>
        <v>206.15531469999991</v>
      </c>
      <c r="Y737">
        <f t="shared" si="175"/>
        <v>0</v>
      </c>
    </row>
    <row r="738" spans="1:25">
      <c r="A738">
        <v>136.59382400000001</v>
      </c>
      <c r="B738" s="2">
        <f t="shared" si="176"/>
        <v>-7.3953848023243403E-3</v>
      </c>
      <c r="C738">
        <v>120.849457</v>
      </c>
      <c r="D738" s="3">
        <f t="shared" si="177"/>
        <v>-5.0624404089103471E-3</v>
      </c>
      <c r="E738" s="3">
        <f t="shared" si="179"/>
        <v>-3.445843191952081E-3</v>
      </c>
      <c r="F738" s="3">
        <f>STDEV($E$32:E738)</f>
        <v>1.3190290811522889E-2</v>
      </c>
      <c r="G738" s="14">
        <f t="shared" ref="G738:G801" si="182">E738/F738</f>
        <v>-0.26124088097753168</v>
      </c>
      <c r="H738" s="15">
        <f>yint($B$3:B738,$D$3:D738)</f>
        <v>2.2470156674672047E-4</v>
      </c>
      <c r="I738" s="16">
        <f>MyReg($B$3:B738,$D$3:D738)</f>
        <v>0.24897944230383703</v>
      </c>
      <c r="J738" s="17">
        <f>STDEV($D$3:D738)</f>
        <v>1.34742586333503E-2</v>
      </c>
      <c r="K738" s="4">
        <f t="shared" si="180"/>
        <v>-1.616597216958266E-3</v>
      </c>
      <c r="L738">
        <f t="shared" ref="L738:L801" si="183">(D738-K738)/F738</f>
        <v>-0.26124088097753168</v>
      </c>
      <c r="M738">
        <f>RSQ($D$3:D738,$B$3:B738)</f>
        <v>4.8957874010530762E-2</v>
      </c>
      <c r="N738">
        <v>706</v>
      </c>
      <c r="O738" t="str">
        <f t="shared" si="181"/>
        <v/>
      </c>
      <c r="P738" t="str">
        <f t="shared" si="169"/>
        <v/>
      </c>
      <c r="Q738">
        <f t="shared" si="170"/>
        <v>0</v>
      </c>
      <c r="R738">
        <f t="shared" si="171"/>
        <v>0</v>
      </c>
      <c r="S738">
        <f t="shared" si="172"/>
        <v>0</v>
      </c>
      <c r="T738">
        <f t="shared" si="173"/>
        <v>0</v>
      </c>
      <c r="U738">
        <f t="shared" ref="U738:U801" si="184">ABS(Q738)+ABS(S738)</f>
        <v>0</v>
      </c>
      <c r="V738">
        <f t="shared" si="174"/>
        <v>0</v>
      </c>
      <c r="W738">
        <f t="shared" si="178"/>
        <v>0</v>
      </c>
      <c r="X738">
        <f>SUM($W$34:W738)</f>
        <v>206.15531469999991</v>
      </c>
      <c r="Y738">
        <f t="shared" si="175"/>
        <v>0</v>
      </c>
    </row>
    <row r="739" spans="1:25">
      <c r="A739">
        <v>135.3411677</v>
      </c>
      <c r="B739" s="2">
        <f t="shared" si="176"/>
        <v>-9.1706657249745957E-3</v>
      </c>
      <c r="C739">
        <v>121.39357699999999</v>
      </c>
      <c r="D739" s="3">
        <f t="shared" si="177"/>
        <v>4.5024612729537743E-3</v>
      </c>
      <c r="E739" s="3">
        <f t="shared" si="179"/>
        <v>6.5463686917492971E-3</v>
      </c>
      <c r="F739" s="3">
        <f>STDEV($E$32:E739)</f>
        <v>1.3183186568313771E-2</v>
      </c>
      <c r="G739" s="14">
        <f t="shared" si="182"/>
        <v>0.49656952496475421</v>
      </c>
      <c r="H739" s="15">
        <f>yint($B$3:B739,$D$3:D739)</f>
        <v>2.3389353832012106E-4</v>
      </c>
      <c r="I739" s="16">
        <f>MyReg($B$3:B739,$D$3:D739)</f>
        <v>0.24837901908391211</v>
      </c>
      <c r="J739" s="17">
        <f>STDEV($D$3:D739)</f>
        <v>1.346597137200951E-2</v>
      </c>
      <c r="K739" s="4">
        <f t="shared" si="180"/>
        <v>-2.0439074187955228E-3</v>
      </c>
      <c r="L739">
        <f t="shared" si="183"/>
        <v>0.49656952496475421</v>
      </c>
      <c r="M739">
        <f>RSQ($D$3:D739,$B$3:B739)</f>
        <v>4.8758869727634727E-2</v>
      </c>
      <c r="N739">
        <v>707</v>
      </c>
      <c r="O739" t="str">
        <f t="shared" si="181"/>
        <v/>
      </c>
      <c r="P739" t="str">
        <f t="shared" ref="P739:P802" si="185">IF(AND(OR(O738="sellY",P738="sellhold"),L739&gt;0.5),"sellhold",IF(AND(OR(O738="sellY",P738="sellhold"),L739&lt;0.5,O739&lt;&gt;"buyY"),"close",IF(AND(OR(O738="sellY",P738="sellhold"),L739&lt;0.5,O739="buyY"),"close&amp;buy",IF(AND(OR(O738="buyY",P738="buyhold"),L739&lt;-0.5),"buyhold",IF(AND(OR(O738="buyY",P738="buyhold"),L739&gt;-0.5,O739&lt;&gt;"sellY"),"close",IF(AND(OR(O738="buyY",P738="buyhold"),L739&gt;-0.5,O739="sellY"),"close&amp;sell",""))))))</f>
        <v/>
      </c>
      <c r="Q739">
        <f t="shared" ref="Q739:Q802" si="186">IF(O739="sellY",MAX(10+R739,Q738),IF(O739="buyY",MIN(-10+R739,Q738),IF(P739="sellhold",Q738+R739,IF(P739="buyhold",Q738+R739,0))))</f>
        <v>0</v>
      </c>
      <c r="R739">
        <f t="shared" ref="R739:R802" si="187">IF(AND(L739&gt;2.5,Q738&lt;15),10,IF(AND(L739&gt;2,Q738&lt;15),5,IF(AND(L739&lt;-2.5,Q738&gt;-15),-10,IF(AND(L739&lt;-2,Q738&gt;-15),-5,0))))</f>
        <v>0</v>
      </c>
      <c r="S739">
        <f t="shared" ref="S739:S802" si="188">IF(O739="sellY",MIN(-10+T739,S738),IF(O739="buyY",MAX(10+T739,S738),IF(P739="sellhold",S738+T739,IF(P739="buyhold",S738+T739,0))))</f>
        <v>0</v>
      </c>
      <c r="T739">
        <f t="shared" ref="T739:T802" si="189">IF(AND(L739&gt;2.5,Q738&lt;15),-10,IF(AND(L739&gt;2,Q738&lt;15),-5,IF(AND(L739&lt;-2.5,Q738&gt;-15),10,IF(AND(L739&lt;-2,Q738&gt;-15),5,0))))</f>
        <v>0</v>
      </c>
      <c r="U739">
        <f t="shared" si="184"/>
        <v>0</v>
      </c>
      <c r="V739">
        <f t="shared" ref="V739:V802" si="190">Q739-Q738</f>
        <v>0</v>
      </c>
      <c r="W739">
        <f t="shared" si="178"/>
        <v>0</v>
      </c>
      <c r="X739">
        <f>SUM($W$34:W739)</f>
        <v>206.15531469999991</v>
      </c>
      <c r="Y739">
        <f t="shared" si="175"/>
        <v>0</v>
      </c>
    </row>
    <row r="740" spans="1:25">
      <c r="A740">
        <v>134.20523489999999</v>
      </c>
      <c r="B740" s="2">
        <f t="shared" si="176"/>
        <v>-8.3931062462674916E-3</v>
      </c>
      <c r="C740">
        <v>122.76195439999999</v>
      </c>
      <c r="D740" s="3">
        <f t="shared" si="177"/>
        <v>1.1272238892836975E-2</v>
      </c>
      <c r="E740" s="3">
        <f t="shared" si="179"/>
        <v>1.309546868636257E-2</v>
      </c>
      <c r="F740" s="3">
        <f>STDEV($E$32:E740)</f>
        <v>1.3182900133915171E-2</v>
      </c>
      <c r="G740" s="14">
        <f t="shared" si="182"/>
        <v>0.99336781386004214</v>
      </c>
      <c r="H740" s="15">
        <f>yint($B$3:B740,$D$3:D740)</f>
        <v>2.5219356740448684E-4</v>
      </c>
      <c r="I740" s="16">
        <f>MyReg($B$3:B740,$D$3:D740)</f>
        <v>0.24727714627144698</v>
      </c>
      <c r="J740" s="17">
        <f>STDEV($D$3:D740)</f>
        <v>1.3462833339620082E-2</v>
      </c>
      <c r="K740" s="4">
        <f t="shared" si="180"/>
        <v>-1.8232297935255948E-3</v>
      </c>
      <c r="L740">
        <f t="shared" si="183"/>
        <v>0.99336781386004214</v>
      </c>
      <c r="M740">
        <f>RSQ($D$3:D740,$B$3:B740)</f>
        <v>4.8320153116788188E-2</v>
      </c>
      <c r="N740">
        <v>708</v>
      </c>
      <c r="O740" t="str">
        <f t="shared" si="181"/>
        <v/>
      </c>
      <c r="P740" t="str">
        <f t="shared" si="185"/>
        <v/>
      </c>
      <c r="Q740">
        <f t="shared" si="186"/>
        <v>0</v>
      </c>
      <c r="R740">
        <f t="shared" si="187"/>
        <v>0</v>
      </c>
      <c r="S740">
        <f t="shared" si="188"/>
        <v>0</v>
      </c>
      <c r="T740">
        <f t="shared" si="189"/>
        <v>0</v>
      </c>
      <c r="U740">
        <f t="shared" si="184"/>
        <v>0</v>
      </c>
      <c r="V740">
        <f t="shared" si="190"/>
        <v>0</v>
      </c>
      <c r="W740">
        <f t="shared" si="178"/>
        <v>0</v>
      </c>
      <c r="X740">
        <f>SUM($W$34:W740)</f>
        <v>206.15531469999991</v>
      </c>
      <c r="Y740">
        <f t="shared" ref="Y740:Y803" si="191">IF(P740="close",X740,0)</f>
        <v>0</v>
      </c>
    </row>
    <row r="741" spans="1:25">
      <c r="A741">
        <v>135.19039989999999</v>
      </c>
      <c r="B741" s="2">
        <f t="shared" si="176"/>
        <v>7.3407345155654209E-3</v>
      </c>
      <c r="C741">
        <v>121.68011199999999</v>
      </c>
      <c r="D741" s="3">
        <f t="shared" si="177"/>
        <v>-8.8125218052084002E-3</v>
      </c>
      <c r="E741" s="3">
        <f t="shared" si="179"/>
        <v>-1.0860338926370706E-2</v>
      </c>
      <c r="F741" s="3">
        <f>STDEV($E$32:E741)</f>
        <v>1.3180050510697591E-2</v>
      </c>
      <c r="G741" s="14">
        <f t="shared" si="182"/>
        <v>-0.82399827812161341</v>
      </c>
      <c r="H741" s="15">
        <f>yint($B$3:B741,$D$3:D741)</f>
        <v>2.3781006391598316E-4</v>
      </c>
      <c r="I741" s="16">
        <f>MyReg($B$3:B741,$D$3:D741)</f>
        <v>0.24657029257880839</v>
      </c>
      <c r="J741" s="17">
        <f>STDEV($D$3:D741)</f>
        <v>1.3457947419443147E-2</v>
      </c>
      <c r="K741" s="4">
        <f t="shared" si="180"/>
        <v>2.0478171211623063E-3</v>
      </c>
      <c r="L741">
        <f t="shared" si="183"/>
        <v>-0.82399827812161341</v>
      </c>
      <c r="M741">
        <f>RSQ($D$3:D741,$B$3:B741)</f>
        <v>4.8035481800393187E-2</v>
      </c>
      <c r="N741">
        <v>709</v>
      </c>
      <c r="O741" t="str">
        <f t="shared" si="181"/>
        <v/>
      </c>
      <c r="P741" t="str">
        <f t="shared" si="185"/>
        <v/>
      </c>
      <c r="Q741">
        <f t="shared" si="186"/>
        <v>0</v>
      </c>
      <c r="R741">
        <f t="shared" si="187"/>
        <v>0</v>
      </c>
      <c r="S741">
        <f t="shared" si="188"/>
        <v>0</v>
      </c>
      <c r="T741">
        <f t="shared" si="189"/>
        <v>0</v>
      </c>
      <c r="U741">
        <f t="shared" si="184"/>
        <v>0</v>
      </c>
      <c r="V741">
        <f t="shared" si="190"/>
        <v>0</v>
      </c>
      <c r="W741">
        <f t="shared" si="178"/>
        <v>0</v>
      </c>
      <c r="X741">
        <f>SUM($W$34:W741)</f>
        <v>206.15531469999991</v>
      </c>
      <c r="Y741">
        <f t="shared" si="191"/>
        <v>0</v>
      </c>
    </row>
    <row r="742" spans="1:25">
      <c r="A742">
        <v>133.3175052</v>
      </c>
      <c r="B742" s="2">
        <f t="shared" si="176"/>
        <v>-1.3853755158542062E-2</v>
      </c>
      <c r="C742">
        <v>120.3211447</v>
      </c>
      <c r="D742" s="3">
        <f t="shared" si="177"/>
        <v>-1.1168360035697445E-2</v>
      </c>
      <c r="E742" s="3">
        <f t="shared" si="179"/>
        <v>-7.9639762040095118E-3</v>
      </c>
      <c r="F742" s="3">
        <f>STDEV($E$32:E742)</f>
        <v>1.3174246031524648E-2</v>
      </c>
      <c r="G742" s="14">
        <f t="shared" si="182"/>
        <v>-0.60451096669612181</v>
      </c>
      <c r="H742" s="15">
        <f>yint($B$3:B742,$D$3:D742)</f>
        <v>2.2651502536061825E-4</v>
      </c>
      <c r="I742" s="16">
        <f>MyReg($B$3:B742,$D$3:D742)</f>
        <v>0.24765118321967025</v>
      </c>
      <c r="J742" s="17">
        <f>STDEV($D$3:D742)</f>
        <v>1.3455509710147995E-2</v>
      </c>
      <c r="K742" s="4">
        <f t="shared" si="180"/>
        <v>-3.2043838316879341E-3</v>
      </c>
      <c r="L742">
        <f t="shared" si="183"/>
        <v>-0.60451096669612181</v>
      </c>
      <c r="M742">
        <f>RSQ($D$3:D742,$B$3:B742)</f>
        <v>4.8503561618624937E-2</v>
      </c>
      <c r="N742">
        <v>710</v>
      </c>
      <c r="O742" t="str">
        <f t="shared" si="181"/>
        <v/>
      </c>
      <c r="P742" t="str">
        <f t="shared" si="185"/>
        <v/>
      </c>
      <c r="Q742">
        <f t="shared" si="186"/>
        <v>0</v>
      </c>
      <c r="R742">
        <f t="shared" si="187"/>
        <v>0</v>
      </c>
      <c r="S742">
        <f t="shared" si="188"/>
        <v>0</v>
      </c>
      <c r="T742">
        <f t="shared" si="189"/>
        <v>0</v>
      </c>
      <c r="U742">
        <f t="shared" si="184"/>
        <v>0</v>
      </c>
      <c r="V742">
        <f t="shared" si="190"/>
        <v>0</v>
      </c>
      <c r="W742">
        <f t="shared" si="178"/>
        <v>0</v>
      </c>
      <c r="X742">
        <f>SUM($W$34:W742)</f>
        <v>206.15531469999991</v>
      </c>
      <c r="Y742">
        <f t="shared" si="191"/>
        <v>0</v>
      </c>
    </row>
    <row r="743" spans="1:25">
      <c r="A743">
        <v>131.8593228</v>
      </c>
      <c r="B743" s="2">
        <f t="shared" si="176"/>
        <v>-1.0937666421318529E-2</v>
      </c>
      <c r="C743">
        <v>117.1900929</v>
      </c>
      <c r="D743" s="3">
        <f t="shared" si="177"/>
        <v>-2.6022456882426988E-2</v>
      </c>
      <c r="E743" s="3">
        <f t="shared" si="179"/>
        <v>-2.3479689480644619E-2</v>
      </c>
      <c r="F743" s="3">
        <f>STDEV($E$32:E743)</f>
        <v>1.3194600589918202E-2</v>
      </c>
      <c r="G743" s="14">
        <f t="shared" si="182"/>
        <v>-1.7794922491693383</v>
      </c>
      <c r="H743" s="15">
        <f>yint($B$3:B743,$D$3:D743)</f>
        <v>1.9362183064233066E-4</v>
      </c>
      <c r="I743" s="16">
        <f>MyReg($B$3:B743,$D$3:D743)</f>
        <v>0.25018035173309189</v>
      </c>
      <c r="J743" s="17">
        <f>STDEV($D$3:D743)</f>
        <v>1.3481246460849319E-2</v>
      </c>
      <c r="K743" s="4">
        <f t="shared" si="180"/>
        <v>-2.5427674017823674E-3</v>
      </c>
      <c r="L743">
        <f t="shared" si="183"/>
        <v>-1.7794922491693383</v>
      </c>
      <c r="M743">
        <f>RSQ($D$3:D743,$B$3:B743)</f>
        <v>4.9304243567448468E-2</v>
      </c>
      <c r="N743">
        <v>711</v>
      </c>
      <c r="O743" t="str">
        <f t="shared" si="181"/>
        <v>buyY</v>
      </c>
      <c r="P743" t="str">
        <f t="shared" si="185"/>
        <v/>
      </c>
      <c r="Q743">
        <f t="shared" si="186"/>
        <v>-10</v>
      </c>
      <c r="R743">
        <f t="shared" si="187"/>
        <v>0</v>
      </c>
      <c r="S743">
        <f t="shared" si="188"/>
        <v>10</v>
      </c>
      <c r="T743">
        <f t="shared" si="189"/>
        <v>0</v>
      </c>
      <c r="U743">
        <f t="shared" si="184"/>
        <v>20</v>
      </c>
      <c r="V743">
        <f t="shared" si="190"/>
        <v>-10</v>
      </c>
      <c r="W743">
        <f t="shared" si="178"/>
        <v>146.69229900000005</v>
      </c>
      <c r="X743">
        <f>SUM($W$34:W743)</f>
        <v>352.84761369999995</v>
      </c>
      <c r="Y743">
        <f t="shared" si="191"/>
        <v>0</v>
      </c>
    </row>
    <row r="744" spans="1:25">
      <c r="A744">
        <v>130.8813858</v>
      </c>
      <c r="B744" s="2">
        <f t="shared" si="176"/>
        <v>-7.4165176889562879E-3</v>
      </c>
      <c r="C744">
        <v>119.1446117</v>
      </c>
      <c r="D744" s="3">
        <f t="shared" si="177"/>
        <v>1.6678191403669437E-2</v>
      </c>
      <c r="E744" s="3">
        <f t="shared" si="179"/>
        <v>1.8304656110334924E-2</v>
      </c>
      <c r="F744" s="3">
        <f>STDEV($E$32:E744)</f>
        <v>1.3203011786506466E-2</v>
      </c>
      <c r="G744" s="14">
        <f t="shared" si="182"/>
        <v>1.3864000431357912</v>
      </c>
      <c r="H744" s="15">
        <f>yint($B$3:B744,$D$3:D744)</f>
        <v>2.1892863474281158E-4</v>
      </c>
      <c r="I744" s="16">
        <f>MyReg($B$3:B744,$D$3:D744)</f>
        <v>0.24882207780023471</v>
      </c>
      <c r="J744" s="17">
        <f>STDEV($D$3:D744)</f>
        <v>1.348554921190845E-2</v>
      </c>
      <c r="K744" s="4">
        <f t="shared" si="180"/>
        <v>-1.6264647066654868E-3</v>
      </c>
      <c r="L744">
        <f t="shared" si="183"/>
        <v>1.3864000431357912</v>
      </c>
      <c r="M744">
        <f>RSQ($D$3:D744,$B$3:B744)</f>
        <v>4.870179693676404E-2</v>
      </c>
      <c r="N744">
        <v>712</v>
      </c>
      <c r="O744" t="str">
        <f t="shared" si="181"/>
        <v/>
      </c>
      <c r="P744" t="str">
        <f t="shared" si="185"/>
        <v>close</v>
      </c>
      <c r="Q744">
        <f t="shared" si="186"/>
        <v>0</v>
      </c>
      <c r="R744">
        <f t="shared" si="187"/>
        <v>0</v>
      </c>
      <c r="S744">
        <f t="shared" si="188"/>
        <v>0</v>
      </c>
      <c r="T744">
        <f t="shared" si="189"/>
        <v>0</v>
      </c>
      <c r="U744">
        <f t="shared" si="184"/>
        <v>0</v>
      </c>
      <c r="V744">
        <f t="shared" si="190"/>
        <v>10</v>
      </c>
      <c r="W744">
        <f t="shared" si="178"/>
        <v>-117.36774100000005</v>
      </c>
      <c r="X744">
        <f>SUM($W$34:W744)</f>
        <v>235.4798726999999</v>
      </c>
      <c r="Y744">
        <f t="shared" si="191"/>
        <v>235.4798726999999</v>
      </c>
    </row>
    <row r="745" spans="1:25">
      <c r="A745">
        <v>128.84573599999999</v>
      </c>
      <c r="B745" s="2">
        <f t="shared" si="176"/>
        <v>-1.555339430093363E-2</v>
      </c>
      <c r="C745">
        <v>118.1999014</v>
      </c>
      <c r="D745" s="3">
        <f t="shared" si="177"/>
        <v>-7.9291063735112827E-3</v>
      </c>
      <c r="E745" s="3">
        <f t="shared" si="179"/>
        <v>-4.2619864470473355E-3</v>
      </c>
      <c r="F745" s="3">
        <f>STDEV($E$32:E745)</f>
        <v>1.319475565604513E-2</v>
      </c>
      <c r="G745" s="14">
        <f t="shared" si="182"/>
        <v>-0.32300609106730382</v>
      </c>
      <c r="H745" s="15">
        <f>yint($B$3:B745,$D$3:D745)</f>
        <v>2.1290561066724268E-4</v>
      </c>
      <c r="I745" s="16">
        <f>MyReg($B$3:B745,$D$3:D745)</f>
        <v>0.24946487320123312</v>
      </c>
      <c r="J745" s="17">
        <f>STDEV($D$3:D745)</f>
        <v>1.3479862132396119E-2</v>
      </c>
      <c r="K745" s="4">
        <f t="shared" si="180"/>
        <v>-3.6671199264639472E-3</v>
      </c>
      <c r="L745">
        <f t="shared" si="183"/>
        <v>-0.32300609106730382</v>
      </c>
      <c r="M745">
        <f>RSQ($D$3:D745,$B$3:B745)</f>
        <v>4.9046855974923739E-2</v>
      </c>
      <c r="N745">
        <v>713</v>
      </c>
      <c r="O745" t="str">
        <f t="shared" si="181"/>
        <v/>
      </c>
      <c r="P745" t="str">
        <f t="shared" si="185"/>
        <v/>
      </c>
      <c r="Q745">
        <f t="shared" si="186"/>
        <v>0</v>
      </c>
      <c r="R745">
        <f t="shared" si="187"/>
        <v>0</v>
      </c>
      <c r="S745">
        <f t="shared" si="188"/>
        <v>0</v>
      </c>
      <c r="T745">
        <f t="shared" si="189"/>
        <v>0</v>
      </c>
      <c r="U745">
        <f t="shared" si="184"/>
        <v>0</v>
      </c>
      <c r="V745">
        <f t="shared" si="190"/>
        <v>0</v>
      </c>
      <c r="W745">
        <f t="shared" si="178"/>
        <v>0</v>
      </c>
      <c r="X745">
        <f>SUM($W$34:W745)</f>
        <v>235.4798726999999</v>
      </c>
      <c r="Y745">
        <f t="shared" si="191"/>
        <v>0</v>
      </c>
    </row>
    <row r="746" spans="1:25">
      <c r="A746">
        <v>128.7555467</v>
      </c>
      <c r="B746" s="2">
        <f t="shared" si="176"/>
        <v>-6.999789267375647E-4</v>
      </c>
      <c r="C746">
        <v>120.4312719</v>
      </c>
      <c r="D746" s="3">
        <f t="shared" si="177"/>
        <v>1.8877938759431123E-2</v>
      </c>
      <c r="E746" s="3">
        <f t="shared" si="179"/>
        <v>1.8814112278719566E-2</v>
      </c>
      <c r="F746" s="3">
        <f>STDEV($E$32:E746)</f>
        <v>1.3204102373422262E-2</v>
      </c>
      <c r="G746" s="14">
        <f t="shared" si="182"/>
        <v>1.4248687072124913</v>
      </c>
      <c r="H746" s="15">
        <f>yint($B$3:B746,$D$3:D746)</f>
        <v>2.3830873382332975E-4</v>
      </c>
      <c r="I746" s="16">
        <f>MyReg($B$3:B746,$D$3:D746)</f>
        <v>0.24926786571274917</v>
      </c>
      <c r="J746" s="17">
        <f>STDEV($D$3:D746)</f>
        <v>1.3487966154634037E-2</v>
      </c>
      <c r="K746" s="4">
        <f t="shared" si="180"/>
        <v>6.3826480711556182E-5</v>
      </c>
      <c r="L746">
        <f t="shared" si="183"/>
        <v>1.4248687072124913</v>
      </c>
      <c r="M746">
        <f>RSQ($D$3:D746,$B$3:B746)</f>
        <v>4.8845332506818433E-2</v>
      </c>
      <c r="N746">
        <v>714</v>
      </c>
      <c r="O746" t="str">
        <f t="shared" si="181"/>
        <v/>
      </c>
      <c r="P746" t="str">
        <f t="shared" si="185"/>
        <v/>
      </c>
      <c r="Q746">
        <f t="shared" si="186"/>
        <v>0</v>
      </c>
      <c r="R746">
        <f t="shared" si="187"/>
        <v>0</v>
      </c>
      <c r="S746">
        <f t="shared" si="188"/>
        <v>0</v>
      </c>
      <c r="T746">
        <f t="shared" si="189"/>
        <v>0</v>
      </c>
      <c r="U746">
        <f t="shared" si="184"/>
        <v>0</v>
      </c>
      <c r="V746">
        <f t="shared" si="190"/>
        <v>0</v>
      </c>
      <c r="W746">
        <f t="shared" si="178"/>
        <v>0</v>
      </c>
      <c r="X746">
        <f>SUM($W$34:W746)</f>
        <v>235.4798726999999</v>
      </c>
      <c r="Y746">
        <f t="shared" si="191"/>
        <v>0</v>
      </c>
    </row>
    <row r="747" spans="1:25">
      <c r="A747">
        <v>128.04885329999999</v>
      </c>
      <c r="B747" s="2">
        <f t="shared" si="176"/>
        <v>-5.4886443195072548E-3</v>
      </c>
      <c r="C747">
        <v>121.8224323</v>
      </c>
      <c r="D747" s="3">
        <f t="shared" si="177"/>
        <v>1.1551488064953368E-2</v>
      </c>
      <c r="E747" s="3">
        <f t="shared" si="179"/>
        <v>1.2660158517666826E-2</v>
      </c>
      <c r="F747" s="3">
        <f>STDEV($E$32:E747)</f>
        <v>1.3203196679854937E-2</v>
      </c>
      <c r="G747" s="14">
        <f t="shared" si="182"/>
        <v>0.95887070568170329</v>
      </c>
      <c r="H747" s="15">
        <f>yint($B$3:B747,$D$3:D747)</f>
        <v>2.5561411393187862E-4</v>
      </c>
      <c r="I747" s="16">
        <f>MyReg($B$3:B747,$D$3:D747)</f>
        <v>0.24856494376881302</v>
      </c>
      <c r="J747" s="17">
        <f>STDEV($D$3:D747)</f>
        <v>1.3485154985621804E-2</v>
      </c>
      <c r="K747" s="4">
        <f t="shared" si="180"/>
        <v>-1.1086704527134572E-3</v>
      </c>
      <c r="L747">
        <f t="shared" si="183"/>
        <v>0.95887070568170329</v>
      </c>
      <c r="M747">
        <f>RSQ($D$3:D747,$B$3:B747)</f>
        <v>4.8541055326139851E-2</v>
      </c>
      <c r="N747">
        <v>715</v>
      </c>
      <c r="O747" t="str">
        <f t="shared" si="181"/>
        <v/>
      </c>
      <c r="P747" t="str">
        <f t="shared" si="185"/>
        <v/>
      </c>
      <c r="Q747">
        <f t="shared" si="186"/>
        <v>0</v>
      </c>
      <c r="R747">
        <f t="shared" si="187"/>
        <v>0</v>
      </c>
      <c r="S747">
        <f t="shared" si="188"/>
        <v>0</v>
      </c>
      <c r="T747">
        <f t="shared" si="189"/>
        <v>0</v>
      </c>
      <c r="U747">
        <f t="shared" si="184"/>
        <v>0</v>
      </c>
      <c r="V747">
        <f t="shared" si="190"/>
        <v>0</v>
      </c>
      <c r="W747">
        <f t="shared" si="178"/>
        <v>0</v>
      </c>
      <c r="X747">
        <f>SUM($W$34:W747)</f>
        <v>235.4798726999999</v>
      </c>
      <c r="Y747">
        <f t="shared" si="191"/>
        <v>0</v>
      </c>
    </row>
    <row r="748" spans="1:25">
      <c r="A748">
        <v>128.2869536</v>
      </c>
      <c r="B748" s="2">
        <f t="shared" si="176"/>
        <v>1.8594489045690931E-3</v>
      </c>
      <c r="C748">
        <v>122.5692998</v>
      </c>
      <c r="D748" s="3">
        <f t="shared" si="177"/>
        <v>6.1307879501269272E-3</v>
      </c>
      <c r="E748" s="3">
        <f t="shared" si="179"/>
        <v>5.4056163286377319E-3</v>
      </c>
      <c r="F748" s="3">
        <f>STDEV($E$32:E748)</f>
        <v>1.3195444814188474E-2</v>
      </c>
      <c r="G748" s="14">
        <f t="shared" si="182"/>
        <v>0.40965775726069603</v>
      </c>
      <c r="H748" s="15">
        <f>yint($B$3:B748,$D$3:D748)</f>
        <v>2.6284011090482848E-4</v>
      </c>
      <c r="I748" s="16">
        <f>MyReg($B$3:B748,$D$3:D748)</f>
        <v>0.24863899698900691</v>
      </c>
      <c r="J748" s="17">
        <f>STDEV($D$3:D748)</f>
        <v>1.3477760078328011E-2</v>
      </c>
      <c r="K748" s="4">
        <f t="shared" si="180"/>
        <v>7.2517162148919543E-4</v>
      </c>
      <c r="L748">
        <f t="shared" si="183"/>
        <v>0.40965775726069603</v>
      </c>
      <c r="M748">
        <f>RSQ($D$3:D748,$B$3:B748)</f>
        <v>4.8558996699527762E-2</v>
      </c>
      <c r="N748">
        <v>716</v>
      </c>
      <c r="O748" t="str">
        <f t="shared" si="181"/>
        <v/>
      </c>
      <c r="P748" t="str">
        <f t="shared" si="185"/>
        <v/>
      </c>
      <c r="Q748">
        <f t="shared" si="186"/>
        <v>0</v>
      </c>
      <c r="R748">
        <f t="shared" si="187"/>
        <v>0</v>
      </c>
      <c r="S748">
        <f t="shared" si="188"/>
        <v>0</v>
      </c>
      <c r="T748">
        <f t="shared" si="189"/>
        <v>0</v>
      </c>
      <c r="U748">
        <f t="shared" si="184"/>
        <v>0</v>
      </c>
      <c r="V748">
        <f t="shared" si="190"/>
        <v>0</v>
      </c>
      <c r="W748">
        <f t="shared" si="178"/>
        <v>0</v>
      </c>
      <c r="X748">
        <f>SUM($W$34:W748)</f>
        <v>235.4798726999999</v>
      </c>
      <c r="Y748">
        <f t="shared" si="191"/>
        <v>0</v>
      </c>
    </row>
    <row r="749" spans="1:25">
      <c r="A749">
        <v>126.3277155</v>
      </c>
      <c r="B749" s="2">
        <f t="shared" si="176"/>
        <v>-1.527230981030956E-2</v>
      </c>
      <c r="C749">
        <v>123.30735079999999</v>
      </c>
      <c r="D749" s="3">
        <f t="shared" si="177"/>
        <v>6.0214996838873899E-3</v>
      </c>
      <c r="E749" s="3">
        <f t="shared" si="179"/>
        <v>9.5211731687970935E-3</v>
      </c>
      <c r="F749" s="3">
        <f>STDEV($E$32:E749)</f>
        <v>1.3190890183512854E-2</v>
      </c>
      <c r="G749" s="14">
        <f t="shared" si="182"/>
        <v>0.72179913837032017</v>
      </c>
      <c r="H749" s="15">
        <f>yint($B$3:B749,$D$3:D749)</f>
        <v>2.761721199550139E-4</v>
      </c>
      <c r="I749" s="16">
        <f>MyReg($B$3:B749,$D$3:D749)</f>
        <v>0.24723474390991176</v>
      </c>
      <c r="J749" s="17">
        <f>STDEV($D$3:D749)</f>
        <v>1.3470314471775123E-2</v>
      </c>
      <c r="K749" s="4">
        <f t="shared" si="180"/>
        <v>-3.4996734849097036E-3</v>
      </c>
      <c r="L749">
        <f t="shared" si="183"/>
        <v>0.72179913837032017</v>
      </c>
      <c r="M749">
        <f>RSQ($D$3:D749,$B$3:B749)</f>
        <v>4.811154785871543E-2</v>
      </c>
      <c r="N749">
        <v>717</v>
      </c>
      <c r="O749" t="str">
        <f t="shared" si="181"/>
        <v/>
      </c>
      <c r="P749" t="str">
        <f t="shared" si="185"/>
        <v/>
      </c>
      <c r="Q749">
        <f t="shared" si="186"/>
        <v>0</v>
      </c>
      <c r="R749">
        <f t="shared" si="187"/>
        <v>0</v>
      </c>
      <c r="S749">
        <f t="shared" si="188"/>
        <v>0</v>
      </c>
      <c r="T749">
        <f t="shared" si="189"/>
        <v>0</v>
      </c>
      <c r="U749">
        <f t="shared" si="184"/>
        <v>0</v>
      </c>
      <c r="V749">
        <f t="shared" si="190"/>
        <v>0</v>
      </c>
      <c r="W749">
        <f t="shared" si="178"/>
        <v>0</v>
      </c>
      <c r="X749">
        <f>SUM($W$34:W749)</f>
        <v>235.4798726999999</v>
      </c>
      <c r="Y749">
        <f t="shared" si="191"/>
        <v>0</v>
      </c>
    </row>
    <row r="750" spans="1:25">
      <c r="A750">
        <v>125.9423511</v>
      </c>
      <c r="B750" s="2">
        <f t="shared" si="176"/>
        <v>-3.0505134876756342E-3</v>
      </c>
      <c r="C750">
        <v>122.6320851</v>
      </c>
      <c r="D750" s="3">
        <f t="shared" si="177"/>
        <v>-5.4762809809713077E-3</v>
      </c>
      <c r="E750" s="3">
        <f t="shared" si="179"/>
        <v>-4.9910260948220235E-3</v>
      </c>
      <c r="F750" s="3">
        <f>STDEV($E$32:E750)</f>
        <v>1.3183095124768032E-2</v>
      </c>
      <c r="G750" s="14">
        <f t="shared" si="182"/>
        <v>-0.37859289093992982</v>
      </c>
      <c r="H750" s="15">
        <f>yint($B$3:B750,$D$3:D750)</f>
        <v>2.6942886781748757E-4</v>
      </c>
      <c r="I750" s="16">
        <f>MyReg($B$3:B750,$D$3:D750)</f>
        <v>0.24739564568908362</v>
      </c>
      <c r="J750" s="17">
        <f>STDEV($D$3:D750)</f>
        <v>1.3462992980556142E-2</v>
      </c>
      <c r="K750" s="4">
        <f t="shared" si="180"/>
        <v>-4.8525488614928439E-4</v>
      </c>
      <c r="L750">
        <f t="shared" si="183"/>
        <v>-0.37859289093992982</v>
      </c>
      <c r="M750">
        <f>RSQ($D$3:D750,$B$3:B750)</f>
        <v>4.8167367023493335E-2</v>
      </c>
      <c r="N750">
        <v>718</v>
      </c>
      <c r="O750" t="str">
        <f t="shared" si="181"/>
        <v/>
      </c>
      <c r="P750" t="str">
        <f t="shared" si="185"/>
        <v/>
      </c>
      <c r="Q750">
        <f t="shared" si="186"/>
        <v>0</v>
      </c>
      <c r="R750">
        <f t="shared" si="187"/>
        <v>0</v>
      </c>
      <c r="S750">
        <f t="shared" si="188"/>
        <v>0</v>
      </c>
      <c r="T750">
        <f t="shared" si="189"/>
        <v>0</v>
      </c>
      <c r="U750">
        <f t="shared" si="184"/>
        <v>0</v>
      </c>
      <c r="V750">
        <f t="shared" si="190"/>
        <v>0</v>
      </c>
      <c r="W750">
        <f t="shared" si="178"/>
        <v>0</v>
      </c>
      <c r="X750">
        <f>SUM($W$34:W750)</f>
        <v>235.4798726999999</v>
      </c>
      <c r="Y750">
        <f t="shared" si="191"/>
        <v>0</v>
      </c>
    </row>
    <row r="751" spans="1:25">
      <c r="A751">
        <v>124.7877108</v>
      </c>
      <c r="B751" s="2">
        <f t="shared" si="176"/>
        <v>-9.1680065515308377E-3</v>
      </c>
      <c r="C751">
        <v>122.0403764</v>
      </c>
      <c r="D751" s="3">
        <f t="shared" si="177"/>
        <v>-4.8250724883091636E-3</v>
      </c>
      <c r="E751" s="3">
        <f t="shared" si="179"/>
        <v>-2.8201934636550995E-3</v>
      </c>
      <c r="F751" s="3">
        <f>STDEV($E$32:E751)</f>
        <v>1.3174386917013104E-2</v>
      </c>
      <c r="G751" s="14">
        <f t="shared" si="182"/>
        <v>-0.2140663912043729</v>
      </c>
      <c r="H751" s="15">
        <f>yint($B$3:B751,$D$3:D751)</f>
        <v>2.6556261902080787E-4</v>
      </c>
      <c r="I751" s="16">
        <f>MyReg($B$3:B751,$D$3:D751)</f>
        <v>0.24764834437163033</v>
      </c>
      <c r="J751" s="17">
        <f>STDEV($D$3:D751)</f>
        <v>1.3455326275080285E-2</v>
      </c>
      <c r="K751" s="4">
        <f t="shared" si="180"/>
        <v>-2.0048790246540642E-3</v>
      </c>
      <c r="L751">
        <f t="shared" si="183"/>
        <v>-0.2140663912043729</v>
      </c>
      <c r="M751">
        <f>RSQ($D$3:D751,$B$3:B751)</f>
        <v>4.8297463503592472E-2</v>
      </c>
      <c r="N751">
        <v>719</v>
      </c>
      <c r="O751" t="str">
        <f t="shared" si="181"/>
        <v/>
      </c>
      <c r="P751" t="str">
        <f t="shared" si="185"/>
        <v/>
      </c>
      <c r="Q751">
        <f t="shared" si="186"/>
        <v>0</v>
      </c>
      <c r="R751">
        <f t="shared" si="187"/>
        <v>0</v>
      </c>
      <c r="S751">
        <f t="shared" si="188"/>
        <v>0</v>
      </c>
      <c r="T751">
        <f t="shared" si="189"/>
        <v>0</v>
      </c>
      <c r="U751">
        <f t="shared" si="184"/>
        <v>0</v>
      </c>
      <c r="V751">
        <f t="shared" si="190"/>
        <v>0</v>
      </c>
      <c r="W751">
        <f t="shared" si="178"/>
        <v>0</v>
      </c>
      <c r="X751">
        <f>SUM($W$34:W751)</f>
        <v>235.4798726999999</v>
      </c>
      <c r="Y751">
        <f t="shared" si="191"/>
        <v>0</v>
      </c>
    </row>
    <row r="752" spans="1:25">
      <c r="A752">
        <v>123.81956460000001</v>
      </c>
      <c r="B752" s="2">
        <f t="shared" si="176"/>
        <v>-7.7583457040225831E-3</v>
      </c>
      <c r="C752">
        <v>121.2806283</v>
      </c>
      <c r="D752" s="3">
        <f t="shared" si="177"/>
        <v>-6.2253831265633164E-3</v>
      </c>
      <c r="E752" s="3">
        <f t="shared" si="179"/>
        <v>-4.5606919140413222E-3</v>
      </c>
      <c r="F752" s="3">
        <f>STDEV($E$32:E752)</f>
        <v>1.3166397872528476E-2</v>
      </c>
      <c r="G752" s="14">
        <f t="shared" si="182"/>
        <v>-0.34638873579516755</v>
      </c>
      <c r="H752" s="15">
        <f>yint($B$3:B752,$D$3:D752)</f>
        <v>2.5934608865064025E-4</v>
      </c>
      <c r="I752" s="16">
        <f>MyReg($B$3:B752,$D$3:D752)</f>
        <v>0.24799581954372701</v>
      </c>
      <c r="J752" s="17">
        <f>STDEV($D$3:D752)</f>
        <v>1.3448488715817242E-2</v>
      </c>
      <c r="K752" s="4">
        <f t="shared" si="180"/>
        <v>-1.6646912125219942E-3</v>
      </c>
      <c r="L752">
        <f t="shared" si="183"/>
        <v>-0.34638873579516755</v>
      </c>
      <c r="M752">
        <f>RSQ($D$3:D752,$B$3:B752)</f>
        <v>4.8447556423688136E-2</v>
      </c>
      <c r="N752">
        <v>720</v>
      </c>
      <c r="O752" t="str">
        <f t="shared" si="181"/>
        <v/>
      </c>
      <c r="P752" t="str">
        <f t="shared" si="185"/>
        <v/>
      </c>
      <c r="Q752">
        <f t="shared" si="186"/>
        <v>0</v>
      </c>
      <c r="R752">
        <f t="shared" si="187"/>
        <v>0</v>
      </c>
      <c r="S752">
        <f t="shared" si="188"/>
        <v>0</v>
      </c>
      <c r="T752">
        <f t="shared" si="189"/>
        <v>0</v>
      </c>
      <c r="U752">
        <f t="shared" si="184"/>
        <v>0</v>
      </c>
      <c r="V752">
        <f t="shared" si="190"/>
        <v>0</v>
      </c>
      <c r="W752">
        <f t="shared" si="178"/>
        <v>0</v>
      </c>
      <c r="X752">
        <f>SUM($W$34:W752)</f>
        <v>235.4798726999999</v>
      </c>
      <c r="Y752">
        <f t="shared" si="191"/>
        <v>0</v>
      </c>
    </row>
    <row r="753" spans="1:25">
      <c r="A753">
        <v>123.1581363</v>
      </c>
      <c r="B753" s="2">
        <f t="shared" si="176"/>
        <v>-5.3418722811436163E-3</v>
      </c>
      <c r="C753">
        <v>121.10208660000001</v>
      </c>
      <c r="D753" s="3">
        <f t="shared" si="177"/>
        <v>-1.4721369974960519E-3</v>
      </c>
      <c r="E753" s="3">
        <f t="shared" si="179"/>
        <v>-4.0605614304717753E-4</v>
      </c>
      <c r="F753" s="3">
        <f>STDEV($E$32:E753)</f>
        <v>1.3157279275994365E-2</v>
      </c>
      <c r="G753" s="14">
        <f t="shared" si="182"/>
        <v>-3.08617104288447E-2</v>
      </c>
      <c r="H753" s="15">
        <f>yint($B$3:B753,$D$3:D753)</f>
        <v>2.5879696033143275E-4</v>
      </c>
      <c r="I753" s="16">
        <f>MyReg($B$3:B753,$D$3:D753)</f>
        <v>0.24801750117782118</v>
      </c>
      <c r="J753" s="17">
        <f>STDEV($D$3:D753)</f>
        <v>1.3439684119238827E-2</v>
      </c>
      <c r="K753" s="4">
        <f t="shared" si="180"/>
        <v>-1.0660808544488744E-3</v>
      </c>
      <c r="L753">
        <f t="shared" si="183"/>
        <v>-3.08617104288447E-2</v>
      </c>
      <c r="M753">
        <f>RSQ($D$3:D753,$B$3:B753)</f>
        <v>4.8469567648052887E-2</v>
      </c>
      <c r="N753">
        <v>721</v>
      </c>
      <c r="O753" t="str">
        <f t="shared" si="181"/>
        <v/>
      </c>
      <c r="P753" t="str">
        <f t="shared" si="185"/>
        <v/>
      </c>
      <c r="Q753">
        <f t="shared" si="186"/>
        <v>0</v>
      </c>
      <c r="R753">
        <f t="shared" si="187"/>
        <v>0</v>
      </c>
      <c r="S753">
        <f t="shared" si="188"/>
        <v>0</v>
      </c>
      <c r="T753">
        <f t="shared" si="189"/>
        <v>0</v>
      </c>
      <c r="U753">
        <f t="shared" si="184"/>
        <v>0</v>
      </c>
      <c r="V753">
        <f t="shared" si="190"/>
        <v>0</v>
      </c>
      <c r="W753">
        <f t="shared" si="178"/>
        <v>0</v>
      </c>
      <c r="X753">
        <f>SUM($W$34:W753)</f>
        <v>235.4798726999999</v>
      </c>
      <c r="Y753">
        <f t="shared" si="191"/>
        <v>0</v>
      </c>
    </row>
    <row r="754" spans="1:25">
      <c r="A754">
        <v>123.87004399999999</v>
      </c>
      <c r="B754" s="2">
        <f t="shared" si="176"/>
        <v>5.7804357989460547E-3</v>
      </c>
      <c r="C754">
        <v>120.72622339999999</v>
      </c>
      <c r="D754" s="3">
        <f t="shared" si="177"/>
        <v>-3.1036888839206171E-3</v>
      </c>
      <c r="E754" s="3">
        <f t="shared" si="179"/>
        <v>-4.7884353913773738E-3</v>
      </c>
      <c r="F754" s="3">
        <f>STDEV($E$32:E754)</f>
        <v>1.314943726412522E-2</v>
      </c>
      <c r="G754" s="14">
        <f t="shared" si="182"/>
        <v>-0.36415515699986339</v>
      </c>
      <c r="H754" s="15">
        <f>yint($B$3:B754,$D$3:D754)</f>
        <v>2.525057962530278E-4</v>
      </c>
      <c r="I754" s="16">
        <f>MyReg($B$3:B754,$D$3:D754)</f>
        <v>0.24777382900176292</v>
      </c>
      <c r="J754" s="17">
        <f>STDEV($D$3:D754)</f>
        <v>1.3431322134077363E-2</v>
      </c>
      <c r="K754" s="4">
        <f t="shared" si="180"/>
        <v>1.6847465074567565E-3</v>
      </c>
      <c r="L754">
        <f t="shared" si="183"/>
        <v>-0.36415515699986339</v>
      </c>
      <c r="M754">
        <f>RSQ($D$3:D754,$B$3:B754)</f>
        <v>4.8383484803709215E-2</v>
      </c>
      <c r="N754">
        <v>722</v>
      </c>
      <c r="O754" t="str">
        <f t="shared" si="181"/>
        <v/>
      </c>
      <c r="P754" t="str">
        <f t="shared" si="185"/>
        <v/>
      </c>
      <c r="Q754">
        <f t="shared" si="186"/>
        <v>0</v>
      </c>
      <c r="R754">
        <f t="shared" si="187"/>
        <v>0</v>
      </c>
      <c r="S754">
        <f t="shared" si="188"/>
        <v>0</v>
      </c>
      <c r="T754">
        <f t="shared" si="189"/>
        <v>0</v>
      </c>
      <c r="U754">
        <f t="shared" si="184"/>
        <v>0</v>
      </c>
      <c r="V754">
        <f t="shared" si="190"/>
        <v>0</v>
      </c>
      <c r="W754">
        <f t="shared" si="178"/>
        <v>0</v>
      </c>
      <c r="X754">
        <f>SUM($W$34:W754)</f>
        <v>235.4798726999999</v>
      </c>
      <c r="Y754">
        <f t="shared" si="191"/>
        <v>0</v>
      </c>
    </row>
    <row r="755" spans="1:25">
      <c r="A755">
        <v>122.27318649999999</v>
      </c>
      <c r="B755" s="2">
        <f t="shared" si="176"/>
        <v>-1.2891393660924176E-2</v>
      </c>
      <c r="C755">
        <v>119.3049329</v>
      </c>
      <c r="D755" s="3">
        <f t="shared" si="177"/>
        <v>-1.1772839901492338E-2</v>
      </c>
      <c r="E755" s="3">
        <f t="shared" si="179"/>
        <v>-8.8050156217525724E-3</v>
      </c>
      <c r="F755" s="3">
        <f>STDEV($E$32:E755)</f>
        <v>1.3144530121457769E-2</v>
      </c>
      <c r="G755" s="14">
        <f t="shared" si="182"/>
        <v>-0.66986157286663583</v>
      </c>
      <c r="H755" s="15">
        <f>yint($B$3:B755,$D$3:D755)</f>
        <v>2.4040842313695555E-4</v>
      </c>
      <c r="I755" s="16">
        <f>MyReg($B$3:B755,$D$3:D755)</f>
        <v>0.24886624264693538</v>
      </c>
      <c r="J755" s="17">
        <f>STDEV($D$3:D755)</f>
        <v>1.3429645905578205E-2</v>
      </c>
      <c r="K755" s="4">
        <f t="shared" si="180"/>
        <v>-2.9678242797397648E-3</v>
      </c>
      <c r="L755">
        <f t="shared" si="183"/>
        <v>-0.66986157286663583</v>
      </c>
      <c r="M755">
        <f>RSQ($D$3:D755,$B$3:B755)</f>
        <v>4.8838352957200702E-2</v>
      </c>
      <c r="N755">
        <v>723</v>
      </c>
      <c r="O755" t="str">
        <f t="shared" si="181"/>
        <v/>
      </c>
      <c r="P755" t="str">
        <f t="shared" si="185"/>
        <v/>
      </c>
      <c r="Q755">
        <f t="shared" si="186"/>
        <v>0</v>
      </c>
      <c r="R755">
        <f t="shared" si="187"/>
        <v>0</v>
      </c>
      <c r="S755">
        <f t="shared" si="188"/>
        <v>0</v>
      </c>
      <c r="T755">
        <f t="shared" si="189"/>
        <v>0</v>
      </c>
      <c r="U755">
        <f t="shared" si="184"/>
        <v>0</v>
      </c>
      <c r="V755">
        <f t="shared" si="190"/>
        <v>0</v>
      </c>
      <c r="W755">
        <f t="shared" si="178"/>
        <v>0</v>
      </c>
      <c r="X755">
        <f>SUM($W$34:W755)</f>
        <v>235.4798726999999</v>
      </c>
      <c r="Y755">
        <f t="shared" si="191"/>
        <v>0</v>
      </c>
    </row>
    <row r="756" spans="1:25">
      <c r="A756">
        <v>123.3197753</v>
      </c>
      <c r="B756" s="2">
        <f t="shared" si="176"/>
        <v>8.5594301576495616E-3</v>
      </c>
      <c r="C756">
        <v>118.9919852</v>
      </c>
      <c r="D756" s="3">
        <f t="shared" si="177"/>
        <v>-2.623091035659894E-3</v>
      </c>
      <c r="E756" s="3">
        <f t="shared" si="179"/>
        <v>-4.9838842355747932E-3</v>
      </c>
      <c r="F756" s="3">
        <f>STDEV($E$32:E756)</f>
        <v>1.3136812522920876E-2</v>
      </c>
      <c r="G756" s="14">
        <f t="shared" si="182"/>
        <v>-0.37938306776312752</v>
      </c>
      <c r="H756" s="15">
        <f>yint($B$3:B756,$D$3:D756)</f>
        <v>2.3391925581090045E-4</v>
      </c>
      <c r="I756" s="16">
        <f>MyReg($B$3:B756,$D$3:D756)</f>
        <v>0.24848312386814811</v>
      </c>
      <c r="J756" s="17">
        <f>STDEV($D$3:D756)</f>
        <v>1.3421154820246278E-2</v>
      </c>
      <c r="K756" s="4">
        <f t="shared" si="180"/>
        <v>2.3607931999148992E-3</v>
      </c>
      <c r="L756">
        <f t="shared" si="183"/>
        <v>-0.37938306776312752</v>
      </c>
      <c r="M756">
        <f>RSQ($D$3:D756,$B$3:B756)</f>
        <v>4.8715712299928181E-2</v>
      </c>
      <c r="N756">
        <v>724</v>
      </c>
      <c r="O756" t="str">
        <f t="shared" si="181"/>
        <v/>
      </c>
      <c r="P756" t="str">
        <f t="shared" si="185"/>
        <v/>
      </c>
      <c r="Q756">
        <f t="shared" si="186"/>
        <v>0</v>
      </c>
      <c r="R756">
        <f t="shared" si="187"/>
        <v>0</v>
      </c>
      <c r="S756">
        <f t="shared" si="188"/>
        <v>0</v>
      </c>
      <c r="T756">
        <f t="shared" si="189"/>
        <v>0</v>
      </c>
      <c r="U756">
        <f t="shared" si="184"/>
        <v>0</v>
      </c>
      <c r="V756">
        <f t="shared" si="190"/>
        <v>0</v>
      </c>
      <c r="W756">
        <f t="shared" si="178"/>
        <v>0</v>
      </c>
      <c r="X756">
        <f>SUM($W$34:W756)</f>
        <v>235.4798726999999</v>
      </c>
      <c r="Y756">
        <f t="shared" si="191"/>
        <v>0</v>
      </c>
    </row>
    <row r="757" spans="1:25">
      <c r="A757">
        <v>119.6098073</v>
      </c>
      <c r="B757" s="2">
        <f t="shared" si="176"/>
        <v>-3.0084128769897325E-2</v>
      </c>
      <c r="C757">
        <v>117.2741539</v>
      </c>
      <c r="D757" s="3">
        <f t="shared" si="177"/>
        <v>-1.4436529461313671E-2</v>
      </c>
      <c r="E757" s="3">
        <f t="shared" si="179"/>
        <v>-7.1239477753784128E-3</v>
      </c>
      <c r="F757" s="3">
        <f>STDEV($E$32:E757)</f>
        <v>1.3130490628023279E-2</v>
      </c>
      <c r="G757" s="14">
        <f t="shared" si="182"/>
        <v>-0.54255000648447838</v>
      </c>
      <c r="H757" s="15">
        <f>yint($B$3:B757,$D$3:D757)</f>
        <v>2.2376398041433281E-4</v>
      </c>
      <c r="I757" s="16">
        <f>MyReg($B$3:B757,$D$3:D757)</f>
        <v>0.25050902168357236</v>
      </c>
      <c r="J757" s="17">
        <f>STDEV($D$3:D757)</f>
        <v>1.3423000541951705E-2</v>
      </c>
      <c r="K757" s="4">
        <f t="shared" si="180"/>
        <v>-7.3125816859352585E-3</v>
      </c>
      <c r="L757">
        <f t="shared" si="183"/>
        <v>-0.54255000648447838</v>
      </c>
      <c r="M757">
        <f>RSQ($D$3:D757,$B$3:B757)</f>
        <v>4.9861311612276367E-2</v>
      </c>
      <c r="N757">
        <v>725</v>
      </c>
      <c r="O757" t="str">
        <f t="shared" si="181"/>
        <v/>
      </c>
      <c r="P757" t="str">
        <f t="shared" si="185"/>
        <v/>
      </c>
      <c r="Q757">
        <f t="shared" si="186"/>
        <v>0</v>
      </c>
      <c r="R757">
        <f t="shared" si="187"/>
        <v>0</v>
      </c>
      <c r="S757">
        <f t="shared" si="188"/>
        <v>0</v>
      </c>
      <c r="T757">
        <f t="shared" si="189"/>
        <v>0</v>
      </c>
      <c r="U757">
        <f t="shared" si="184"/>
        <v>0</v>
      </c>
      <c r="V757">
        <f t="shared" si="190"/>
        <v>0</v>
      </c>
      <c r="W757">
        <f t="shared" si="178"/>
        <v>0</v>
      </c>
      <c r="X757">
        <f>SUM($W$34:W757)</f>
        <v>235.4798726999999</v>
      </c>
      <c r="Y757">
        <f t="shared" si="191"/>
        <v>0</v>
      </c>
    </row>
    <row r="758" spans="1:25">
      <c r="A758">
        <v>118.3128002</v>
      </c>
      <c r="B758" s="2">
        <f t="shared" si="176"/>
        <v>-1.0843651781387008E-2</v>
      </c>
      <c r="C758">
        <v>117.6537529</v>
      </c>
      <c r="D758" s="3">
        <f t="shared" si="177"/>
        <v>3.2368513212526267E-3</v>
      </c>
      <c r="E758" s="3">
        <f t="shared" si="179"/>
        <v>5.7153644049281471E-3</v>
      </c>
      <c r="F758" s="3">
        <f>STDEV($E$32:E758)</f>
        <v>1.3123100160669641E-2</v>
      </c>
      <c r="G758" s="14">
        <f t="shared" si="182"/>
        <v>0.43551937689672449</v>
      </c>
      <c r="H758" s="15">
        <f>yint($B$3:B758,$D$3:D758)</f>
        <v>2.315162918726978E-4</v>
      </c>
      <c r="I758" s="16">
        <f>MyReg($B$3:B758,$D$3:D758)</f>
        <v>0.24991851732088527</v>
      </c>
      <c r="J758" s="17">
        <f>STDEV($D$3:D758)</f>
        <v>1.3414533123477002E-2</v>
      </c>
      <c r="K758" s="4">
        <f t="shared" si="180"/>
        <v>-2.47851308367552E-3</v>
      </c>
      <c r="L758">
        <f t="shared" si="183"/>
        <v>0.43551937689672449</v>
      </c>
      <c r="M758">
        <f>RSQ($D$3:D758,$B$3:B758)</f>
        <v>4.968047951923589E-2</v>
      </c>
      <c r="N758">
        <v>726</v>
      </c>
      <c r="O758" t="str">
        <f t="shared" si="181"/>
        <v/>
      </c>
      <c r="P758" t="str">
        <f t="shared" si="185"/>
        <v/>
      </c>
      <c r="Q758">
        <f t="shared" si="186"/>
        <v>0</v>
      </c>
      <c r="R758">
        <f t="shared" si="187"/>
        <v>0</v>
      </c>
      <c r="S758">
        <f t="shared" si="188"/>
        <v>0</v>
      </c>
      <c r="T758">
        <f t="shared" si="189"/>
        <v>0</v>
      </c>
      <c r="U758">
        <f t="shared" si="184"/>
        <v>0</v>
      </c>
      <c r="V758">
        <f t="shared" si="190"/>
        <v>0</v>
      </c>
      <c r="W758">
        <f t="shared" si="178"/>
        <v>0</v>
      </c>
      <c r="X758">
        <f>SUM($W$34:W758)</f>
        <v>235.4798726999999</v>
      </c>
      <c r="Y758">
        <f t="shared" si="191"/>
        <v>0</v>
      </c>
    </row>
    <row r="759" spans="1:25">
      <c r="A759">
        <v>118.3358028</v>
      </c>
      <c r="B759" s="2">
        <f t="shared" si="176"/>
        <v>1.9442190499348942E-4</v>
      </c>
      <c r="C759">
        <v>120.6142875</v>
      </c>
      <c r="D759" s="3">
        <f t="shared" si="177"/>
        <v>2.5163112327715665E-2</v>
      </c>
      <c r="E759" s="3">
        <f t="shared" si="179"/>
        <v>2.4850133576458284E-2</v>
      </c>
      <c r="F759" s="3">
        <f>STDEV($E$32:E759)</f>
        <v>1.31461073197388E-2</v>
      </c>
      <c r="G759" s="14">
        <f t="shared" si="182"/>
        <v>1.8903035683533451</v>
      </c>
      <c r="H759" s="15">
        <f>yint($B$3:B759,$D$3:D759)</f>
        <v>2.6439356694463151E-4</v>
      </c>
      <c r="I759" s="16">
        <f>MyReg($B$3:B759,$D$3:D759)</f>
        <v>0.24989562937559739</v>
      </c>
      <c r="J759" s="17">
        <f>STDEV($D$3:D759)</f>
        <v>1.3436069136185023E-2</v>
      </c>
      <c r="K759" s="4">
        <f t="shared" si="180"/>
        <v>3.1297875125738215E-4</v>
      </c>
      <c r="L759">
        <f t="shared" si="183"/>
        <v>1.8903035683533451</v>
      </c>
      <c r="M759">
        <f>RSQ($D$3:D759,$B$3:B759)</f>
        <v>4.9446788395007941E-2</v>
      </c>
      <c r="N759">
        <v>727</v>
      </c>
      <c r="O759" t="str">
        <f t="shared" si="181"/>
        <v>sellY</v>
      </c>
      <c r="P759" t="str">
        <f t="shared" si="185"/>
        <v/>
      </c>
      <c r="Q759">
        <f t="shared" si="186"/>
        <v>10</v>
      </c>
      <c r="R759">
        <f t="shared" si="187"/>
        <v>0</v>
      </c>
      <c r="S759">
        <f t="shared" si="188"/>
        <v>-10</v>
      </c>
      <c r="T759">
        <f t="shared" si="189"/>
        <v>0</v>
      </c>
      <c r="U759">
        <f t="shared" si="184"/>
        <v>20</v>
      </c>
      <c r="V759">
        <f t="shared" si="190"/>
        <v>10</v>
      </c>
      <c r="W759">
        <f t="shared" si="178"/>
        <v>22.78484700000007</v>
      </c>
      <c r="X759">
        <f>SUM($W$34:W759)</f>
        <v>258.2647197</v>
      </c>
      <c r="Y759">
        <f t="shared" si="191"/>
        <v>0</v>
      </c>
    </row>
    <row r="760" spans="1:25">
      <c r="A760">
        <v>117.93573189999999</v>
      </c>
      <c r="B760" s="2">
        <f t="shared" si="176"/>
        <v>-3.3808102918451905E-3</v>
      </c>
      <c r="C760">
        <v>120.7119897</v>
      </c>
      <c r="D760" s="3">
        <f t="shared" si="177"/>
        <v>8.1003836299244829E-4</v>
      </c>
      <c r="E760" s="3">
        <f t="shared" si="179"/>
        <v>1.3884868218211573E-3</v>
      </c>
      <c r="F760" s="3">
        <f>STDEV($E$32:E760)</f>
        <v>1.3137157122388783E-2</v>
      </c>
      <c r="G760" s="14">
        <f t="shared" si="182"/>
        <v>0.10569157458388402</v>
      </c>
      <c r="H760" s="15">
        <f>yint($B$3:B760,$D$3:D760)</f>
        <v>2.662416360302227E-4</v>
      </c>
      <c r="I760" s="16">
        <f>MyReg($B$3:B760,$D$3:D760)</f>
        <v>0.24984841559918283</v>
      </c>
      <c r="J760" s="17">
        <f>STDEV($D$3:D760)</f>
        <v>1.3427202607910943E-2</v>
      </c>
      <c r="K760" s="4">
        <f t="shared" si="180"/>
        <v>-5.7844845882870904E-4</v>
      </c>
      <c r="L760">
        <f t="shared" si="183"/>
        <v>0.10569157458388402</v>
      </c>
      <c r="M760">
        <f>RSQ($D$3:D760,$B$3:B760)</f>
        <v>4.943419310044761E-2</v>
      </c>
      <c r="N760">
        <v>728</v>
      </c>
      <c r="O760" t="str">
        <f t="shared" si="181"/>
        <v/>
      </c>
      <c r="P760" t="str">
        <f t="shared" si="185"/>
        <v>close</v>
      </c>
      <c r="Q760">
        <f t="shared" si="186"/>
        <v>0</v>
      </c>
      <c r="R760">
        <f t="shared" si="187"/>
        <v>0</v>
      </c>
      <c r="S760">
        <f t="shared" si="188"/>
        <v>0</v>
      </c>
      <c r="T760">
        <f t="shared" si="189"/>
        <v>0</v>
      </c>
      <c r="U760">
        <f t="shared" si="184"/>
        <v>0</v>
      </c>
      <c r="V760">
        <f t="shared" si="190"/>
        <v>-10</v>
      </c>
      <c r="W760">
        <f t="shared" si="178"/>
        <v>-27.762578000000104</v>
      </c>
      <c r="X760">
        <f>SUM($W$34:W760)</f>
        <v>230.5021416999999</v>
      </c>
      <c r="Y760">
        <f t="shared" si="191"/>
        <v>230.5021416999999</v>
      </c>
    </row>
    <row r="761" spans="1:25">
      <c r="A761">
        <v>116.70794100000001</v>
      </c>
      <c r="B761" s="2">
        <f t="shared" si="176"/>
        <v>-1.0410677749819333E-2</v>
      </c>
      <c r="C761">
        <v>120.0237566</v>
      </c>
      <c r="D761" s="3">
        <f t="shared" si="177"/>
        <v>-5.7014477328262035E-3</v>
      </c>
      <c r="E761" s="3">
        <f t="shared" si="179"/>
        <v>-3.358609539819033E-3</v>
      </c>
      <c r="F761" s="3">
        <f>STDEV($E$32:E761)</f>
        <v>1.3128781605697751E-2</v>
      </c>
      <c r="G761" s="14">
        <f t="shared" si="182"/>
        <v>-0.25582035261835967</v>
      </c>
      <c r="H761" s="15">
        <f>yint($B$3:B761,$D$3:D761)</f>
        <v>2.6171466930222022E-4</v>
      </c>
      <c r="I761" s="16">
        <f>MyReg($B$3:B761,$D$3:D761)</f>
        <v>0.25018091279932181</v>
      </c>
      <c r="J761" s="17">
        <f>STDEV($D$3:D761)</f>
        <v>1.3420133537391207E-2</v>
      </c>
      <c r="K761" s="4">
        <f t="shared" si="180"/>
        <v>-2.3428381930071704E-3</v>
      </c>
      <c r="L761">
        <f t="shared" si="183"/>
        <v>-0.25582035261835967</v>
      </c>
      <c r="M761">
        <f>RSQ($D$3:D761,$B$3:B761)</f>
        <v>4.9605045977646776E-2</v>
      </c>
      <c r="N761">
        <v>729</v>
      </c>
      <c r="O761" t="str">
        <f t="shared" si="181"/>
        <v/>
      </c>
      <c r="P761" t="str">
        <f t="shared" si="185"/>
        <v/>
      </c>
      <c r="Q761">
        <f t="shared" si="186"/>
        <v>0</v>
      </c>
      <c r="R761">
        <f t="shared" si="187"/>
        <v>0</v>
      </c>
      <c r="S761">
        <f t="shared" si="188"/>
        <v>0</v>
      </c>
      <c r="T761">
        <f t="shared" si="189"/>
        <v>0</v>
      </c>
      <c r="U761">
        <f t="shared" si="184"/>
        <v>0</v>
      </c>
      <c r="V761">
        <f t="shared" si="190"/>
        <v>0</v>
      </c>
      <c r="W761">
        <f t="shared" si="178"/>
        <v>0</v>
      </c>
      <c r="X761">
        <f>SUM($W$34:W761)</f>
        <v>230.5021416999999</v>
      </c>
      <c r="Y761">
        <f t="shared" si="191"/>
        <v>0</v>
      </c>
    </row>
    <row r="762" spans="1:25">
      <c r="A762">
        <v>116.29599330000001</v>
      </c>
      <c r="B762" s="2">
        <f t="shared" si="176"/>
        <v>-3.5297315372910133E-3</v>
      </c>
      <c r="C762">
        <v>119.40883839999999</v>
      </c>
      <c r="D762" s="3">
        <f t="shared" si="177"/>
        <v>-5.1233040642889305E-3</v>
      </c>
      <c r="E762" s="3">
        <f t="shared" si="179"/>
        <v>-4.4954230148481463E-3</v>
      </c>
      <c r="F762" s="3">
        <f>STDEV($E$32:E762)</f>
        <v>1.3120903247005962E-2</v>
      </c>
      <c r="G762" s="14">
        <f t="shared" si="182"/>
        <v>-0.3426153619320339</v>
      </c>
      <c r="H762" s="15">
        <f>yint($B$3:B762,$D$3:D762)</f>
        <v>2.5574839276282257E-4</v>
      </c>
      <c r="I762" s="16">
        <f>MyReg($B$3:B762,$D$3:D762)</f>
        <v>0.2503389940192936</v>
      </c>
      <c r="J762" s="17">
        <f>STDEV($D$3:D762)</f>
        <v>1.3412748967429182E-2</v>
      </c>
      <c r="K762" s="4">
        <f t="shared" si="180"/>
        <v>-6.2788104944078442E-4</v>
      </c>
      <c r="L762">
        <f t="shared" si="183"/>
        <v>-0.3426153619320339</v>
      </c>
      <c r="M762">
        <f>RSQ($D$3:D762,$B$3:B762)</f>
        <v>4.966358330434293E-2</v>
      </c>
      <c r="N762">
        <v>730</v>
      </c>
      <c r="O762" t="str">
        <f t="shared" si="181"/>
        <v/>
      </c>
      <c r="P762" t="str">
        <f t="shared" si="185"/>
        <v/>
      </c>
      <c r="Q762">
        <f t="shared" si="186"/>
        <v>0</v>
      </c>
      <c r="R762">
        <f t="shared" si="187"/>
        <v>0</v>
      </c>
      <c r="S762">
        <f t="shared" si="188"/>
        <v>0</v>
      </c>
      <c r="T762">
        <f t="shared" si="189"/>
        <v>0</v>
      </c>
      <c r="U762">
        <f t="shared" si="184"/>
        <v>0</v>
      </c>
      <c r="V762">
        <f t="shared" si="190"/>
        <v>0</v>
      </c>
      <c r="W762">
        <f t="shared" si="178"/>
        <v>0</v>
      </c>
      <c r="X762">
        <f>SUM($W$34:W762)</f>
        <v>230.5021416999999</v>
      </c>
      <c r="Y762">
        <f t="shared" si="191"/>
        <v>0</v>
      </c>
    </row>
    <row r="763" spans="1:25">
      <c r="A763">
        <v>116.5980003</v>
      </c>
      <c r="B763" s="2">
        <f t="shared" si="176"/>
        <v>2.5968822435775956E-3</v>
      </c>
      <c r="C763">
        <v>120.3207979</v>
      </c>
      <c r="D763" s="3">
        <f t="shared" si="177"/>
        <v>7.6372864205000836E-3</v>
      </c>
      <c r="E763" s="3">
        <f t="shared" si="179"/>
        <v>6.7222556682182332E-3</v>
      </c>
      <c r="F763" s="3">
        <f>STDEV($E$32:E763)</f>
        <v>1.311419121276719E-2</v>
      </c>
      <c r="G763" s="14">
        <f t="shared" si="182"/>
        <v>0.512593995249501</v>
      </c>
      <c r="H763" s="15">
        <f>yint($B$3:B763,$D$3:D763)</f>
        <v>2.6455445269981152E-4</v>
      </c>
      <c r="I763" s="16">
        <f>MyReg($B$3:B763,$D$3:D763)</f>
        <v>0.2504835562685776</v>
      </c>
      <c r="J763" s="17">
        <f>STDEV($D$3:D763)</f>
        <v>1.3406543799305129E-2</v>
      </c>
      <c r="K763" s="4">
        <f t="shared" si="180"/>
        <v>9.1503075228185026E-4</v>
      </c>
      <c r="L763">
        <f t="shared" si="183"/>
        <v>0.512593995249501</v>
      </c>
      <c r="M763">
        <f>RSQ($D$3:D763,$B$3:B763)</f>
        <v>4.97039959170417E-2</v>
      </c>
      <c r="N763">
        <v>731</v>
      </c>
      <c r="O763" t="str">
        <f t="shared" si="181"/>
        <v/>
      </c>
      <c r="P763" t="str">
        <f t="shared" si="185"/>
        <v/>
      </c>
      <c r="Q763">
        <f t="shared" si="186"/>
        <v>0</v>
      </c>
      <c r="R763">
        <f t="shared" si="187"/>
        <v>0</v>
      </c>
      <c r="S763">
        <f t="shared" si="188"/>
        <v>0</v>
      </c>
      <c r="T763">
        <f t="shared" si="189"/>
        <v>0</v>
      </c>
      <c r="U763">
        <f t="shared" si="184"/>
        <v>0</v>
      </c>
      <c r="V763">
        <f t="shared" si="190"/>
        <v>0</v>
      </c>
      <c r="W763">
        <f t="shared" si="178"/>
        <v>0</v>
      </c>
      <c r="X763">
        <f>SUM($W$34:W763)</f>
        <v>230.5021416999999</v>
      </c>
      <c r="Y763">
        <f t="shared" si="191"/>
        <v>0</v>
      </c>
    </row>
    <row r="764" spans="1:25">
      <c r="A764">
        <v>115.6649858</v>
      </c>
      <c r="B764" s="2">
        <f t="shared" si="176"/>
        <v>-8.0019768572308757E-3</v>
      </c>
      <c r="C764">
        <v>121.70815469999999</v>
      </c>
      <c r="D764" s="3">
        <f t="shared" si="177"/>
        <v>1.1530482046445871E-2</v>
      </c>
      <c r="E764" s="3">
        <f t="shared" si="179"/>
        <v>1.324450640163689E-2</v>
      </c>
      <c r="F764" s="3">
        <f>STDEV($E$32:E764)</f>
        <v>1.3114170988367818E-2</v>
      </c>
      <c r="G764" s="14">
        <f t="shared" si="182"/>
        <v>1.0099385171494775</v>
      </c>
      <c r="H764" s="15">
        <f>yint($B$3:B764,$D$3:D764)</f>
        <v>2.8223495494927642E-4</v>
      </c>
      <c r="I764" s="16">
        <f>MyReg($B$3:B764,$D$3:D764)</f>
        <v>0.24947076775614549</v>
      </c>
      <c r="J764" s="17">
        <f>STDEV($D$3:D764)</f>
        <v>1.3403871874820573E-2</v>
      </c>
      <c r="K764" s="4">
        <f t="shared" si="180"/>
        <v>-1.7140243551910183E-3</v>
      </c>
      <c r="L764">
        <f t="shared" si="183"/>
        <v>1.0099385171494775</v>
      </c>
      <c r="M764">
        <f>RSQ($D$3:D764,$B$3:B764)</f>
        <v>4.9288841994023891E-2</v>
      </c>
      <c r="N764">
        <v>732</v>
      </c>
      <c r="O764" t="str">
        <f t="shared" si="181"/>
        <v/>
      </c>
      <c r="P764" t="str">
        <f t="shared" si="185"/>
        <v/>
      </c>
      <c r="Q764">
        <f t="shared" si="186"/>
        <v>0</v>
      </c>
      <c r="R764">
        <f t="shared" si="187"/>
        <v>0</v>
      </c>
      <c r="S764">
        <f t="shared" si="188"/>
        <v>0</v>
      </c>
      <c r="T764">
        <f t="shared" si="189"/>
        <v>0</v>
      </c>
      <c r="U764">
        <f t="shared" si="184"/>
        <v>0</v>
      </c>
      <c r="V764">
        <f t="shared" si="190"/>
        <v>0</v>
      </c>
      <c r="W764">
        <f t="shared" si="178"/>
        <v>0</v>
      </c>
      <c r="X764">
        <f>SUM($W$34:W764)</f>
        <v>230.5021416999999</v>
      </c>
      <c r="Y764">
        <f t="shared" si="191"/>
        <v>0</v>
      </c>
    </row>
    <row r="765" spans="1:25">
      <c r="A765">
        <v>115.3661615</v>
      </c>
      <c r="B765" s="2">
        <f t="shared" si="176"/>
        <v>-2.5835329329197275E-3</v>
      </c>
      <c r="C765">
        <v>122.2412758</v>
      </c>
      <c r="D765" s="3">
        <f t="shared" si="177"/>
        <v>4.3803235807337608E-3</v>
      </c>
      <c r="E765" s="3">
        <f t="shared" si="179"/>
        <v>4.7360351330056694E-3</v>
      </c>
      <c r="F765" s="3">
        <f>STDEV($E$32:E765)</f>
        <v>1.3106313617474214E-2</v>
      </c>
      <c r="G765" s="14">
        <f t="shared" si="182"/>
        <v>0.36135524230789584</v>
      </c>
      <c r="H765" s="15">
        <f>yint($B$3:B765,$D$3:D765)</f>
        <v>2.8848284181357664E-4</v>
      </c>
      <c r="I765" s="16">
        <f>MyReg($B$3:B765,$D$3:D765)</f>
        <v>0.24934630632227398</v>
      </c>
      <c r="J765" s="17">
        <f>STDEV($D$3:D765)</f>
        <v>1.3395869371311526E-2</v>
      </c>
      <c r="K765" s="4">
        <f t="shared" si="180"/>
        <v>-3.5571155227190858E-4</v>
      </c>
      <c r="L765">
        <f t="shared" si="183"/>
        <v>0.36135524230789584</v>
      </c>
      <c r="M765">
        <f>RSQ($D$3:D765,$B$3:B765)</f>
        <v>4.9237502148892984E-2</v>
      </c>
      <c r="N765">
        <v>733</v>
      </c>
      <c r="O765" t="str">
        <f t="shared" si="181"/>
        <v/>
      </c>
      <c r="P765" t="str">
        <f t="shared" si="185"/>
        <v/>
      </c>
      <c r="Q765">
        <f t="shared" si="186"/>
        <v>0</v>
      </c>
      <c r="R765">
        <f t="shared" si="187"/>
        <v>0</v>
      </c>
      <c r="S765">
        <f t="shared" si="188"/>
        <v>0</v>
      </c>
      <c r="T765">
        <f t="shared" si="189"/>
        <v>0</v>
      </c>
      <c r="U765">
        <f t="shared" si="184"/>
        <v>0</v>
      </c>
      <c r="V765">
        <f t="shared" si="190"/>
        <v>0</v>
      </c>
      <c r="W765">
        <f t="shared" si="178"/>
        <v>0</v>
      </c>
      <c r="X765">
        <f>SUM($W$34:W765)</f>
        <v>230.5021416999999</v>
      </c>
      <c r="Y765">
        <f t="shared" si="191"/>
        <v>0</v>
      </c>
    </row>
    <row r="766" spans="1:25">
      <c r="A766">
        <v>112.9231176</v>
      </c>
      <c r="B766" s="2">
        <f t="shared" si="176"/>
        <v>-2.1176433958063224E-2</v>
      </c>
      <c r="C766">
        <v>121.7708288</v>
      </c>
      <c r="D766" s="3">
        <f t="shared" si="177"/>
        <v>-3.8485118624718489E-3</v>
      </c>
      <c r="E766" s="3">
        <f t="shared" si="179"/>
        <v>1.1369569075588047E-3</v>
      </c>
      <c r="F766" s="3">
        <f>STDEV($E$32:E766)</f>
        <v>1.3097432109980576E-2</v>
      </c>
      <c r="G766" s="14">
        <f t="shared" si="182"/>
        <v>8.6807619845756995E-2</v>
      </c>
      <c r="H766" s="15">
        <f>yint($B$3:B766,$D$3:D766)</f>
        <v>2.9003109494119217E-4</v>
      </c>
      <c r="I766" s="16">
        <f>MyReg($B$3:B766,$D$3:D766)</f>
        <v>0.24912125787652392</v>
      </c>
      <c r="J766" s="17">
        <f>STDEV($D$3:D766)</f>
        <v>1.3387950985577856E-2</v>
      </c>
      <c r="K766" s="4">
        <f t="shared" si="180"/>
        <v>-4.9854687700306537E-3</v>
      </c>
      <c r="L766">
        <f t="shared" si="183"/>
        <v>8.6807619845756995E-2</v>
      </c>
      <c r="M766">
        <f>RSQ($D$3:D766,$B$3:B766)</f>
        <v>4.9350555163339846E-2</v>
      </c>
      <c r="N766">
        <v>734</v>
      </c>
      <c r="O766" t="str">
        <f t="shared" si="181"/>
        <v/>
      </c>
      <c r="P766" t="str">
        <f t="shared" si="185"/>
        <v/>
      </c>
      <c r="Q766">
        <f t="shared" si="186"/>
        <v>0</v>
      </c>
      <c r="R766">
        <f t="shared" si="187"/>
        <v>0</v>
      </c>
      <c r="S766">
        <f t="shared" si="188"/>
        <v>0</v>
      </c>
      <c r="T766">
        <f t="shared" si="189"/>
        <v>0</v>
      </c>
      <c r="U766">
        <f t="shared" si="184"/>
        <v>0</v>
      </c>
      <c r="V766">
        <f t="shared" si="190"/>
        <v>0</v>
      </c>
      <c r="W766">
        <f t="shared" si="178"/>
        <v>0</v>
      </c>
      <c r="X766">
        <f>SUM($W$34:W766)</f>
        <v>230.5021416999999</v>
      </c>
      <c r="Y766">
        <f t="shared" si="191"/>
        <v>0</v>
      </c>
    </row>
    <row r="767" spans="1:25">
      <c r="A767">
        <v>111.8326139</v>
      </c>
      <c r="B767" s="2">
        <f t="shared" si="176"/>
        <v>-9.6570456357999036E-3</v>
      </c>
      <c r="C767">
        <v>122.462602</v>
      </c>
      <c r="D767" s="3">
        <f t="shared" si="177"/>
        <v>5.6809435134599334E-3</v>
      </c>
      <c r="E767" s="3">
        <f t="shared" si="179"/>
        <v>7.779511786117542E-3</v>
      </c>
      <c r="F767" s="3">
        <f>STDEV($E$32:E767)</f>
        <v>1.3091531012296419E-2</v>
      </c>
      <c r="G767" s="14">
        <f t="shared" si="182"/>
        <v>0.59424003035325035</v>
      </c>
      <c r="H767" s="15">
        <f>yint($B$3:B767,$D$3:D767)</f>
        <v>3.0037658422257091E-4</v>
      </c>
      <c r="I767" s="16">
        <f>MyReg($B$3:B767,$D$3:D767)</f>
        <v>0.24841395053441437</v>
      </c>
      <c r="J767" s="17">
        <f>STDEV($D$3:D767)</f>
        <v>1.3380575962841699E-2</v>
      </c>
      <c r="K767" s="4">
        <f t="shared" si="180"/>
        <v>-2.0985682726576086E-3</v>
      </c>
      <c r="L767">
        <f t="shared" si="183"/>
        <v>0.59424003035325035</v>
      </c>
      <c r="M767">
        <f>RSQ($D$3:D767,$B$3:B767)</f>
        <v>4.9104573520760197E-2</v>
      </c>
      <c r="N767">
        <v>735</v>
      </c>
      <c r="O767" t="str">
        <f t="shared" si="181"/>
        <v/>
      </c>
      <c r="P767" t="str">
        <f t="shared" si="185"/>
        <v/>
      </c>
      <c r="Q767">
        <f t="shared" si="186"/>
        <v>0</v>
      </c>
      <c r="R767">
        <f t="shared" si="187"/>
        <v>0</v>
      </c>
      <c r="S767">
        <f t="shared" si="188"/>
        <v>0</v>
      </c>
      <c r="T767">
        <f t="shared" si="189"/>
        <v>0</v>
      </c>
      <c r="U767">
        <f t="shared" si="184"/>
        <v>0</v>
      </c>
      <c r="V767">
        <f t="shared" si="190"/>
        <v>0</v>
      </c>
      <c r="W767">
        <f t="shared" si="178"/>
        <v>0</v>
      </c>
      <c r="X767">
        <f>SUM($W$34:W767)</f>
        <v>230.5021416999999</v>
      </c>
      <c r="Y767">
        <f t="shared" si="191"/>
        <v>0</v>
      </c>
    </row>
    <row r="768" spans="1:25">
      <c r="A768">
        <v>112.6441743</v>
      </c>
      <c r="B768" s="2">
        <f t="shared" si="176"/>
        <v>7.2569206039098466E-3</v>
      </c>
      <c r="C768">
        <v>121.384494</v>
      </c>
      <c r="D768" s="3">
        <f t="shared" si="177"/>
        <v>-8.8035692725196239E-3</v>
      </c>
      <c r="E768" s="3">
        <f t="shared" si="179"/>
        <v>-1.088747733077744E-2</v>
      </c>
      <c r="F768" s="3">
        <f>STDEV($E$32:E768)</f>
        <v>1.3088975469825541E-2</v>
      </c>
      <c r="G768" s="14">
        <f t="shared" si="182"/>
        <v>-0.83180515968394253</v>
      </c>
      <c r="H768" s="15">
        <f>yint($B$3:B768,$D$3:D768)</f>
        <v>2.8629764010419635E-4</v>
      </c>
      <c r="I768" s="16">
        <f>MyReg($B$3:B768,$D$3:D768)</f>
        <v>0.24770980919718383</v>
      </c>
      <c r="J768" s="17">
        <f>STDEV($D$3:D768)</f>
        <v>1.3375920986199158E-2</v>
      </c>
      <c r="K768" s="4">
        <f t="shared" si="180"/>
        <v>2.0839080582578163E-3</v>
      </c>
      <c r="L768">
        <f t="shared" si="183"/>
        <v>-0.83180515968394253</v>
      </c>
      <c r="M768">
        <f>RSQ($D$3:D768,$B$3:B768)</f>
        <v>4.8818896950480813E-2</v>
      </c>
      <c r="N768">
        <v>736</v>
      </c>
      <c r="O768" t="str">
        <f t="shared" si="181"/>
        <v/>
      </c>
      <c r="P768" t="str">
        <f t="shared" si="185"/>
        <v/>
      </c>
      <c r="Q768">
        <f t="shared" si="186"/>
        <v>0</v>
      </c>
      <c r="R768">
        <f t="shared" si="187"/>
        <v>0</v>
      </c>
      <c r="S768">
        <f t="shared" si="188"/>
        <v>0</v>
      </c>
      <c r="T768">
        <f t="shared" si="189"/>
        <v>0</v>
      </c>
      <c r="U768">
        <f t="shared" si="184"/>
        <v>0</v>
      </c>
      <c r="V768">
        <f t="shared" si="190"/>
        <v>0</v>
      </c>
      <c r="W768">
        <f t="shared" si="178"/>
        <v>0</v>
      </c>
      <c r="X768">
        <f>SUM($W$34:W768)</f>
        <v>230.5021416999999</v>
      </c>
      <c r="Y768">
        <f t="shared" si="191"/>
        <v>0</v>
      </c>
    </row>
    <row r="769" spans="1:25">
      <c r="A769">
        <v>110.89046980000001</v>
      </c>
      <c r="B769" s="2">
        <f t="shared" si="176"/>
        <v>-1.5568532601867522E-2</v>
      </c>
      <c r="C769">
        <v>120.1650004</v>
      </c>
      <c r="D769" s="3">
        <f t="shared" si="177"/>
        <v>-1.0046535268335072E-2</v>
      </c>
      <c r="E769" s="3">
        <f t="shared" si="179"/>
        <v>-6.4531457545102264E-3</v>
      </c>
      <c r="F769" s="3">
        <f>STDEV($E$32:E769)</f>
        <v>1.3082355555699166E-2</v>
      </c>
      <c r="G769" s="14">
        <f t="shared" si="182"/>
        <v>-0.49327093481257611</v>
      </c>
      <c r="H769" s="15">
        <f>yint($B$3:B769,$D$3:D769)</f>
        <v>2.7766111321165534E-4</v>
      </c>
      <c r="I769" s="16">
        <f>MyReg($B$3:B769,$D$3:D769)</f>
        <v>0.24864582462782323</v>
      </c>
      <c r="J769" s="17">
        <f>STDEV($D$3:D769)</f>
        <v>1.337244962161952E-2</v>
      </c>
      <c r="K769" s="4">
        <f t="shared" si="180"/>
        <v>-3.5933895138248453E-3</v>
      </c>
      <c r="L769">
        <f t="shared" si="183"/>
        <v>-0.49327093481257611</v>
      </c>
      <c r="M769">
        <f>RSQ($D$3:D769,$B$3:B769)</f>
        <v>4.926228628630315E-2</v>
      </c>
      <c r="N769">
        <v>737</v>
      </c>
      <c r="O769" t="str">
        <f t="shared" si="181"/>
        <v/>
      </c>
      <c r="P769" t="str">
        <f t="shared" si="185"/>
        <v/>
      </c>
      <c r="Q769">
        <f t="shared" si="186"/>
        <v>0</v>
      </c>
      <c r="R769">
        <f t="shared" si="187"/>
        <v>0</v>
      </c>
      <c r="S769">
        <f t="shared" si="188"/>
        <v>0</v>
      </c>
      <c r="T769">
        <f t="shared" si="189"/>
        <v>0</v>
      </c>
      <c r="U769">
        <f t="shared" si="184"/>
        <v>0</v>
      </c>
      <c r="V769">
        <f t="shared" si="190"/>
        <v>0</v>
      </c>
      <c r="W769">
        <f t="shared" si="178"/>
        <v>0</v>
      </c>
      <c r="X769">
        <f>SUM($W$34:W769)</f>
        <v>230.5021416999999</v>
      </c>
      <c r="Y769">
        <f t="shared" si="191"/>
        <v>0</v>
      </c>
    </row>
    <row r="770" spans="1:25">
      <c r="A770">
        <v>109.724186</v>
      </c>
      <c r="B770" s="2">
        <f t="shared" si="176"/>
        <v>-1.0517439434637531E-2</v>
      </c>
      <c r="C770">
        <v>118.38337730000001</v>
      </c>
      <c r="D770" s="3">
        <f t="shared" si="177"/>
        <v>-1.4826472717258779E-2</v>
      </c>
      <c r="E770" s="3">
        <f t="shared" si="179"/>
        <v>-1.2459644722212551E-2</v>
      </c>
      <c r="F770" s="3">
        <f>STDEV($E$32:E770)</f>
        <v>1.3081712864243821E-2</v>
      </c>
      <c r="G770" s="14">
        <f t="shared" si="182"/>
        <v>-0.95244750068383122</v>
      </c>
      <c r="H770" s="15">
        <f>yint($B$3:B770,$D$3:D770)</f>
        <v>2.6116434303816291E-4</v>
      </c>
      <c r="I770" s="16">
        <f>MyReg($B$3:B770,$D$3:D770)</f>
        <v>0.24986997590207286</v>
      </c>
      <c r="J770" s="17">
        <f>STDEV($D$3:D770)</f>
        <v>1.337491427762587E-2</v>
      </c>
      <c r="K770" s="4">
        <f t="shared" si="180"/>
        <v>-2.3668279950462279E-3</v>
      </c>
      <c r="L770">
        <f t="shared" si="183"/>
        <v>-0.95244750068383122</v>
      </c>
      <c r="M770">
        <f>RSQ($D$3:D770,$B$3:B770)</f>
        <v>4.971763093403965E-2</v>
      </c>
      <c r="N770">
        <v>738</v>
      </c>
      <c r="O770" t="str">
        <f t="shared" si="181"/>
        <v/>
      </c>
      <c r="P770" t="str">
        <f t="shared" si="185"/>
        <v/>
      </c>
      <c r="Q770">
        <f t="shared" si="186"/>
        <v>0</v>
      </c>
      <c r="R770">
        <f t="shared" si="187"/>
        <v>0</v>
      </c>
      <c r="S770">
        <f t="shared" si="188"/>
        <v>0</v>
      </c>
      <c r="T770">
        <f t="shared" si="189"/>
        <v>0</v>
      </c>
      <c r="U770">
        <f t="shared" si="184"/>
        <v>0</v>
      </c>
      <c r="V770">
        <f t="shared" si="190"/>
        <v>0</v>
      </c>
      <c r="W770">
        <f t="shared" si="178"/>
        <v>0</v>
      </c>
      <c r="X770">
        <f>SUM($W$34:W770)</f>
        <v>230.5021416999999</v>
      </c>
      <c r="Y770">
        <f t="shared" si="191"/>
        <v>0</v>
      </c>
    </row>
    <row r="771" spans="1:25">
      <c r="A771">
        <v>109.2747766</v>
      </c>
      <c r="B771" s="2">
        <f t="shared" si="176"/>
        <v>-4.0958098335767785E-3</v>
      </c>
      <c r="C771">
        <v>118.0814069</v>
      </c>
      <c r="D771" s="3">
        <f t="shared" si="177"/>
        <v>-2.5507837915011221E-3</v>
      </c>
      <c r="E771" s="3">
        <f t="shared" si="179"/>
        <v>-1.7859023202573886E-3</v>
      </c>
      <c r="F771" s="3">
        <f>STDEV($E$32:E771)</f>
        <v>1.3073048822335898E-2</v>
      </c>
      <c r="G771" s="14">
        <f t="shared" si="182"/>
        <v>-0.13660947377524463</v>
      </c>
      <c r="H771" s="15">
        <f>yint($B$3:B771,$D$3:D771)</f>
        <v>2.5882549322860853E-4</v>
      </c>
      <c r="I771" s="16">
        <f>MyReg($B$3:B771,$D$3:D771)</f>
        <v>0.24994006217773096</v>
      </c>
      <c r="J771" s="17">
        <f>STDEV($D$3:D771)</f>
        <v>1.3366601681324331E-2</v>
      </c>
      <c r="K771" s="4">
        <f t="shared" si="180"/>
        <v>-7.648814712437334E-4</v>
      </c>
      <c r="L771">
        <f t="shared" si="183"/>
        <v>-0.13660947377524463</v>
      </c>
      <c r="M771">
        <f>RSQ($D$3:D771,$B$3:B771)</f>
        <v>4.9750923525850782E-2</v>
      </c>
      <c r="N771">
        <v>739</v>
      </c>
      <c r="O771" t="str">
        <f t="shared" si="181"/>
        <v/>
      </c>
      <c r="P771" t="str">
        <f t="shared" si="185"/>
        <v/>
      </c>
      <c r="Q771">
        <f t="shared" si="186"/>
        <v>0</v>
      </c>
      <c r="R771">
        <f t="shared" si="187"/>
        <v>0</v>
      </c>
      <c r="S771">
        <f t="shared" si="188"/>
        <v>0</v>
      </c>
      <c r="T771">
        <f t="shared" si="189"/>
        <v>0</v>
      </c>
      <c r="U771">
        <f t="shared" si="184"/>
        <v>0</v>
      </c>
      <c r="V771">
        <f t="shared" si="190"/>
        <v>0</v>
      </c>
      <c r="W771">
        <f t="shared" si="178"/>
        <v>0</v>
      </c>
      <c r="X771">
        <f>SUM($W$34:W771)</f>
        <v>230.5021416999999</v>
      </c>
      <c r="Y771">
        <f t="shared" si="191"/>
        <v>0</v>
      </c>
    </row>
    <row r="772" spans="1:25">
      <c r="A772">
        <v>110.02079120000001</v>
      </c>
      <c r="B772" s="2">
        <f t="shared" ref="B772:B835" si="192">(A772-A771)/A771</f>
        <v>6.8269606510457E-3</v>
      </c>
      <c r="C772">
        <v>117.330583</v>
      </c>
      <c r="D772" s="3">
        <f t="shared" ref="D772:D835" si="193">(C772-C771)/C771</f>
        <v>-6.3585277285513123E-3</v>
      </c>
      <c r="E772" s="3">
        <f t="shared" si="179"/>
        <v>-8.3095254344804775E-3</v>
      </c>
      <c r="F772" s="3">
        <f>STDEV($E$32:E772)</f>
        <v>1.3067889547129185E-2</v>
      </c>
      <c r="G772" s="14">
        <f t="shared" si="182"/>
        <v>-0.63587355896392261</v>
      </c>
      <c r="H772" s="15">
        <f>yint($B$3:B772,$D$3:D772)</f>
        <v>2.4811400020374237E-4</v>
      </c>
      <c r="I772" s="16">
        <f>MyReg($B$3:B772,$D$3:D772)</f>
        <v>0.24943511362770016</v>
      </c>
      <c r="J772" s="17">
        <f>STDEV($D$3:D772)</f>
        <v>1.336006653881364E-2</v>
      </c>
      <c r="K772" s="4">
        <f t="shared" si="180"/>
        <v>1.9509977059291644E-3</v>
      </c>
      <c r="L772">
        <f t="shared" si="183"/>
        <v>-0.63587355896392261</v>
      </c>
      <c r="M772">
        <f>RSQ($D$3:D772,$B$3:B772)</f>
        <v>4.9554057301437485E-2</v>
      </c>
      <c r="N772">
        <v>740</v>
      </c>
      <c r="O772" t="str">
        <f t="shared" si="181"/>
        <v/>
      </c>
      <c r="P772" t="str">
        <f t="shared" si="185"/>
        <v/>
      </c>
      <c r="Q772">
        <f t="shared" si="186"/>
        <v>0</v>
      </c>
      <c r="R772">
        <f t="shared" si="187"/>
        <v>0</v>
      </c>
      <c r="S772">
        <f t="shared" si="188"/>
        <v>0</v>
      </c>
      <c r="T772">
        <f t="shared" si="189"/>
        <v>0</v>
      </c>
      <c r="U772">
        <f t="shared" si="184"/>
        <v>0</v>
      </c>
      <c r="V772">
        <f t="shared" si="190"/>
        <v>0</v>
      </c>
      <c r="W772">
        <f t="shared" si="178"/>
        <v>0</v>
      </c>
      <c r="X772">
        <f>SUM($W$34:W772)</f>
        <v>230.5021416999999</v>
      </c>
      <c r="Y772">
        <f t="shared" si="191"/>
        <v>0</v>
      </c>
    </row>
    <row r="773" spans="1:25">
      <c r="A773">
        <v>110.1070647</v>
      </c>
      <c r="B773" s="2">
        <f t="shared" si="192"/>
        <v>7.8415633135339713E-4</v>
      </c>
      <c r="C773">
        <v>115.6326937</v>
      </c>
      <c r="D773" s="3">
        <f t="shared" si="193"/>
        <v>-1.4470986648042139E-2</v>
      </c>
      <c r="E773" s="3">
        <f t="shared" si="179"/>
        <v>-1.489530493317128E-2</v>
      </c>
      <c r="F773" s="3">
        <f>STDEV($E$32:E773)</f>
        <v>1.3070692805551704E-2</v>
      </c>
      <c r="G773" s="14">
        <f t="shared" si="182"/>
        <v>-1.1395956706169839</v>
      </c>
      <c r="H773" s="15">
        <f>yint($B$3:B773,$D$3:D773)</f>
        <v>2.2878510396359339E-4</v>
      </c>
      <c r="I773" s="16">
        <f>MyReg($B$3:B773,$D$3:D773)</f>
        <v>0.24935484589925019</v>
      </c>
      <c r="J773" s="17">
        <f>STDEV($D$3:D773)</f>
        <v>1.3361977128011373E-2</v>
      </c>
      <c r="K773" s="4">
        <f t="shared" si="180"/>
        <v>4.2431828512914114E-4</v>
      </c>
      <c r="L773">
        <f t="shared" si="183"/>
        <v>-1.1395956706169839</v>
      </c>
      <c r="M773">
        <f>RSQ($D$3:D773,$B$3:B773)</f>
        <v>4.9443869241077749E-2</v>
      </c>
      <c r="N773">
        <v>741</v>
      </c>
      <c r="O773" t="str">
        <f t="shared" si="181"/>
        <v/>
      </c>
      <c r="P773" t="str">
        <f t="shared" si="185"/>
        <v/>
      </c>
      <c r="Q773">
        <f t="shared" si="186"/>
        <v>0</v>
      </c>
      <c r="R773">
        <f t="shared" si="187"/>
        <v>0</v>
      </c>
      <c r="S773">
        <f t="shared" si="188"/>
        <v>0</v>
      </c>
      <c r="T773">
        <f t="shared" si="189"/>
        <v>0</v>
      </c>
      <c r="U773">
        <f t="shared" si="184"/>
        <v>0</v>
      </c>
      <c r="V773">
        <f t="shared" si="190"/>
        <v>0</v>
      </c>
      <c r="W773">
        <f t="shared" si="178"/>
        <v>0</v>
      </c>
      <c r="X773">
        <f>SUM($W$34:W773)</f>
        <v>230.5021416999999</v>
      </c>
      <c r="Y773">
        <f t="shared" si="191"/>
        <v>0</v>
      </c>
    </row>
    <row r="774" spans="1:25">
      <c r="A774">
        <v>113.1592222</v>
      </c>
      <c r="B774" s="2">
        <f t="shared" si="192"/>
        <v>2.7719906150581518E-2</v>
      </c>
      <c r="C774">
        <v>116.6163751</v>
      </c>
      <c r="D774" s="3">
        <f t="shared" si="193"/>
        <v>8.5069487575207686E-3</v>
      </c>
      <c r="E774" s="3">
        <f t="shared" si="179"/>
        <v>1.3549240894697098E-3</v>
      </c>
      <c r="F774" s="3">
        <f>STDEV($E$32:E774)</f>
        <v>1.3061963646803974E-2</v>
      </c>
      <c r="G774" s="14">
        <f t="shared" si="182"/>
        <v>0.10373050531351273</v>
      </c>
      <c r="H774" s="15">
        <f>yint($B$3:B774,$D$3:D774)</f>
        <v>2.3047566796696012E-4</v>
      </c>
      <c r="I774" s="16">
        <f>MyReg($B$3:B774,$D$3:D774)</f>
        <v>0.24969597524914044</v>
      </c>
      <c r="J774" s="17">
        <f>STDEV($D$3:D774)</f>
        <v>1.3356593242052524E-2</v>
      </c>
      <c r="K774" s="4">
        <f t="shared" si="180"/>
        <v>7.1520246680510588E-3</v>
      </c>
      <c r="L774">
        <f t="shared" si="183"/>
        <v>0.10373050531351273</v>
      </c>
      <c r="M774">
        <f>RSQ($D$3:D774,$B$3:B774)</f>
        <v>4.9897823393354614E-2</v>
      </c>
      <c r="N774">
        <v>742</v>
      </c>
      <c r="O774" t="str">
        <f t="shared" si="181"/>
        <v/>
      </c>
      <c r="P774" t="str">
        <f t="shared" si="185"/>
        <v/>
      </c>
      <c r="Q774">
        <f t="shared" si="186"/>
        <v>0</v>
      </c>
      <c r="R774">
        <f t="shared" si="187"/>
        <v>0</v>
      </c>
      <c r="S774">
        <f t="shared" si="188"/>
        <v>0</v>
      </c>
      <c r="T774">
        <f t="shared" si="189"/>
        <v>0</v>
      </c>
      <c r="U774">
        <f t="shared" si="184"/>
        <v>0</v>
      </c>
      <c r="V774">
        <f t="shared" si="190"/>
        <v>0</v>
      </c>
      <c r="W774">
        <f t="shared" si="178"/>
        <v>0</v>
      </c>
      <c r="X774">
        <f>SUM($W$34:W774)</f>
        <v>230.5021416999999</v>
      </c>
      <c r="Y774">
        <f t="shared" si="191"/>
        <v>0</v>
      </c>
    </row>
    <row r="775" spans="1:25">
      <c r="A775">
        <v>113.1331881</v>
      </c>
      <c r="B775" s="2">
        <f t="shared" si="192"/>
        <v>-2.3006609177633554E-4</v>
      </c>
      <c r="C775">
        <v>119.5615875</v>
      </c>
      <c r="D775" s="3">
        <f t="shared" si="193"/>
        <v>2.5255564644968996E-2</v>
      </c>
      <c r="E775" s="3">
        <f t="shared" si="179"/>
        <v>2.5050038844763287E-2</v>
      </c>
      <c r="F775" s="3">
        <f>STDEV($E$32:E775)</f>
        <v>1.3085185064355706E-2</v>
      </c>
      <c r="G775" s="14">
        <f t="shared" si="182"/>
        <v>1.9143817012569484</v>
      </c>
      <c r="H775" s="15">
        <f>yint($B$3:B775,$D$3:D775)</f>
        <v>2.6294821426600369E-4</v>
      </c>
      <c r="I775" s="16">
        <f>MyReg($B$3:B775,$D$3:D775)</f>
        <v>0.2495909484832762</v>
      </c>
      <c r="J775" s="17">
        <f>STDEV($D$3:D775)</f>
        <v>1.3378113500709372E-2</v>
      </c>
      <c r="K775" s="4">
        <f t="shared" si="180"/>
        <v>2.0552580020570763E-4</v>
      </c>
      <c r="L775">
        <f t="shared" si="183"/>
        <v>1.9143817012569484</v>
      </c>
      <c r="M775">
        <f>RSQ($D$3:D775,$B$3:B775)</f>
        <v>4.9631310778760894E-2</v>
      </c>
      <c r="N775">
        <v>743</v>
      </c>
      <c r="O775" t="str">
        <f t="shared" si="181"/>
        <v>sellY</v>
      </c>
      <c r="P775" t="str">
        <f t="shared" si="185"/>
        <v/>
      </c>
      <c r="Q775">
        <f t="shared" si="186"/>
        <v>10</v>
      </c>
      <c r="R775">
        <f t="shared" si="187"/>
        <v>0</v>
      </c>
      <c r="S775">
        <f t="shared" si="188"/>
        <v>-10</v>
      </c>
      <c r="T775">
        <f t="shared" si="189"/>
        <v>0</v>
      </c>
      <c r="U775">
        <f t="shared" si="184"/>
        <v>20</v>
      </c>
      <c r="V775">
        <f t="shared" si="190"/>
        <v>10</v>
      </c>
      <c r="W775">
        <f t="shared" si="178"/>
        <v>64.283994000000035</v>
      </c>
      <c r="X775">
        <f>SUM($W$34:W775)</f>
        <v>294.78613569999993</v>
      </c>
      <c r="Y775">
        <f t="shared" si="191"/>
        <v>0</v>
      </c>
    </row>
    <row r="776" spans="1:25">
      <c r="A776">
        <v>112.0745491</v>
      </c>
      <c r="B776" s="2">
        <f t="shared" si="192"/>
        <v>-9.357457504549891E-3</v>
      </c>
      <c r="C776">
        <v>120.00791700000001</v>
      </c>
      <c r="D776" s="3">
        <f t="shared" si="193"/>
        <v>3.7330509683973917E-3</v>
      </c>
      <c r="E776" s="3">
        <f t="shared" si="179"/>
        <v>5.7933064214675065E-3</v>
      </c>
      <c r="F776" s="3">
        <f>STDEV($E$32:E776)</f>
        <v>1.307803318016702E-2</v>
      </c>
      <c r="G776" s="14">
        <f t="shared" si="182"/>
        <v>0.44297994519949063</v>
      </c>
      <c r="H776" s="15">
        <f>yint($B$3:B776,$D$3:D776)</f>
        <v>2.7055928690056908E-4</v>
      </c>
      <c r="I776" s="16">
        <f>MyReg($B$3:B776,$D$3:D776)</f>
        <v>0.24908632914842183</v>
      </c>
      <c r="J776" s="17">
        <f>STDEV($D$3:D776)</f>
        <v>1.3370019988931257E-2</v>
      </c>
      <c r="K776" s="4">
        <f t="shared" si="180"/>
        <v>-2.0602554530701153E-3</v>
      </c>
      <c r="L776">
        <f t="shared" si="183"/>
        <v>0.44297994519949063</v>
      </c>
      <c r="M776">
        <f>RSQ($D$3:D776,$B$3:B776)</f>
        <v>4.9467892361971265E-2</v>
      </c>
      <c r="N776">
        <v>744</v>
      </c>
      <c r="O776" t="str">
        <f t="shared" si="181"/>
        <v/>
      </c>
      <c r="P776" t="str">
        <f t="shared" si="185"/>
        <v>close</v>
      </c>
      <c r="Q776">
        <f t="shared" si="186"/>
        <v>0</v>
      </c>
      <c r="R776">
        <f t="shared" si="187"/>
        <v>0</v>
      </c>
      <c r="S776">
        <f t="shared" si="188"/>
        <v>0</v>
      </c>
      <c r="T776">
        <f t="shared" si="189"/>
        <v>0</v>
      </c>
      <c r="U776">
        <f t="shared" si="184"/>
        <v>0</v>
      </c>
      <c r="V776">
        <f t="shared" si="190"/>
        <v>-10</v>
      </c>
      <c r="W776">
        <f t="shared" si="178"/>
        <v>-79.333679000000075</v>
      </c>
      <c r="X776">
        <f>SUM($W$34:W776)</f>
        <v>215.45245669999986</v>
      </c>
      <c r="Y776">
        <f t="shared" si="191"/>
        <v>215.45245669999986</v>
      </c>
    </row>
    <row r="777" spans="1:25">
      <c r="A777">
        <v>113.6298096</v>
      </c>
      <c r="B777" s="2">
        <f t="shared" si="192"/>
        <v>1.3877017685900311E-2</v>
      </c>
      <c r="C777">
        <v>119.19040339999999</v>
      </c>
      <c r="D777" s="3">
        <f t="shared" si="193"/>
        <v>-6.8121639008200787E-3</v>
      </c>
      <c r="E777" s="3">
        <f t="shared" si="179"/>
        <v>-1.0507929058411363E-2</v>
      </c>
      <c r="F777" s="3">
        <f>STDEV($E$32:E777)</f>
        <v>1.3075065760503985E-2</v>
      </c>
      <c r="G777" s="14">
        <f t="shared" si="182"/>
        <v>-0.80366166036065356</v>
      </c>
      <c r="H777" s="15">
        <f>yint($B$3:B777,$D$3:D777)</f>
        <v>2.5726776440948063E-4</v>
      </c>
      <c r="I777" s="16">
        <f>MyReg($B$3:B777,$D$3:D777)</f>
        <v>0.24778359954642676</v>
      </c>
      <c r="J777" s="17">
        <f>STDEV($D$3:D777)</f>
        <v>1.3363839614014484E-2</v>
      </c>
      <c r="K777" s="4">
        <f t="shared" si="180"/>
        <v>3.6957651575912848E-3</v>
      </c>
      <c r="L777">
        <f t="shared" si="183"/>
        <v>-0.80366166036065356</v>
      </c>
      <c r="M777">
        <f>RSQ($D$3:D777,$B$3:B777)</f>
        <v>4.901654643798975E-2</v>
      </c>
      <c r="N777">
        <v>745</v>
      </c>
      <c r="O777" t="str">
        <f t="shared" si="181"/>
        <v/>
      </c>
      <c r="P777" t="str">
        <f t="shared" si="185"/>
        <v/>
      </c>
      <c r="Q777">
        <f t="shared" si="186"/>
        <v>0</v>
      </c>
      <c r="R777">
        <f t="shared" si="187"/>
        <v>0</v>
      </c>
      <c r="S777">
        <f t="shared" si="188"/>
        <v>0</v>
      </c>
      <c r="T777">
        <f t="shared" si="189"/>
        <v>0</v>
      </c>
      <c r="U777">
        <f t="shared" si="184"/>
        <v>0</v>
      </c>
      <c r="V777">
        <f t="shared" si="190"/>
        <v>0</v>
      </c>
      <c r="W777">
        <f t="shared" si="178"/>
        <v>0</v>
      </c>
      <c r="X777">
        <f>SUM($W$34:W777)</f>
        <v>215.45245669999986</v>
      </c>
      <c r="Y777">
        <f t="shared" si="191"/>
        <v>0</v>
      </c>
    </row>
    <row r="778" spans="1:25">
      <c r="A778">
        <v>114.86448040000001</v>
      </c>
      <c r="B778" s="2">
        <f t="shared" si="192"/>
        <v>1.0865729726612193E-2</v>
      </c>
      <c r="C778">
        <v>121.3437534</v>
      </c>
      <c r="D778" s="3">
        <f t="shared" si="193"/>
        <v>1.8066471281025998E-2</v>
      </c>
      <c r="E778" s="3">
        <f t="shared" si="179"/>
        <v>1.5081951689740396E-2</v>
      </c>
      <c r="F778" s="3">
        <f>STDEV($E$32:E778)</f>
        <v>1.3077753831400751E-2</v>
      </c>
      <c r="G778" s="14">
        <f t="shared" si="182"/>
        <v>1.1532524533018356</v>
      </c>
      <c r="H778" s="15">
        <f>yint($B$3:B778,$D$3:D778)</f>
        <v>2.7638536799221361E-4</v>
      </c>
      <c r="I778" s="16">
        <f>MyReg($B$3:B778,$D$3:D778)</f>
        <v>0.24923629534615274</v>
      </c>
      <c r="J778" s="17">
        <f>STDEV($D$3:D778)</f>
        <v>1.3370407928298888E-2</v>
      </c>
      <c r="K778" s="4">
        <f t="shared" si="180"/>
        <v>2.9845195912856018E-3</v>
      </c>
      <c r="L778">
        <f t="shared" si="183"/>
        <v>1.1532524533018356</v>
      </c>
      <c r="M778">
        <f>RSQ($D$3:D778,$B$3:B778)</f>
        <v>4.9530928814564397E-2</v>
      </c>
      <c r="N778">
        <v>746</v>
      </c>
      <c r="O778" t="str">
        <f t="shared" si="181"/>
        <v/>
      </c>
      <c r="P778" t="str">
        <f t="shared" si="185"/>
        <v/>
      </c>
      <c r="Q778">
        <f t="shared" si="186"/>
        <v>0</v>
      </c>
      <c r="R778">
        <f t="shared" si="187"/>
        <v>0</v>
      </c>
      <c r="S778">
        <f t="shared" si="188"/>
        <v>0</v>
      </c>
      <c r="T778">
        <f t="shared" si="189"/>
        <v>0</v>
      </c>
      <c r="U778">
        <f t="shared" si="184"/>
        <v>0</v>
      </c>
      <c r="V778">
        <f t="shared" si="190"/>
        <v>0</v>
      </c>
      <c r="W778">
        <f t="shared" si="178"/>
        <v>0</v>
      </c>
      <c r="X778">
        <f>SUM($W$34:W778)</f>
        <v>215.45245669999986</v>
      </c>
      <c r="Y778">
        <f t="shared" si="191"/>
        <v>0</v>
      </c>
    </row>
    <row r="779" spans="1:25">
      <c r="A779">
        <v>114.2908942</v>
      </c>
      <c r="B779" s="2">
        <f t="shared" si="192"/>
        <v>-4.9935906905474343E-3</v>
      </c>
      <c r="C779">
        <v>121.80838730000001</v>
      </c>
      <c r="D779" s="3">
        <f t="shared" si="193"/>
        <v>3.8290714353328196E-3</v>
      </c>
      <c r="E779" s="3">
        <f t="shared" si="179"/>
        <v>4.7899054716315451E-3</v>
      </c>
      <c r="F779" s="3">
        <f>STDEV($E$32:E779)</f>
        <v>1.3070100697260219E-2</v>
      </c>
      <c r="G779" s="14">
        <f t="shared" si="182"/>
        <v>0.36647808479666988</v>
      </c>
      <c r="H779" s="15">
        <f>yint($B$3:B779,$D$3:D779)</f>
        <v>2.8261471767845983E-4</v>
      </c>
      <c r="I779" s="16">
        <f>MyReg($B$3:B779,$D$3:D779)</f>
        <v>0.24900894587354919</v>
      </c>
      <c r="J779" s="17">
        <f>STDEV($D$3:D779)</f>
        <v>1.3362376919145422E-2</v>
      </c>
      <c r="K779" s="4">
        <f t="shared" si="180"/>
        <v>-9.6083403629872535E-4</v>
      </c>
      <c r="L779">
        <f t="shared" si="183"/>
        <v>0.36647808479666988</v>
      </c>
      <c r="M779">
        <f>RSQ($D$3:D779,$B$3:B779)</f>
        <v>4.9448553263828542E-2</v>
      </c>
      <c r="N779">
        <v>747</v>
      </c>
      <c r="O779" t="str">
        <f t="shared" si="181"/>
        <v/>
      </c>
      <c r="P779" t="str">
        <f t="shared" si="185"/>
        <v/>
      </c>
      <c r="Q779">
        <f t="shared" si="186"/>
        <v>0</v>
      </c>
      <c r="R779">
        <f t="shared" si="187"/>
        <v>0</v>
      </c>
      <c r="S779">
        <f t="shared" si="188"/>
        <v>0</v>
      </c>
      <c r="T779">
        <f t="shared" si="189"/>
        <v>0</v>
      </c>
      <c r="U779">
        <f t="shared" si="184"/>
        <v>0</v>
      </c>
      <c r="V779">
        <f t="shared" si="190"/>
        <v>0</v>
      </c>
      <c r="W779">
        <f t="shared" si="178"/>
        <v>0</v>
      </c>
      <c r="X779">
        <f>SUM($W$34:W779)</f>
        <v>215.45245669999986</v>
      </c>
      <c r="Y779">
        <f t="shared" si="191"/>
        <v>0</v>
      </c>
    </row>
    <row r="780" spans="1:25">
      <c r="A780">
        <v>114.0477836</v>
      </c>
      <c r="B780" s="2">
        <f t="shared" si="192"/>
        <v>-2.1271213398205637E-3</v>
      </c>
      <c r="C780">
        <v>121.957105</v>
      </c>
      <c r="D780" s="3">
        <f t="shared" si="193"/>
        <v>1.2209151052440846E-3</v>
      </c>
      <c r="E780" s="3">
        <f t="shared" si="179"/>
        <v>1.4660113395678102E-3</v>
      </c>
      <c r="F780" s="3">
        <f>STDEV($E$32:E780)</f>
        <v>1.3061449384628597E-2</v>
      </c>
      <c r="G780" s="14">
        <f t="shared" si="182"/>
        <v>0.11223956058759373</v>
      </c>
      <c r="H780" s="15">
        <f>yint($B$3:B780,$D$3:D780)</f>
        <v>2.8450911902604733E-4</v>
      </c>
      <c r="I780" s="16">
        <f>MyReg($B$3:B780,$D$3:D780)</f>
        <v>0.24897749998335714</v>
      </c>
      <c r="J780" s="17">
        <f>STDEV($D$3:D780)</f>
        <v>1.3353812534000389E-2</v>
      </c>
      <c r="K780" s="4">
        <f t="shared" si="180"/>
        <v>-2.4509623432372566E-4</v>
      </c>
      <c r="L780">
        <f t="shared" si="183"/>
        <v>0.11223956058759373</v>
      </c>
      <c r="M780">
        <f>RSQ($D$3:D780,$B$3:B780)</f>
        <v>4.9438300448337781E-2</v>
      </c>
      <c r="N780">
        <v>748</v>
      </c>
      <c r="O780" t="str">
        <f t="shared" si="181"/>
        <v/>
      </c>
      <c r="P780" t="str">
        <f t="shared" si="185"/>
        <v/>
      </c>
      <c r="Q780">
        <f t="shared" si="186"/>
        <v>0</v>
      </c>
      <c r="R780">
        <f t="shared" si="187"/>
        <v>0</v>
      </c>
      <c r="S780">
        <f t="shared" si="188"/>
        <v>0</v>
      </c>
      <c r="T780">
        <f t="shared" si="189"/>
        <v>0</v>
      </c>
      <c r="U780">
        <f t="shared" si="184"/>
        <v>0</v>
      </c>
      <c r="V780">
        <f t="shared" si="190"/>
        <v>0</v>
      </c>
      <c r="W780">
        <f t="shared" ref="W780:W843" si="194">IF(ABS(V780)&gt;0,V780*(C780-A780),0)</f>
        <v>0</v>
      </c>
      <c r="X780">
        <f>SUM($W$34:W780)</f>
        <v>215.45245669999986</v>
      </c>
      <c r="Y780">
        <f t="shared" si="191"/>
        <v>0</v>
      </c>
    </row>
    <row r="781" spans="1:25">
      <c r="A781">
        <v>115.53395089999999</v>
      </c>
      <c r="B781" s="2">
        <f t="shared" si="192"/>
        <v>1.3031093223279361E-2</v>
      </c>
      <c r="C781">
        <v>123.98762259999999</v>
      </c>
      <c r="D781" s="3">
        <f t="shared" si="193"/>
        <v>1.6649440801337453E-2</v>
      </c>
      <c r="E781" s="3">
        <f t="shared" si="179"/>
        <v>1.3084292095863488E-2</v>
      </c>
      <c r="F781" s="3">
        <f>STDEV($E$32:E781)</f>
        <v>1.3061264685699374E-2</v>
      </c>
      <c r="G781" s="14">
        <f t="shared" si="182"/>
        <v>1.0017630306649652</v>
      </c>
      <c r="H781" s="15">
        <f>yint($B$3:B781,$D$3:D781)</f>
        <v>3.0096348117682431E-4</v>
      </c>
      <c r="I781" s="16">
        <f>MyReg($B$3:B781,$D$3:D781)</f>
        <v>0.25049204762543226</v>
      </c>
      <c r="J781" s="17">
        <f>STDEV($D$3:D781)</f>
        <v>1.3358008186404161E-2</v>
      </c>
      <c r="K781" s="4">
        <f t="shared" si="180"/>
        <v>3.5651487054739655E-3</v>
      </c>
      <c r="L781">
        <f t="shared" si="183"/>
        <v>1.0017630306649652</v>
      </c>
      <c r="M781">
        <f>RSQ($D$3:D781,$B$3:B781)</f>
        <v>5.0019747671376895E-2</v>
      </c>
      <c r="N781">
        <v>749</v>
      </c>
      <c r="O781" t="str">
        <f t="shared" si="181"/>
        <v/>
      </c>
      <c r="P781" t="str">
        <f t="shared" si="185"/>
        <v/>
      </c>
      <c r="Q781">
        <f t="shared" si="186"/>
        <v>0</v>
      </c>
      <c r="R781">
        <f t="shared" si="187"/>
        <v>0</v>
      </c>
      <c r="S781">
        <f t="shared" si="188"/>
        <v>0</v>
      </c>
      <c r="T781">
        <f t="shared" si="189"/>
        <v>0</v>
      </c>
      <c r="U781">
        <f t="shared" si="184"/>
        <v>0</v>
      </c>
      <c r="V781">
        <f t="shared" si="190"/>
        <v>0</v>
      </c>
      <c r="W781">
        <f t="shared" si="194"/>
        <v>0</v>
      </c>
      <c r="X781">
        <f>SUM($W$34:W781)</f>
        <v>215.45245669999986</v>
      </c>
      <c r="Y781">
        <f t="shared" si="191"/>
        <v>0</v>
      </c>
    </row>
    <row r="782" spans="1:25">
      <c r="A782">
        <v>116.59197810000001</v>
      </c>
      <c r="B782" s="2">
        <f t="shared" si="192"/>
        <v>9.1577167729318277E-3</v>
      </c>
      <c r="C782">
        <v>122.70319189999999</v>
      </c>
      <c r="D782" s="3">
        <f t="shared" si="193"/>
        <v>-1.0359346143314159E-2</v>
      </c>
      <c r="E782" s="3">
        <f t="shared" si="179"/>
        <v>-1.2928392477458847E-2</v>
      </c>
      <c r="F782" s="3">
        <f>STDEV($E$32:E782)</f>
        <v>1.3061303319562923E-2</v>
      </c>
      <c r="G782" s="14">
        <f t="shared" si="182"/>
        <v>-0.98982407506722514</v>
      </c>
      <c r="H782" s="15">
        <f>yint($B$3:B782,$D$3:D782)</f>
        <v>2.84633988309986E-4</v>
      </c>
      <c r="I782" s="16">
        <f>MyReg($B$3:B782,$D$3:D782)</f>
        <v>0.24945217268423464</v>
      </c>
      <c r="J782" s="17">
        <f>STDEV($D$3:D782)</f>
        <v>1.3354953410007978E-2</v>
      </c>
      <c r="K782" s="4">
        <f t="shared" si="180"/>
        <v>2.5690463341446887E-3</v>
      </c>
      <c r="L782">
        <f t="shared" si="183"/>
        <v>-0.98982407506722514</v>
      </c>
      <c r="M782">
        <f>RSQ($D$3:D782,$B$3:B782)</f>
        <v>4.9599741901531838E-2</v>
      </c>
      <c r="N782">
        <v>750</v>
      </c>
      <c r="O782" t="str">
        <f t="shared" si="181"/>
        <v/>
      </c>
      <c r="P782" t="str">
        <f t="shared" si="185"/>
        <v/>
      </c>
      <c r="Q782">
        <f t="shared" si="186"/>
        <v>0</v>
      </c>
      <c r="R782">
        <f t="shared" si="187"/>
        <v>0</v>
      </c>
      <c r="S782">
        <f t="shared" si="188"/>
        <v>0</v>
      </c>
      <c r="T782">
        <f t="shared" si="189"/>
        <v>0</v>
      </c>
      <c r="U782">
        <f t="shared" si="184"/>
        <v>0</v>
      </c>
      <c r="V782">
        <f t="shared" si="190"/>
        <v>0</v>
      </c>
      <c r="W782">
        <f t="shared" si="194"/>
        <v>0</v>
      </c>
      <c r="X782">
        <f>SUM($W$34:W782)</f>
        <v>215.45245669999986</v>
      </c>
      <c r="Y782">
        <f t="shared" si="191"/>
        <v>0</v>
      </c>
    </row>
    <row r="783" spans="1:25">
      <c r="A783">
        <v>116.2178888</v>
      </c>
      <c r="B783" s="2">
        <f t="shared" si="192"/>
        <v>-3.2085337781914561E-3</v>
      </c>
      <c r="C783">
        <v>123.39697169999999</v>
      </c>
      <c r="D783" s="3">
        <f t="shared" si="193"/>
        <v>5.6541300128966042E-3</v>
      </c>
      <c r="E783" s="3">
        <f t="shared" si="179"/>
        <v>6.1613002918472961E-3</v>
      </c>
      <c r="F783" s="3">
        <f>STDEV($E$32:E783)</f>
        <v>1.3054443193267958E-2</v>
      </c>
      <c r="G783" s="14">
        <f t="shared" si="182"/>
        <v>0.47196959691276724</v>
      </c>
      <c r="H783" s="15">
        <f>yint($B$3:B783,$D$3:D783)</f>
        <v>2.9258489197948916E-4</v>
      </c>
      <c r="I783" s="16">
        <f>MyReg($B$3:B783,$D$3:D783)</f>
        <v>0.24925876622093004</v>
      </c>
      <c r="J783" s="17">
        <f>STDEV($D$3:D783)</f>
        <v>1.3347738526065073E-2</v>
      </c>
      <c r="K783" s="4">
        <f t="shared" si="180"/>
        <v>-5.0717027895069234E-4</v>
      </c>
      <c r="L783">
        <f t="shared" si="183"/>
        <v>0.47196959691276724</v>
      </c>
      <c r="M783">
        <f>RSQ($D$3:D783,$B$3:B783)</f>
        <v>4.9518248445180879E-2</v>
      </c>
      <c r="N783">
        <v>751</v>
      </c>
      <c r="O783" t="str">
        <f t="shared" si="181"/>
        <v/>
      </c>
      <c r="P783" t="str">
        <f t="shared" si="185"/>
        <v/>
      </c>
      <c r="Q783">
        <f t="shared" si="186"/>
        <v>0</v>
      </c>
      <c r="R783">
        <f t="shared" si="187"/>
        <v>0</v>
      </c>
      <c r="S783">
        <f t="shared" si="188"/>
        <v>0</v>
      </c>
      <c r="T783">
        <f t="shared" si="189"/>
        <v>0</v>
      </c>
      <c r="U783">
        <f t="shared" si="184"/>
        <v>0</v>
      </c>
      <c r="V783">
        <f t="shared" si="190"/>
        <v>0</v>
      </c>
      <c r="W783">
        <f t="shared" si="194"/>
        <v>0</v>
      </c>
      <c r="X783">
        <f>SUM($W$34:W783)</f>
        <v>215.45245669999986</v>
      </c>
      <c r="Y783">
        <f t="shared" si="191"/>
        <v>0</v>
      </c>
    </row>
    <row r="784" spans="1:25">
      <c r="A784">
        <v>115.9838022</v>
      </c>
      <c r="B784" s="2">
        <f t="shared" si="192"/>
        <v>-2.0142045464518685E-3</v>
      </c>
      <c r="C784">
        <v>122.3494555</v>
      </c>
      <c r="D784" s="3">
        <f t="shared" si="193"/>
        <v>-8.4889943859131987E-3</v>
      </c>
      <c r="E784" s="3">
        <f t="shared" si="179"/>
        <v>-8.2685467481604207E-3</v>
      </c>
      <c r="F784" s="3">
        <f>STDEV($E$32:E784)</f>
        <v>1.3049376776585672E-2</v>
      </c>
      <c r="G784" s="14">
        <f t="shared" si="182"/>
        <v>-0.63363537506224565</v>
      </c>
      <c r="H784" s="15">
        <f>yint($B$3:B784,$D$3:D784)</f>
        <v>2.8195298092922931E-4</v>
      </c>
      <c r="I784" s="16">
        <f>MyReg($B$3:B784,$D$3:D784)</f>
        <v>0.24942879786812788</v>
      </c>
      <c r="J784" s="17">
        <f>STDEV($D$3:D784)</f>
        <v>1.334294184943547E-2</v>
      </c>
      <c r="K784" s="4">
        <f t="shared" si="180"/>
        <v>-2.2044763775277797E-4</v>
      </c>
      <c r="L784">
        <f t="shared" si="183"/>
        <v>-0.63363537506224565</v>
      </c>
      <c r="M784">
        <f>RSQ($D$3:D784,$B$3:B784)</f>
        <v>4.9560269211348797E-2</v>
      </c>
      <c r="N784">
        <v>752</v>
      </c>
      <c r="O784" t="str">
        <f t="shared" si="181"/>
        <v/>
      </c>
      <c r="P784" t="str">
        <f t="shared" si="185"/>
        <v/>
      </c>
      <c r="Q784">
        <f t="shared" si="186"/>
        <v>0</v>
      </c>
      <c r="R784">
        <f t="shared" si="187"/>
        <v>0</v>
      </c>
      <c r="S784">
        <f t="shared" si="188"/>
        <v>0</v>
      </c>
      <c r="T784">
        <f t="shared" si="189"/>
        <v>0</v>
      </c>
      <c r="U784">
        <f t="shared" si="184"/>
        <v>0</v>
      </c>
      <c r="V784">
        <f t="shared" si="190"/>
        <v>0</v>
      </c>
      <c r="W784">
        <f t="shared" si="194"/>
        <v>0</v>
      </c>
      <c r="X784">
        <f>SUM($W$34:W784)</f>
        <v>215.45245669999986</v>
      </c>
      <c r="Y784">
        <f t="shared" si="191"/>
        <v>0</v>
      </c>
    </row>
    <row r="785" spans="1:25">
      <c r="A785">
        <v>119.0843919</v>
      </c>
      <c r="B785" s="2">
        <f t="shared" si="192"/>
        <v>2.6732954440081294E-2</v>
      </c>
      <c r="C785">
        <v>123.8944036</v>
      </c>
      <c r="D785" s="3">
        <f t="shared" si="193"/>
        <v>1.2627339399969779E-2</v>
      </c>
      <c r="E785" s="3">
        <f t="shared" si="179"/>
        <v>5.6345627833112389E-3</v>
      </c>
      <c r="F785" s="3">
        <f>STDEV($E$32:E785)</f>
        <v>1.3042238556071681E-2</v>
      </c>
      <c r="G785" s="14">
        <f t="shared" si="182"/>
        <v>0.43202420804426445</v>
      </c>
      <c r="H785" s="15">
        <f>yint($B$3:B785,$D$3:D785)</f>
        <v>2.888075380593303E-4</v>
      </c>
      <c r="I785" s="16">
        <f>MyReg($B$3:B785,$D$3:D785)</f>
        <v>0.25077546492758035</v>
      </c>
      <c r="J785" s="17">
        <f>STDEV($D$3:D785)</f>
        <v>1.3341627927809926E-2</v>
      </c>
      <c r="K785" s="4">
        <f t="shared" si="180"/>
        <v>6.9927766166585402E-3</v>
      </c>
      <c r="L785">
        <f t="shared" si="183"/>
        <v>0.43202420804426445</v>
      </c>
      <c r="M785">
        <f>RSQ($D$3:D785,$B$3:B785)</f>
        <v>5.035887204178377E-2</v>
      </c>
      <c r="N785">
        <v>753</v>
      </c>
      <c r="O785" t="str">
        <f t="shared" si="181"/>
        <v/>
      </c>
      <c r="P785" t="str">
        <f t="shared" si="185"/>
        <v/>
      </c>
      <c r="Q785">
        <f t="shared" si="186"/>
        <v>0</v>
      </c>
      <c r="R785">
        <f t="shared" si="187"/>
        <v>0</v>
      </c>
      <c r="S785">
        <f t="shared" si="188"/>
        <v>0</v>
      </c>
      <c r="T785">
        <f t="shared" si="189"/>
        <v>0</v>
      </c>
      <c r="U785">
        <f t="shared" si="184"/>
        <v>0</v>
      </c>
      <c r="V785">
        <f t="shared" si="190"/>
        <v>0</v>
      </c>
      <c r="W785">
        <f t="shared" si="194"/>
        <v>0</v>
      </c>
      <c r="X785">
        <f>SUM($W$34:W785)</f>
        <v>215.45245669999986</v>
      </c>
      <c r="Y785">
        <f t="shared" si="191"/>
        <v>0</v>
      </c>
    </row>
    <row r="786" spans="1:25">
      <c r="A786">
        <v>118.1677746</v>
      </c>
      <c r="B786" s="2">
        <f t="shared" si="192"/>
        <v>-7.6972077144225534E-3</v>
      </c>
      <c r="C786">
        <v>123.6426122</v>
      </c>
      <c r="D786" s="3">
        <f t="shared" si="193"/>
        <v>-2.0323064858758632E-3</v>
      </c>
      <c r="E786" s="3">
        <f t="shared" si="179"/>
        <v>-3.901214171055027E-4</v>
      </c>
      <c r="F786" s="3">
        <f>STDEV($E$32:E786)</f>
        <v>1.3033602206410122E-2</v>
      </c>
      <c r="G786" s="14">
        <f t="shared" si="182"/>
        <v>-2.9931972061694127E-2</v>
      </c>
      <c r="H786" s="15">
        <f>yint($B$3:B786,$D$3:D786)</f>
        <v>2.8830106763470082E-4</v>
      </c>
      <c r="I786" s="16">
        <f>MyReg($B$3:B786,$D$3:D786)</f>
        <v>0.25080343522337789</v>
      </c>
      <c r="J786" s="17">
        <f>STDEV($D$3:D786)</f>
        <v>1.333337999297079E-2</v>
      </c>
      <c r="K786" s="4">
        <f t="shared" si="180"/>
        <v>-1.6421850687703605E-3</v>
      </c>
      <c r="L786">
        <f t="shared" si="183"/>
        <v>-2.9931972061694127E-2</v>
      </c>
      <c r="M786">
        <f>RSQ($D$3:D786,$B$3:B786)</f>
        <v>5.0396855547542162E-2</v>
      </c>
      <c r="N786">
        <v>754</v>
      </c>
      <c r="O786" t="str">
        <f t="shared" si="181"/>
        <v/>
      </c>
      <c r="P786" t="str">
        <f t="shared" si="185"/>
        <v/>
      </c>
      <c r="Q786">
        <f t="shared" si="186"/>
        <v>0</v>
      </c>
      <c r="R786">
        <f t="shared" si="187"/>
        <v>0</v>
      </c>
      <c r="S786">
        <f t="shared" si="188"/>
        <v>0</v>
      </c>
      <c r="T786">
        <f t="shared" si="189"/>
        <v>0</v>
      </c>
      <c r="U786">
        <f t="shared" si="184"/>
        <v>0</v>
      </c>
      <c r="V786">
        <f t="shared" si="190"/>
        <v>0</v>
      </c>
      <c r="W786">
        <f t="shared" si="194"/>
        <v>0</v>
      </c>
      <c r="X786">
        <f>SUM($W$34:W786)</f>
        <v>215.45245669999986</v>
      </c>
      <c r="Y786">
        <f t="shared" si="191"/>
        <v>0</v>
      </c>
    </row>
    <row r="787" spans="1:25">
      <c r="A787">
        <v>117.6420621</v>
      </c>
      <c r="B787" s="2">
        <f t="shared" si="192"/>
        <v>-4.4488651984819329E-3</v>
      </c>
      <c r="C787">
        <v>123.30375050000001</v>
      </c>
      <c r="D787" s="3">
        <f t="shared" si="193"/>
        <v>-2.7406546494817209E-3</v>
      </c>
      <c r="E787" s="3">
        <f t="shared" si="179"/>
        <v>-1.9103446738020912E-3</v>
      </c>
      <c r="F787" s="3">
        <f>STDEV($E$32:E787)</f>
        <v>1.3025184721515615E-2</v>
      </c>
      <c r="G787" s="14">
        <f t="shared" si="182"/>
        <v>-0.1466654573156643</v>
      </c>
      <c r="H787" s="15">
        <f>yint($B$3:B787,$D$3:D787)</f>
        <v>2.8584137243245229E-4</v>
      </c>
      <c r="I787" s="16">
        <f>MyReg($B$3:B787,$D$3:D787)</f>
        <v>0.25088450611921026</v>
      </c>
      <c r="J787" s="17">
        <f>STDEV($D$3:D787)</f>
        <v>1.3325333269400472E-2</v>
      </c>
      <c r="K787" s="4">
        <f t="shared" si="180"/>
        <v>-8.3030997567962975E-4</v>
      </c>
      <c r="L787">
        <f t="shared" si="183"/>
        <v>-0.1466654573156643</v>
      </c>
      <c r="M787">
        <f>RSQ($D$3:D787,$B$3:B787)</f>
        <v>5.043608004032453E-2</v>
      </c>
      <c r="N787">
        <v>755</v>
      </c>
      <c r="O787" t="str">
        <f t="shared" si="181"/>
        <v/>
      </c>
      <c r="P787" t="str">
        <f t="shared" si="185"/>
        <v/>
      </c>
      <c r="Q787">
        <f t="shared" si="186"/>
        <v>0</v>
      </c>
      <c r="R787">
        <f t="shared" si="187"/>
        <v>0</v>
      </c>
      <c r="S787">
        <f t="shared" si="188"/>
        <v>0</v>
      </c>
      <c r="T787">
        <f t="shared" si="189"/>
        <v>0</v>
      </c>
      <c r="U787">
        <f t="shared" si="184"/>
        <v>0</v>
      </c>
      <c r="V787">
        <f t="shared" si="190"/>
        <v>0</v>
      </c>
      <c r="W787">
        <f t="shared" si="194"/>
        <v>0</v>
      </c>
      <c r="X787">
        <f>SUM($W$34:W787)</f>
        <v>215.45245669999986</v>
      </c>
      <c r="Y787">
        <f t="shared" si="191"/>
        <v>0</v>
      </c>
    </row>
    <row r="788" spans="1:25">
      <c r="A788">
        <v>117.9207179</v>
      </c>
      <c r="B788" s="2">
        <f t="shared" si="192"/>
        <v>2.3686749027157328E-3</v>
      </c>
      <c r="C788">
        <v>122.662278</v>
      </c>
      <c r="D788" s="3">
        <f t="shared" si="193"/>
        <v>-5.2023762245577932E-3</v>
      </c>
      <c r="E788" s="3">
        <f t="shared" si="179"/>
        <v>-6.0745051972536318E-3</v>
      </c>
      <c r="F788" s="3">
        <f>STDEV($E$32:E788)</f>
        <v>1.3018535542087283E-2</v>
      </c>
      <c r="G788" s="14">
        <f t="shared" si="182"/>
        <v>-0.46660434098870207</v>
      </c>
      <c r="H788" s="15">
        <f>yint($B$3:B788,$D$3:D788)</f>
        <v>2.7813480501062715E-4</v>
      </c>
      <c r="I788" s="16">
        <f>MyReg($B$3:B788,$D$3:D788)</f>
        <v>0.25077065958025119</v>
      </c>
      <c r="J788" s="17">
        <f>STDEV($D$3:D788)</f>
        <v>1.3318318647274034E-2</v>
      </c>
      <c r="K788" s="4">
        <f t="shared" si="180"/>
        <v>8.7212897269583881E-4</v>
      </c>
      <c r="L788">
        <f t="shared" si="183"/>
        <v>-0.46660434098870207</v>
      </c>
      <c r="M788">
        <f>RSQ($D$3:D788,$B$3:B788)</f>
        <v>5.0381123005663886E-2</v>
      </c>
      <c r="N788">
        <v>756</v>
      </c>
      <c r="O788" t="str">
        <f t="shared" si="181"/>
        <v/>
      </c>
      <c r="P788" t="str">
        <f t="shared" si="185"/>
        <v/>
      </c>
      <c r="Q788">
        <f t="shared" si="186"/>
        <v>0</v>
      </c>
      <c r="R788">
        <f t="shared" si="187"/>
        <v>0</v>
      </c>
      <c r="S788">
        <f t="shared" si="188"/>
        <v>0</v>
      </c>
      <c r="T788">
        <f t="shared" si="189"/>
        <v>0</v>
      </c>
      <c r="U788">
        <f t="shared" si="184"/>
        <v>0</v>
      </c>
      <c r="V788">
        <f t="shared" si="190"/>
        <v>0</v>
      </c>
      <c r="W788">
        <f t="shared" si="194"/>
        <v>0</v>
      </c>
      <c r="X788">
        <f>SUM($W$34:W788)</f>
        <v>215.45245669999986</v>
      </c>
      <c r="Y788">
        <f t="shared" si="191"/>
        <v>0</v>
      </c>
    </row>
    <row r="789" spans="1:25">
      <c r="A789">
        <v>119.1551059</v>
      </c>
      <c r="B789" s="2">
        <f t="shared" si="192"/>
        <v>1.0467948482528664E-2</v>
      </c>
      <c r="C789">
        <v>122.627161</v>
      </c>
      <c r="D789" s="3">
        <f t="shared" si="193"/>
        <v>-2.8629013395625687E-4</v>
      </c>
      <c r="E789" s="3">
        <f t="shared" si="179"/>
        <v>-3.18246964474937E-3</v>
      </c>
      <c r="F789" s="3">
        <f>STDEV($E$32:E789)</f>
        <v>1.3010495457971963E-2</v>
      </c>
      <c r="G789" s="14">
        <f t="shared" si="182"/>
        <v>-0.24460787485224977</v>
      </c>
      <c r="H789" s="15">
        <f>yint($B$3:B789,$D$3:D789)</f>
        <v>2.7416744546848607E-4</v>
      </c>
      <c r="I789" s="16">
        <f>MyReg($B$3:B789,$D$3:D789)</f>
        <v>0.25048003146947539</v>
      </c>
      <c r="J789" s="17">
        <f>STDEV($D$3:D789)</f>
        <v>1.330986297434803E-2</v>
      </c>
      <c r="K789" s="4">
        <f t="shared" si="180"/>
        <v>2.8961795107931131E-3</v>
      </c>
      <c r="L789">
        <f t="shared" si="183"/>
        <v>-0.24460787485224977</v>
      </c>
      <c r="M789">
        <f>RSQ($D$3:D789,$B$3:B789)</f>
        <v>5.0310970135484703E-2</v>
      </c>
      <c r="N789">
        <v>757</v>
      </c>
      <c r="O789" t="str">
        <f t="shared" si="181"/>
        <v/>
      </c>
      <c r="P789" t="str">
        <f t="shared" si="185"/>
        <v/>
      </c>
      <c r="Q789">
        <f t="shared" si="186"/>
        <v>0</v>
      </c>
      <c r="R789">
        <f t="shared" si="187"/>
        <v>0</v>
      </c>
      <c r="S789">
        <f t="shared" si="188"/>
        <v>0</v>
      </c>
      <c r="T789">
        <f t="shared" si="189"/>
        <v>0</v>
      </c>
      <c r="U789">
        <f t="shared" si="184"/>
        <v>0</v>
      </c>
      <c r="V789">
        <f t="shared" si="190"/>
        <v>0</v>
      </c>
      <c r="W789">
        <f t="shared" si="194"/>
        <v>0</v>
      </c>
      <c r="X789">
        <f>SUM($W$34:W789)</f>
        <v>215.45245669999986</v>
      </c>
      <c r="Y789">
        <f t="shared" si="191"/>
        <v>0</v>
      </c>
    </row>
    <row r="790" spans="1:25">
      <c r="A790">
        <v>120.97813720000001</v>
      </c>
      <c r="B790" s="2">
        <f t="shared" si="192"/>
        <v>1.5299649026622291E-2</v>
      </c>
      <c r="C790">
        <v>121.8845705</v>
      </c>
      <c r="D790" s="3">
        <f t="shared" si="193"/>
        <v>-6.0556771757930995E-3</v>
      </c>
      <c r="E790" s="3">
        <f t="shared" si="179"/>
        <v>-1.012880420513826E-2</v>
      </c>
      <c r="F790" s="3">
        <f>STDEV($E$32:E790)</f>
        <v>1.3007253241133328E-2</v>
      </c>
      <c r="G790" s="14">
        <f t="shared" si="182"/>
        <v>-0.77870431346009006</v>
      </c>
      <c r="H790" s="15">
        <f>yint($B$3:B790,$D$3:D790)</f>
        <v>2.6169704466707145E-4</v>
      </c>
      <c r="I790" s="16">
        <f>MyReg($B$3:B790,$D$3:D790)</f>
        <v>0.24911878553854253</v>
      </c>
      <c r="J790" s="17">
        <f>STDEV($D$3:D790)</f>
        <v>1.3303360061719387E-2</v>
      </c>
      <c r="K790" s="4">
        <f t="shared" si="180"/>
        <v>4.073127029345161E-3</v>
      </c>
      <c r="L790">
        <f t="shared" si="183"/>
        <v>-0.77870431346009006</v>
      </c>
      <c r="M790">
        <f>RSQ($D$3:D790,$B$3:B790)</f>
        <v>4.9851195153965321E-2</v>
      </c>
      <c r="N790">
        <v>758</v>
      </c>
      <c r="O790" t="str">
        <f t="shared" si="181"/>
        <v/>
      </c>
      <c r="P790" t="str">
        <f t="shared" si="185"/>
        <v/>
      </c>
      <c r="Q790">
        <f t="shared" si="186"/>
        <v>0</v>
      </c>
      <c r="R790">
        <f t="shared" si="187"/>
        <v>0</v>
      </c>
      <c r="S790">
        <f t="shared" si="188"/>
        <v>0</v>
      </c>
      <c r="T790">
        <f t="shared" si="189"/>
        <v>0</v>
      </c>
      <c r="U790">
        <f t="shared" si="184"/>
        <v>0</v>
      </c>
      <c r="V790">
        <f t="shared" si="190"/>
        <v>0</v>
      </c>
      <c r="W790">
        <f t="shared" si="194"/>
        <v>0</v>
      </c>
      <c r="X790">
        <f>SUM($W$34:W790)</f>
        <v>215.45245669999986</v>
      </c>
      <c r="Y790">
        <f t="shared" si="191"/>
        <v>0</v>
      </c>
    </row>
    <row r="791" spans="1:25">
      <c r="A791">
        <v>122.0498966</v>
      </c>
      <c r="B791" s="2">
        <f t="shared" si="192"/>
        <v>8.8591164057036792E-3</v>
      </c>
      <c r="C791">
        <v>124.0343086</v>
      </c>
      <c r="D791" s="3">
        <f t="shared" si="193"/>
        <v>1.7637491695472705E-2</v>
      </c>
      <c r="E791" s="3">
        <f t="shared" si="179"/>
        <v>1.5139725641666567E-2</v>
      </c>
      <c r="F791" s="3">
        <f>STDEV($E$32:E791)</f>
        <v>1.3010083014229729E-2</v>
      </c>
      <c r="G791" s="14">
        <f t="shared" si="182"/>
        <v>1.1636917016676642</v>
      </c>
      <c r="H791" s="15">
        <f>yint($B$3:B791,$D$3:D791)</f>
        <v>2.8054825576289403E-4</v>
      </c>
      <c r="I791" s="16">
        <f>MyReg($B$3:B791,$D$3:D791)</f>
        <v>0.25027527537799987</v>
      </c>
      <c r="J791" s="17">
        <f>STDEV($D$3:D791)</f>
        <v>1.3309170963116564E-2</v>
      </c>
      <c r="K791" s="4">
        <f t="shared" si="180"/>
        <v>2.497766053806139E-3</v>
      </c>
      <c r="L791">
        <f t="shared" si="183"/>
        <v>1.1636917016676642</v>
      </c>
      <c r="M791">
        <f>RSQ($D$3:D791,$B$3:B791)</f>
        <v>5.0240133727393201E-2</v>
      </c>
      <c r="N791">
        <v>759</v>
      </c>
      <c r="O791" t="str">
        <f t="shared" si="181"/>
        <v/>
      </c>
      <c r="P791" t="str">
        <f t="shared" si="185"/>
        <v/>
      </c>
      <c r="Q791">
        <f t="shared" si="186"/>
        <v>0</v>
      </c>
      <c r="R791">
        <f t="shared" si="187"/>
        <v>0</v>
      </c>
      <c r="S791">
        <f t="shared" si="188"/>
        <v>0</v>
      </c>
      <c r="T791">
        <f t="shared" si="189"/>
        <v>0</v>
      </c>
      <c r="U791">
        <f t="shared" si="184"/>
        <v>0</v>
      </c>
      <c r="V791">
        <f t="shared" si="190"/>
        <v>0</v>
      </c>
      <c r="W791">
        <f t="shared" si="194"/>
        <v>0</v>
      </c>
      <c r="X791">
        <f>SUM($W$34:W791)</f>
        <v>215.45245669999986</v>
      </c>
      <c r="Y791">
        <f t="shared" si="191"/>
        <v>0</v>
      </c>
    </row>
    <row r="792" spans="1:25">
      <c r="A792">
        <v>119.3042501</v>
      </c>
      <c r="B792" s="2">
        <f t="shared" si="192"/>
        <v>-2.2496098534179276E-2</v>
      </c>
      <c r="C792">
        <v>123.04613019999999</v>
      </c>
      <c r="D792" s="3">
        <f t="shared" si="193"/>
        <v>-7.966976324162052E-3</v>
      </c>
      <c r="E792" s="3">
        <f t="shared" si="179"/>
        <v>-2.601907347816409E-3</v>
      </c>
      <c r="F792" s="3">
        <f>STDEV($E$32:E792)</f>
        <v>1.3001902879078136E-2</v>
      </c>
      <c r="G792" s="14">
        <f t="shared" si="182"/>
        <v>-0.20011742681167374</v>
      </c>
      <c r="H792" s="15">
        <f>yint($B$3:B792,$D$3:D792)</f>
        <v>2.7707894270819763E-4</v>
      </c>
      <c r="I792" s="16">
        <f>MyReg($B$3:B792,$D$3:D792)</f>
        <v>0.25080561904907583</v>
      </c>
      <c r="J792" s="17">
        <f>STDEV($D$3:D792)</f>
        <v>1.3304034336189723E-2</v>
      </c>
      <c r="K792" s="4">
        <f t="shared" si="180"/>
        <v>-5.365068976345643E-3</v>
      </c>
      <c r="L792">
        <f t="shared" si="183"/>
        <v>-0.20011742681167374</v>
      </c>
      <c r="M792">
        <f>RSQ($D$3:D792,$B$3:B792)</f>
        <v>5.0662512975381324E-2</v>
      </c>
      <c r="N792">
        <v>760</v>
      </c>
      <c r="O792" t="str">
        <f t="shared" si="181"/>
        <v/>
      </c>
      <c r="P792" t="str">
        <f t="shared" si="185"/>
        <v/>
      </c>
      <c r="Q792">
        <f t="shared" si="186"/>
        <v>0</v>
      </c>
      <c r="R792">
        <f t="shared" si="187"/>
        <v>0</v>
      </c>
      <c r="S792">
        <f t="shared" si="188"/>
        <v>0</v>
      </c>
      <c r="T792">
        <f t="shared" si="189"/>
        <v>0</v>
      </c>
      <c r="U792">
        <f t="shared" si="184"/>
        <v>0</v>
      </c>
      <c r="V792">
        <f t="shared" si="190"/>
        <v>0</v>
      </c>
      <c r="W792">
        <f t="shared" si="194"/>
        <v>0</v>
      </c>
      <c r="X792">
        <f>SUM($W$34:W792)</f>
        <v>215.45245669999986</v>
      </c>
      <c r="Y792">
        <f t="shared" si="191"/>
        <v>0</v>
      </c>
    </row>
    <row r="793" spans="1:25">
      <c r="A793">
        <v>118.2537554</v>
      </c>
      <c r="B793" s="2">
        <f t="shared" si="192"/>
        <v>-8.8051741586698228E-3</v>
      </c>
      <c r="C793">
        <v>121.7965715</v>
      </c>
      <c r="D793" s="3">
        <f t="shared" si="193"/>
        <v>-1.0155205189866219E-2</v>
      </c>
      <c r="E793" s="3">
        <f t="shared" si="179"/>
        <v>-8.2074652458385723E-3</v>
      </c>
      <c r="F793" s="3">
        <f>STDEV($E$32:E793)</f>
        <v>1.2996878937260366E-2</v>
      </c>
      <c r="G793" s="14">
        <f t="shared" si="182"/>
        <v>-0.63149509089515588</v>
      </c>
      <c r="H793" s="15">
        <f>yint($B$3:B793,$D$3:D793)</f>
        <v>2.6649409040234608E-4</v>
      </c>
      <c r="I793" s="16">
        <f>MyReg($B$3:B793,$D$3:D793)</f>
        <v>0.25146964665653959</v>
      </c>
      <c r="J793" s="17">
        <f>STDEV($D$3:D793)</f>
        <v>1.3300858134832531E-2</v>
      </c>
      <c r="K793" s="4">
        <f t="shared" si="180"/>
        <v>-1.9477399440276473E-3</v>
      </c>
      <c r="L793">
        <f t="shared" si="183"/>
        <v>-0.63149509089515588</v>
      </c>
      <c r="M793">
        <f>RSQ($D$3:D793,$B$3:B793)</f>
        <v>5.0928380566800414E-2</v>
      </c>
      <c r="N793">
        <v>761</v>
      </c>
      <c r="O793" t="str">
        <f t="shared" si="181"/>
        <v/>
      </c>
      <c r="P793" t="str">
        <f t="shared" si="185"/>
        <v/>
      </c>
      <c r="Q793">
        <f t="shared" si="186"/>
        <v>0</v>
      </c>
      <c r="R793">
        <f t="shared" si="187"/>
        <v>0</v>
      </c>
      <c r="S793">
        <f t="shared" si="188"/>
        <v>0</v>
      </c>
      <c r="T793">
        <f t="shared" si="189"/>
        <v>0</v>
      </c>
      <c r="U793">
        <f t="shared" si="184"/>
        <v>0</v>
      </c>
      <c r="V793">
        <f t="shared" si="190"/>
        <v>0</v>
      </c>
      <c r="W793">
        <f t="shared" si="194"/>
        <v>0</v>
      </c>
      <c r="X793">
        <f>SUM($W$34:W793)</f>
        <v>215.45245669999986</v>
      </c>
      <c r="Y793">
        <f t="shared" si="191"/>
        <v>0</v>
      </c>
    </row>
    <row r="794" spans="1:25">
      <c r="A794">
        <v>117.0633764</v>
      </c>
      <c r="B794" s="2">
        <f t="shared" si="192"/>
        <v>-1.0066310333853525E-2</v>
      </c>
      <c r="C794">
        <v>122.5760817</v>
      </c>
      <c r="D794" s="3">
        <f t="shared" si="193"/>
        <v>6.4000996941034937E-3</v>
      </c>
      <c r="E794" s="3">
        <f t="shared" si="179"/>
        <v>8.6458194012518433E-3</v>
      </c>
      <c r="F794" s="3">
        <f>STDEV($E$32:E794)</f>
        <v>1.299200398186383E-2</v>
      </c>
      <c r="G794" s="14">
        <f t="shared" si="182"/>
        <v>0.66547234847841508</v>
      </c>
      <c r="H794" s="15">
        <f>yint($B$3:B794,$D$3:D794)</f>
        <v>2.7764942119809825E-4</v>
      </c>
      <c r="I794" s="16">
        <f>MyReg($B$3:B794,$D$3:D794)</f>
        <v>0.2506746806583367</v>
      </c>
      <c r="J794" s="17">
        <f>STDEV($D$3:D794)</f>
        <v>1.3294193277826659E-2</v>
      </c>
      <c r="K794" s="4">
        <f t="shared" si="180"/>
        <v>-2.2457197071483487E-3</v>
      </c>
      <c r="L794">
        <f t="shared" si="183"/>
        <v>0.66547234847841508</v>
      </c>
      <c r="M794">
        <f>RSQ($D$3:D794,$B$3:B794)</f>
        <v>5.0641688757540881E-2</v>
      </c>
      <c r="N794">
        <v>762</v>
      </c>
      <c r="O794" t="str">
        <f t="shared" si="181"/>
        <v/>
      </c>
      <c r="P794" t="str">
        <f t="shared" si="185"/>
        <v/>
      </c>
      <c r="Q794">
        <f t="shared" si="186"/>
        <v>0</v>
      </c>
      <c r="R794">
        <f t="shared" si="187"/>
        <v>0</v>
      </c>
      <c r="S794">
        <f t="shared" si="188"/>
        <v>0</v>
      </c>
      <c r="T794">
        <f t="shared" si="189"/>
        <v>0</v>
      </c>
      <c r="U794">
        <f t="shared" si="184"/>
        <v>0</v>
      </c>
      <c r="V794">
        <f t="shared" si="190"/>
        <v>0</v>
      </c>
      <c r="W794">
        <f t="shared" si="194"/>
        <v>0</v>
      </c>
      <c r="X794">
        <f>SUM($W$34:W794)</f>
        <v>215.45245669999986</v>
      </c>
      <c r="Y794">
        <f t="shared" si="191"/>
        <v>0</v>
      </c>
    </row>
    <row r="795" spans="1:25">
      <c r="A795">
        <v>118.50622660000001</v>
      </c>
      <c r="B795" s="2">
        <f t="shared" si="192"/>
        <v>1.2325376598312515E-2</v>
      </c>
      <c r="C795">
        <v>126.95756729999999</v>
      </c>
      <c r="D795" s="3">
        <f t="shared" si="193"/>
        <v>3.5745029040196434E-2</v>
      </c>
      <c r="E795" s="3">
        <f t="shared" si="179"/>
        <v>3.2295284047824613E-2</v>
      </c>
      <c r="F795" s="3">
        <f>STDEV($E$32:E795)</f>
        <v>1.3035488925117472E-2</v>
      </c>
      <c r="G795" s="14">
        <f t="shared" si="182"/>
        <v>2.4774892781809164</v>
      </c>
      <c r="H795" s="15">
        <f>yint($B$3:B795,$D$3:D795)</f>
        <v>3.174929994324178E-4</v>
      </c>
      <c r="I795" s="16">
        <f>MyReg($B$3:B795,$D$3:D795)</f>
        <v>0.25413032761759535</v>
      </c>
      <c r="J795" s="17">
        <f>STDEV($D$3:D795)</f>
        <v>1.3345136664398122E-2</v>
      </c>
      <c r="K795" s="4">
        <f t="shared" si="180"/>
        <v>3.4497449923718204E-3</v>
      </c>
      <c r="L795">
        <f t="shared" si="183"/>
        <v>2.4774892781809164</v>
      </c>
      <c r="M795">
        <f>RSQ($D$3:D795,$B$3:B795)</f>
        <v>5.1652173944798839E-2</v>
      </c>
      <c r="N795">
        <v>763</v>
      </c>
      <c r="O795" t="str">
        <f t="shared" si="181"/>
        <v>sellY</v>
      </c>
      <c r="P795" t="str">
        <f t="shared" si="185"/>
        <v/>
      </c>
      <c r="Q795">
        <f t="shared" si="186"/>
        <v>15</v>
      </c>
      <c r="R795">
        <f t="shared" si="187"/>
        <v>5</v>
      </c>
      <c r="S795">
        <f t="shared" si="188"/>
        <v>-15</v>
      </c>
      <c r="T795">
        <f t="shared" si="189"/>
        <v>-5</v>
      </c>
      <c r="U795">
        <f t="shared" si="184"/>
        <v>30</v>
      </c>
      <c r="V795">
        <f t="shared" si="190"/>
        <v>15</v>
      </c>
      <c r="W795">
        <f t="shared" si="194"/>
        <v>126.77011049999983</v>
      </c>
      <c r="X795">
        <f>SUM($W$34:W795)</f>
        <v>342.22256719999967</v>
      </c>
      <c r="Y795">
        <f t="shared" si="191"/>
        <v>0</v>
      </c>
    </row>
    <row r="796" spans="1:25">
      <c r="A796">
        <v>119.4513128</v>
      </c>
      <c r="B796" s="2">
        <f t="shared" si="192"/>
        <v>7.9749919233357107E-3</v>
      </c>
      <c r="C796">
        <v>128.7407345</v>
      </c>
      <c r="D796" s="3">
        <f t="shared" si="193"/>
        <v>1.4045379396616781E-2</v>
      </c>
      <c r="E796" s="3">
        <f t="shared" si="179"/>
        <v>1.1680347268588196E-2</v>
      </c>
      <c r="F796" s="3">
        <f>STDEV($E$32:E796)</f>
        <v>1.303358218023762E-2</v>
      </c>
      <c r="G796" s="14">
        <f t="shared" si="182"/>
        <v>0.89617321677678996</v>
      </c>
      <c r="H796" s="15">
        <f>yint($B$3:B796,$D$3:D796)</f>
        <v>3.3199517635697608E-4</v>
      </c>
      <c r="I796" s="16">
        <f>MyReg($B$3:B796,$D$3:D796)</f>
        <v>0.25492652170878294</v>
      </c>
      <c r="J796" s="17">
        <f>STDEV($D$3:D796)</f>
        <v>1.3345521348229986E-2</v>
      </c>
      <c r="K796" s="4">
        <f t="shared" si="180"/>
        <v>2.365032128028586E-3</v>
      </c>
      <c r="L796">
        <f t="shared" si="183"/>
        <v>0.89617321677678996</v>
      </c>
      <c r="M796">
        <f>RSQ($D$3:D796,$B$3:B796)</f>
        <v>5.1934972782252765E-2</v>
      </c>
      <c r="N796">
        <v>764</v>
      </c>
      <c r="O796" t="str">
        <f t="shared" si="181"/>
        <v/>
      </c>
      <c r="P796" t="str">
        <f t="shared" si="185"/>
        <v>sellhold</v>
      </c>
      <c r="Q796">
        <f t="shared" si="186"/>
        <v>15</v>
      </c>
      <c r="R796">
        <f t="shared" si="187"/>
        <v>0</v>
      </c>
      <c r="S796">
        <f t="shared" si="188"/>
        <v>-15</v>
      </c>
      <c r="T796">
        <f t="shared" si="189"/>
        <v>0</v>
      </c>
      <c r="U796">
        <f t="shared" si="184"/>
        <v>30</v>
      </c>
      <c r="V796">
        <f t="shared" si="190"/>
        <v>0</v>
      </c>
      <c r="W796">
        <f t="shared" si="194"/>
        <v>0</v>
      </c>
      <c r="X796">
        <f>SUM($W$34:W796)</f>
        <v>342.22256719999967</v>
      </c>
      <c r="Y796">
        <f t="shared" si="191"/>
        <v>0</v>
      </c>
    </row>
    <row r="797" spans="1:25">
      <c r="A797">
        <v>119.9315754</v>
      </c>
      <c r="B797" s="2">
        <f t="shared" si="192"/>
        <v>4.02057196980428E-3</v>
      </c>
      <c r="C797">
        <v>128.6335129</v>
      </c>
      <c r="D797" s="3">
        <f t="shared" si="193"/>
        <v>-8.3284906223680575E-4</v>
      </c>
      <c r="E797" s="3">
        <f t="shared" si="179"/>
        <v>-2.1867716255844984E-3</v>
      </c>
      <c r="F797" s="3">
        <f>STDEV($E$32:E797)</f>
        <v>1.3025346435734188E-2</v>
      </c>
      <c r="G797" s="14">
        <f t="shared" si="182"/>
        <v>-0.16788587055045484</v>
      </c>
      <c r="H797" s="15">
        <f>yint($B$3:B797,$D$3:D797)</f>
        <v>3.2926234697882141E-4</v>
      </c>
      <c r="I797" s="16">
        <f>MyReg($B$3:B797,$D$3:D797)</f>
        <v>0.25485434014473102</v>
      </c>
      <c r="J797" s="17">
        <f>STDEV($D$3:D797)</f>
        <v>1.333718723184419E-2</v>
      </c>
      <c r="K797" s="4">
        <f t="shared" si="180"/>
        <v>1.3539225633476925E-3</v>
      </c>
      <c r="L797">
        <f t="shared" si="183"/>
        <v>-0.16788587055045484</v>
      </c>
      <c r="M797">
        <f>RSQ($D$3:D797,$B$3:B797)</f>
        <v>5.1911377160491046E-2</v>
      </c>
      <c r="N797">
        <v>765</v>
      </c>
      <c r="O797" t="str">
        <f t="shared" si="181"/>
        <v/>
      </c>
      <c r="P797" t="str">
        <f t="shared" si="185"/>
        <v>close</v>
      </c>
      <c r="Q797">
        <f t="shared" si="186"/>
        <v>0</v>
      </c>
      <c r="R797">
        <f t="shared" si="187"/>
        <v>0</v>
      </c>
      <c r="S797">
        <f t="shared" si="188"/>
        <v>0</v>
      </c>
      <c r="T797">
        <f t="shared" si="189"/>
        <v>0</v>
      </c>
      <c r="U797">
        <f t="shared" si="184"/>
        <v>0</v>
      </c>
      <c r="V797">
        <f t="shared" si="190"/>
        <v>-15</v>
      </c>
      <c r="W797">
        <f t="shared" si="194"/>
        <v>-130.52906250000001</v>
      </c>
      <c r="X797">
        <f>SUM($W$34:W797)</f>
        <v>211.69350469999966</v>
      </c>
      <c r="Y797">
        <f t="shared" si="191"/>
        <v>211.69350469999966</v>
      </c>
    </row>
    <row r="798" spans="1:25">
      <c r="A798">
        <v>119.4295474</v>
      </c>
      <c r="B798" s="2">
        <f t="shared" si="192"/>
        <v>-4.1859535182925288E-3</v>
      </c>
      <c r="C798">
        <v>129.199196</v>
      </c>
      <c r="D798" s="3">
        <f t="shared" si="193"/>
        <v>4.3976339232822204E-3</v>
      </c>
      <c r="E798" s="3">
        <f t="shared" si="179"/>
        <v>5.1278159134337782E-3</v>
      </c>
      <c r="F798" s="3">
        <f>STDEV($E$32:E798)</f>
        <v>1.301805858470729E-2</v>
      </c>
      <c r="G798" s="14">
        <f t="shared" si="182"/>
        <v>0.39390020255843522</v>
      </c>
      <c r="H798" s="15">
        <f>yint($B$3:B798,$D$3:D798)</f>
        <v>3.3577348789088805E-4</v>
      </c>
      <c r="I798" s="16">
        <f>MyReg($B$3:B798,$D$3:D798)</f>
        <v>0.25465057683613607</v>
      </c>
      <c r="J798" s="17">
        <f>STDEV($D$3:D798)</f>
        <v>1.3329547417026926E-2</v>
      </c>
      <c r="K798" s="4">
        <f t="shared" si="180"/>
        <v>-7.3018199015155764E-4</v>
      </c>
      <c r="L798">
        <f t="shared" si="183"/>
        <v>0.39390020255843522</v>
      </c>
      <c r="M798">
        <f>RSQ($D$3:D798,$B$3:B798)</f>
        <v>5.1831786636483669E-2</v>
      </c>
      <c r="N798">
        <v>766</v>
      </c>
      <c r="O798" t="str">
        <f t="shared" si="181"/>
        <v/>
      </c>
      <c r="P798" t="str">
        <f t="shared" si="185"/>
        <v/>
      </c>
      <c r="Q798">
        <f t="shared" si="186"/>
        <v>0</v>
      </c>
      <c r="R798">
        <f t="shared" si="187"/>
        <v>0</v>
      </c>
      <c r="S798">
        <f t="shared" si="188"/>
        <v>0</v>
      </c>
      <c r="T798">
        <f t="shared" si="189"/>
        <v>0</v>
      </c>
      <c r="U798">
        <f t="shared" si="184"/>
        <v>0</v>
      </c>
      <c r="V798">
        <f t="shared" si="190"/>
        <v>0</v>
      </c>
      <c r="W798">
        <f t="shared" si="194"/>
        <v>0</v>
      </c>
      <c r="X798">
        <f>SUM($W$34:W798)</f>
        <v>211.69350469999966</v>
      </c>
      <c r="Y798">
        <f t="shared" si="191"/>
        <v>0</v>
      </c>
    </row>
    <row r="799" spans="1:25">
      <c r="A799">
        <v>117.2619122</v>
      </c>
      <c r="B799" s="2">
        <f t="shared" si="192"/>
        <v>-1.8149907181177229E-2</v>
      </c>
      <c r="C799">
        <v>129.3409068</v>
      </c>
      <c r="D799" s="3">
        <f t="shared" si="193"/>
        <v>1.0968396428720692E-3</v>
      </c>
      <c r="E799" s="3">
        <f t="shared" si="179"/>
        <v>5.3600667540628895E-3</v>
      </c>
      <c r="F799" s="3">
        <f>STDEV($E$32:E799)</f>
        <v>1.3010899639519E-2</v>
      </c>
      <c r="G799" s="14">
        <f t="shared" si="182"/>
        <v>0.4119674198225578</v>
      </c>
      <c r="H799" s="15">
        <f>yint($B$3:B799,$D$3:D799)</f>
        <v>3.4276468856285491E-4</v>
      </c>
      <c r="I799" s="16">
        <f>MyReg($B$3:B799,$D$3:D799)</f>
        <v>0.25377495068021189</v>
      </c>
      <c r="J799" s="17">
        <f>STDEV($D$3:D799)</f>
        <v>1.3321194129422748E-2</v>
      </c>
      <c r="K799" s="4">
        <f t="shared" si="180"/>
        <v>-4.2632271111908201E-3</v>
      </c>
      <c r="L799">
        <f t="shared" si="183"/>
        <v>0.4119674198225578</v>
      </c>
      <c r="M799">
        <f>RSQ($D$3:D799,$B$3:B799)</f>
        <v>5.1630679648999284E-2</v>
      </c>
      <c r="N799">
        <v>767</v>
      </c>
      <c r="O799" t="str">
        <f t="shared" si="181"/>
        <v/>
      </c>
      <c r="P799" t="str">
        <f t="shared" si="185"/>
        <v/>
      </c>
      <c r="Q799">
        <f t="shared" si="186"/>
        <v>0</v>
      </c>
      <c r="R799">
        <f t="shared" si="187"/>
        <v>0</v>
      </c>
      <c r="S799">
        <f t="shared" si="188"/>
        <v>0</v>
      </c>
      <c r="T799">
        <f t="shared" si="189"/>
        <v>0</v>
      </c>
      <c r="U799">
        <f t="shared" si="184"/>
        <v>0</v>
      </c>
      <c r="V799">
        <f t="shared" si="190"/>
        <v>0</v>
      </c>
      <c r="W799">
        <f t="shared" si="194"/>
        <v>0</v>
      </c>
      <c r="X799">
        <f>SUM($W$34:W799)</f>
        <v>211.69350469999966</v>
      </c>
      <c r="Y799">
        <f t="shared" si="191"/>
        <v>0</v>
      </c>
    </row>
    <row r="800" spans="1:25">
      <c r="A800">
        <v>117.8668393</v>
      </c>
      <c r="B800" s="2">
        <f t="shared" si="192"/>
        <v>5.1587688504366519E-3</v>
      </c>
      <c r="C800">
        <v>129.65513720000001</v>
      </c>
      <c r="D800" s="3">
        <f t="shared" si="193"/>
        <v>2.4294742303446861E-3</v>
      </c>
      <c r="E800" s="3">
        <f t="shared" si="179"/>
        <v>7.7640526832613364E-4</v>
      </c>
      <c r="F800" s="3">
        <f>STDEV($E$32:E800)</f>
        <v>1.3002442226891684E-2</v>
      </c>
      <c r="G800" s="14">
        <f t="shared" si="182"/>
        <v>5.9712264417554596E-2</v>
      </c>
      <c r="H800" s="15">
        <f>yint($B$3:B800,$D$3:D800)</f>
        <v>3.4372977068887364E-4</v>
      </c>
      <c r="I800" s="16">
        <f>MyReg($B$3:B800,$D$3:D800)</f>
        <v>0.25380846269529073</v>
      </c>
      <c r="J800" s="17">
        <f>STDEV($D$3:D800)</f>
        <v>1.3313026076834527E-2</v>
      </c>
      <c r="K800" s="4">
        <f t="shared" si="180"/>
        <v>1.6530689620185524E-3</v>
      </c>
      <c r="L800">
        <f t="shared" si="183"/>
        <v>5.9712264417554596E-2</v>
      </c>
      <c r="M800">
        <f>RSQ($D$3:D800,$B$3:B800)</f>
        <v>5.1653711451996286E-2</v>
      </c>
      <c r="N800">
        <v>768</v>
      </c>
      <c r="O800" t="str">
        <f t="shared" si="181"/>
        <v/>
      </c>
      <c r="P800" t="str">
        <f t="shared" si="185"/>
        <v/>
      </c>
      <c r="Q800">
        <f t="shared" si="186"/>
        <v>0</v>
      </c>
      <c r="R800">
        <f t="shared" si="187"/>
        <v>0</v>
      </c>
      <c r="S800">
        <f t="shared" si="188"/>
        <v>0</v>
      </c>
      <c r="T800">
        <f t="shared" si="189"/>
        <v>0</v>
      </c>
      <c r="U800">
        <f t="shared" si="184"/>
        <v>0</v>
      </c>
      <c r="V800">
        <f t="shared" si="190"/>
        <v>0</v>
      </c>
      <c r="W800">
        <f t="shared" si="194"/>
        <v>0</v>
      </c>
      <c r="X800">
        <f>SUM($W$34:W800)</f>
        <v>211.69350469999966</v>
      </c>
      <c r="Y800">
        <f t="shared" si="191"/>
        <v>0</v>
      </c>
    </row>
    <row r="801" spans="1:25">
      <c r="A801">
        <v>118.33717559999999</v>
      </c>
      <c r="B801" s="2">
        <f t="shared" si="192"/>
        <v>3.9904039405254466E-3</v>
      </c>
      <c r="C801">
        <v>130.30967269999999</v>
      </c>
      <c r="D801" s="3">
        <f t="shared" si="193"/>
        <v>5.0482804934317725E-3</v>
      </c>
      <c r="E801" s="3">
        <f t="shared" ref="E801:E864" si="195">D801-K801</f>
        <v>3.6866837015838432E-3</v>
      </c>
      <c r="F801" s="3">
        <f>STDEV($E$32:E801)</f>
        <v>1.2994588768334042E-2</v>
      </c>
      <c r="G801" s="14">
        <f t="shared" si="182"/>
        <v>0.2837091475005169</v>
      </c>
      <c r="H801" s="15">
        <f>yint($B$3:B801,$D$3:D801)</f>
        <v>3.4831619499598956E-4</v>
      </c>
      <c r="I801" s="16">
        <f>MyReg($B$3:B801,$D$3:D801)</f>
        <v>0.25392932944991864</v>
      </c>
      <c r="J801" s="17">
        <f>STDEV($D$3:D801)</f>
        <v>1.3305692057608311E-2</v>
      </c>
      <c r="K801" s="4">
        <f t="shared" ref="K801:K864" si="196">H801+B801*I801</f>
        <v>1.3615967918479293E-3</v>
      </c>
      <c r="L801">
        <f t="shared" si="183"/>
        <v>0.2837091475005169</v>
      </c>
      <c r="M801">
        <f>RSQ($D$3:D801,$B$3:B801)</f>
        <v>5.1701355401737085E-2</v>
      </c>
      <c r="N801">
        <v>769</v>
      </c>
      <c r="O801" t="str">
        <f t="shared" ref="O801:O864" si="197">IF(L801&gt;1.5,"sellY",IF(L801&lt;-1.5,"buyY",""))</f>
        <v/>
      </c>
      <c r="P801" t="str">
        <f t="shared" si="185"/>
        <v/>
      </c>
      <c r="Q801">
        <f t="shared" si="186"/>
        <v>0</v>
      </c>
      <c r="R801">
        <f t="shared" si="187"/>
        <v>0</v>
      </c>
      <c r="S801">
        <f t="shared" si="188"/>
        <v>0</v>
      </c>
      <c r="T801">
        <f t="shared" si="189"/>
        <v>0</v>
      </c>
      <c r="U801">
        <f t="shared" si="184"/>
        <v>0</v>
      </c>
      <c r="V801">
        <f t="shared" si="190"/>
        <v>0</v>
      </c>
      <c r="W801">
        <f t="shared" si="194"/>
        <v>0</v>
      </c>
      <c r="X801">
        <f>SUM($W$34:W801)</f>
        <v>211.69350469999966</v>
      </c>
      <c r="Y801">
        <f t="shared" si="191"/>
        <v>0</v>
      </c>
    </row>
    <row r="802" spans="1:25">
      <c r="A802">
        <v>116.4777892</v>
      </c>
      <c r="B802" s="2">
        <f t="shared" si="192"/>
        <v>-1.5712614320668231E-2</v>
      </c>
      <c r="C802">
        <v>129.52051220000001</v>
      </c>
      <c r="D802" s="3">
        <f t="shared" si="193"/>
        <v>-6.0560393073566515E-3</v>
      </c>
      <c r="E802" s="3">
        <f t="shared" si="195"/>
        <v>-2.4060171806250348E-3</v>
      </c>
      <c r="F802" s="3">
        <f>STDEV($E$32:E802)</f>
        <v>1.2986491376002772E-2</v>
      </c>
      <c r="G802" s="14">
        <f t="shared" ref="G802:G865" si="198">E802/F802</f>
        <v>-0.18527076413195173</v>
      </c>
      <c r="H802" s="15">
        <f>yint($B$3:B802,$D$3:D802)</f>
        <v>3.4520923082245302E-4</v>
      </c>
      <c r="I802" s="16">
        <f>MyReg($B$3:B802,$D$3:D802)</f>
        <v>0.25426903989483013</v>
      </c>
      <c r="J802" s="17">
        <f>STDEV($D$3:D802)</f>
        <v>1.3299333950917924E-2</v>
      </c>
      <c r="K802" s="4">
        <f t="shared" si="196"/>
        <v>-3.6500221267316167E-3</v>
      </c>
      <c r="L802">
        <f t="shared" ref="L802:L865" si="199">(D802-K802)/F802</f>
        <v>-0.18527076413195173</v>
      </c>
      <c r="M802">
        <f>RSQ($D$3:D802,$B$3:B802)</f>
        <v>5.1941304249571461E-2</v>
      </c>
      <c r="N802">
        <v>770</v>
      </c>
      <c r="O802" t="str">
        <f t="shared" si="197"/>
        <v/>
      </c>
      <c r="P802" t="str">
        <f t="shared" si="185"/>
        <v/>
      </c>
      <c r="Q802">
        <f t="shared" si="186"/>
        <v>0</v>
      </c>
      <c r="R802">
        <f t="shared" si="187"/>
        <v>0</v>
      </c>
      <c r="S802">
        <f t="shared" si="188"/>
        <v>0</v>
      </c>
      <c r="T802">
        <f t="shared" si="189"/>
        <v>0</v>
      </c>
      <c r="U802">
        <f t="shared" ref="U802:U865" si="200">ABS(Q802)+ABS(S802)</f>
        <v>0</v>
      </c>
      <c r="V802">
        <f t="shared" si="190"/>
        <v>0</v>
      </c>
      <c r="W802">
        <f t="shared" si="194"/>
        <v>0</v>
      </c>
      <c r="X802">
        <f>SUM($W$34:W802)</f>
        <v>211.69350469999966</v>
      </c>
      <c r="Y802">
        <f t="shared" si="191"/>
        <v>0</v>
      </c>
    </row>
    <row r="803" spans="1:25">
      <c r="A803">
        <v>117.3610492</v>
      </c>
      <c r="B803" s="2">
        <f t="shared" si="192"/>
        <v>7.5830766197268517E-3</v>
      </c>
      <c r="C803">
        <v>129.33986469999999</v>
      </c>
      <c r="D803" s="3">
        <f t="shared" si="193"/>
        <v>-1.394740469533292E-3</v>
      </c>
      <c r="E803" s="3">
        <f t="shared" si="195"/>
        <v>-3.6617852542727269E-3</v>
      </c>
      <c r="F803" s="3">
        <f>STDEV($E$32:E803)</f>
        <v>1.2978815993991746E-2</v>
      </c>
      <c r="G803" s="14">
        <f t="shared" si="198"/>
        <v>-0.2821355396338055</v>
      </c>
      <c r="H803" s="15">
        <f>yint($B$3:B803,$D$3:D803)</f>
        <v>3.4069378443584743E-4</v>
      </c>
      <c r="I803" s="16">
        <f>MyReg($B$3:B803,$D$3:D803)</f>
        <v>0.25403290734163464</v>
      </c>
      <c r="J803" s="17">
        <f>STDEV($D$3:D803)</f>
        <v>1.3291172533119776E-2</v>
      </c>
      <c r="K803" s="4">
        <f t="shared" si="196"/>
        <v>2.2670447847394351E-3</v>
      </c>
      <c r="L803">
        <f t="shared" si="199"/>
        <v>-0.2821355396338055</v>
      </c>
      <c r="M803">
        <f>RSQ($D$3:D803,$B$3:B803)</f>
        <v>5.1868126714656321E-2</v>
      </c>
      <c r="N803">
        <v>771</v>
      </c>
      <c r="O803" t="str">
        <f t="shared" si="197"/>
        <v/>
      </c>
      <c r="P803" t="str">
        <f t="shared" ref="P803:P866" si="201">IF(AND(OR(O802="sellY",P802="sellhold"),L803&gt;0.5),"sellhold",IF(AND(OR(O802="sellY",P802="sellhold"),L803&lt;0.5,O803&lt;&gt;"buyY"),"close",IF(AND(OR(O802="sellY",P802="sellhold"),L803&lt;0.5,O803="buyY"),"close&amp;buy",IF(AND(OR(O802="buyY",P802="buyhold"),L803&lt;-0.5),"buyhold",IF(AND(OR(O802="buyY",P802="buyhold"),L803&gt;-0.5,O803&lt;&gt;"sellY"),"close",IF(AND(OR(O802="buyY",P802="buyhold"),L803&gt;-0.5,O803="sellY"),"close&amp;sell",""))))))</f>
        <v/>
      </c>
      <c r="Q803">
        <f t="shared" ref="Q803:Q866" si="202">IF(O803="sellY",MAX(10+R803,Q802),IF(O803="buyY",MIN(-10+R803,Q802),IF(P803="sellhold",Q802+R803,IF(P803="buyhold",Q802+R803,0))))</f>
        <v>0</v>
      </c>
      <c r="R803">
        <f t="shared" ref="R803:R866" si="203">IF(AND(L803&gt;2.5,Q802&lt;15),10,IF(AND(L803&gt;2,Q802&lt;15),5,IF(AND(L803&lt;-2.5,Q802&gt;-15),-10,IF(AND(L803&lt;-2,Q802&gt;-15),-5,0))))</f>
        <v>0</v>
      </c>
      <c r="S803">
        <f t="shared" ref="S803:S866" si="204">IF(O803="sellY",MIN(-10+T803,S802),IF(O803="buyY",MAX(10+T803,S802),IF(P803="sellhold",S802+T803,IF(P803="buyhold",S802+T803,0))))</f>
        <v>0</v>
      </c>
      <c r="T803">
        <f t="shared" ref="T803:T866" si="205">IF(AND(L803&gt;2.5,Q802&lt;15),-10,IF(AND(L803&gt;2,Q802&lt;15),-5,IF(AND(L803&lt;-2.5,Q802&gt;-15),10,IF(AND(L803&lt;-2,Q802&gt;-15),5,0))))</f>
        <v>0</v>
      </c>
      <c r="U803">
        <f t="shared" si="200"/>
        <v>0</v>
      </c>
      <c r="V803">
        <f t="shared" ref="V803:V866" si="206">Q803-Q802</f>
        <v>0</v>
      </c>
      <c r="W803">
        <f t="shared" si="194"/>
        <v>0</v>
      </c>
      <c r="X803">
        <f>SUM($W$34:W803)</f>
        <v>211.69350469999966</v>
      </c>
      <c r="Y803">
        <f t="shared" si="191"/>
        <v>0</v>
      </c>
    </row>
    <row r="804" spans="1:25">
      <c r="A804">
        <v>118.82081410000001</v>
      </c>
      <c r="B804" s="2">
        <f t="shared" si="192"/>
        <v>1.2438240028958521E-2</v>
      </c>
      <c r="C804">
        <v>127.88391729999999</v>
      </c>
      <c r="D804" s="3">
        <f t="shared" si="193"/>
        <v>-1.1256756788612904E-2</v>
      </c>
      <c r="E804" s="3">
        <f t="shared" si="195"/>
        <v>-1.471961147646432E-2</v>
      </c>
      <c r="F804" s="3">
        <f>STDEV($E$32:E804)</f>
        <v>1.2981514979419215E-2</v>
      </c>
      <c r="G804" s="14">
        <f t="shared" si="198"/>
        <v>-1.1338901121941982</v>
      </c>
      <c r="H804" s="15">
        <f>yint($B$3:B804,$D$3:D804)</f>
        <v>3.227442125818154E-4</v>
      </c>
      <c r="I804" s="16">
        <f>MyReg($B$3:B804,$D$3:D804)</f>
        <v>0.25245617289575079</v>
      </c>
      <c r="J804" s="17">
        <f>STDEV($D$3:D804)</f>
        <v>1.328925980371594E-2</v>
      </c>
      <c r="K804" s="4">
        <f t="shared" si="196"/>
        <v>3.462854687851416E-3</v>
      </c>
      <c r="L804">
        <f t="shared" si="199"/>
        <v>-1.1338901121941982</v>
      </c>
      <c r="M804">
        <f>RSQ($D$3:D804,$B$3:B804)</f>
        <v>5.1243647815181897E-2</v>
      </c>
      <c r="N804">
        <v>772</v>
      </c>
      <c r="O804" t="str">
        <f t="shared" si="197"/>
        <v/>
      </c>
      <c r="P804" t="str">
        <f t="shared" si="201"/>
        <v/>
      </c>
      <c r="Q804">
        <f t="shared" si="202"/>
        <v>0</v>
      </c>
      <c r="R804">
        <f t="shared" si="203"/>
        <v>0</v>
      </c>
      <c r="S804">
        <f t="shared" si="204"/>
        <v>0</v>
      </c>
      <c r="T804">
        <f t="shared" si="205"/>
        <v>0</v>
      </c>
      <c r="U804">
        <f t="shared" si="200"/>
        <v>0</v>
      </c>
      <c r="V804">
        <f t="shared" si="206"/>
        <v>0</v>
      </c>
      <c r="W804">
        <f t="shared" si="194"/>
        <v>0</v>
      </c>
      <c r="X804">
        <f>SUM($W$34:W804)</f>
        <v>211.69350469999966</v>
      </c>
      <c r="Y804">
        <f t="shared" ref="Y804:Y867" si="207">IF(P804="close",X804,0)</f>
        <v>0</v>
      </c>
    </row>
    <row r="805" spans="1:25">
      <c r="A805">
        <v>118.5950483</v>
      </c>
      <c r="B805" s="2">
        <f t="shared" si="192"/>
        <v>-1.9000526272274117E-3</v>
      </c>
      <c r="C805">
        <v>126.8926254</v>
      </c>
      <c r="D805" s="3">
        <f t="shared" si="193"/>
        <v>-7.7514977717999039E-3</v>
      </c>
      <c r="E805" s="3">
        <f t="shared" si="195"/>
        <v>-7.5847859549417621E-3</v>
      </c>
      <c r="F805" s="3">
        <f>STDEV($E$32:E805)</f>
        <v>1.2976123913424021E-2</v>
      </c>
      <c r="G805" s="14">
        <f t="shared" si="198"/>
        <v>-0.58451861322741927</v>
      </c>
      <c r="H805" s="15">
        <f>yint($B$3:B805,$D$3:D805)</f>
        <v>3.1324518557838916E-4</v>
      </c>
      <c r="I805" s="16">
        <f>MyReg($B$3:B805,$D$3:D805)</f>
        <v>0.25260195194534807</v>
      </c>
      <c r="J805" s="17">
        <f>STDEV($D$3:D805)</f>
        <v>1.3284083209358491E-2</v>
      </c>
      <c r="K805" s="4">
        <f t="shared" si="196"/>
        <v>-1.6671181685814183E-4</v>
      </c>
      <c r="L805">
        <f t="shared" si="199"/>
        <v>-0.58451861322741927</v>
      </c>
      <c r="M805">
        <f>RSQ($D$3:D805,$B$3:B805)</f>
        <v>5.128097036047486E-2</v>
      </c>
      <c r="N805">
        <v>773</v>
      </c>
      <c r="O805" t="str">
        <f t="shared" si="197"/>
        <v/>
      </c>
      <c r="P805" t="str">
        <f t="shared" si="201"/>
        <v/>
      </c>
      <c r="Q805">
        <f t="shared" si="202"/>
        <v>0</v>
      </c>
      <c r="R805">
        <f t="shared" si="203"/>
        <v>0</v>
      </c>
      <c r="S805">
        <f t="shared" si="204"/>
        <v>0</v>
      </c>
      <c r="T805">
        <f t="shared" si="205"/>
        <v>0</v>
      </c>
      <c r="U805">
        <f t="shared" si="200"/>
        <v>0</v>
      </c>
      <c r="V805">
        <f t="shared" si="206"/>
        <v>0</v>
      </c>
      <c r="W805">
        <f t="shared" si="194"/>
        <v>0</v>
      </c>
      <c r="X805">
        <f>SUM($W$34:W805)</f>
        <v>211.69350469999966</v>
      </c>
      <c r="Y805">
        <f t="shared" si="207"/>
        <v>0</v>
      </c>
    </row>
    <row r="806" spans="1:25">
      <c r="A806">
        <v>116.5627884</v>
      </c>
      <c r="B806" s="2">
        <f t="shared" si="192"/>
        <v>-1.7136127765293888E-2</v>
      </c>
      <c r="C806">
        <v>126.5395132</v>
      </c>
      <c r="D806" s="3">
        <f t="shared" si="193"/>
        <v>-2.7827637649303315E-3</v>
      </c>
      <c r="E806" s="3">
        <f t="shared" si="195"/>
        <v>1.2278058731066245E-3</v>
      </c>
      <c r="F806" s="3">
        <f>STDEV($E$32:E806)</f>
        <v>1.2967793473022213E-2</v>
      </c>
      <c r="G806" s="14">
        <f t="shared" si="198"/>
        <v>9.4681171138398607E-2</v>
      </c>
      <c r="H806" s="15">
        <f>yint($B$3:B806,$D$3:D806)</f>
        <v>3.1482746926358551E-4</v>
      </c>
      <c r="I806" s="16">
        <f>MyReg($B$3:B806,$D$3:D806)</f>
        <v>0.25241391559071163</v>
      </c>
      <c r="J806" s="17">
        <f>STDEV($D$3:D806)</f>
        <v>1.3276279094772539E-2</v>
      </c>
      <c r="K806" s="4">
        <f t="shared" si="196"/>
        <v>-4.010569638036956E-3</v>
      </c>
      <c r="L806">
        <f t="shared" si="199"/>
        <v>9.4681171138398607E-2</v>
      </c>
      <c r="M806">
        <f>RSQ($D$3:D806,$B$3:B806)</f>
        <v>5.133744802496485E-2</v>
      </c>
      <c r="N806">
        <v>774</v>
      </c>
      <c r="O806" t="str">
        <f t="shared" si="197"/>
        <v/>
      </c>
      <c r="P806" t="str">
        <f t="shared" si="201"/>
        <v/>
      </c>
      <c r="Q806">
        <f t="shared" si="202"/>
        <v>0</v>
      </c>
      <c r="R806">
        <f t="shared" si="203"/>
        <v>0</v>
      </c>
      <c r="S806">
        <f t="shared" si="204"/>
        <v>0</v>
      </c>
      <c r="T806">
        <f t="shared" si="205"/>
        <v>0</v>
      </c>
      <c r="U806">
        <f t="shared" si="200"/>
        <v>0</v>
      </c>
      <c r="V806">
        <f t="shared" si="206"/>
        <v>0</v>
      </c>
      <c r="W806">
        <f t="shared" si="194"/>
        <v>0</v>
      </c>
      <c r="X806">
        <f>SUM($W$34:W806)</f>
        <v>211.69350469999966</v>
      </c>
      <c r="Y806">
        <f t="shared" si="207"/>
        <v>0</v>
      </c>
    </row>
    <row r="807" spans="1:25">
      <c r="A807">
        <v>118.42932589999999</v>
      </c>
      <c r="B807" s="2">
        <f t="shared" si="192"/>
        <v>1.6013150728641908E-2</v>
      </c>
      <c r="C807">
        <v>125.81983820000001</v>
      </c>
      <c r="D807" s="3">
        <f t="shared" si="193"/>
        <v>-5.6873539481894827E-3</v>
      </c>
      <c r="E807" s="3">
        <f t="shared" si="195"/>
        <v>-1.0009896204784319E-2</v>
      </c>
      <c r="F807" s="3">
        <f>STDEV($E$32:E807)</f>
        <v>1.296458580509958E-2</v>
      </c>
      <c r="G807" s="14">
        <f t="shared" si="198"/>
        <v>-0.772095333801328</v>
      </c>
      <c r="H807" s="15">
        <f>yint($B$3:B807,$D$3:D807)</f>
        <v>3.0273899174432001E-4</v>
      </c>
      <c r="I807" s="16">
        <f>MyReg($B$3:B807,$D$3:D807)</f>
        <v>0.25103137620883686</v>
      </c>
      <c r="J807" s="17">
        <f>STDEV($D$3:D807)</f>
        <v>1.3269743829214191E-2</v>
      </c>
      <c r="K807" s="4">
        <f t="shared" si="196"/>
        <v>4.3225422565948369E-3</v>
      </c>
      <c r="L807">
        <f t="shared" si="199"/>
        <v>-0.772095333801328</v>
      </c>
      <c r="M807">
        <f>RSQ($D$3:D807,$B$3:B807)</f>
        <v>5.0873721262459745E-2</v>
      </c>
      <c r="N807">
        <v>775</v>
      </c>
      <c r="O807" t="str">
        <f t="shared" si="197"/>
        <v/>
      </c>
      <c r="P807" t="str">
        <f t="shared" si="201"/>
        <v/>
      </c>
      <c r="Q807">
        <f t="shared" si="202"/>
        <v>0</v>
      </c>
      <c r="R807">
        <f t="shared" si="203"/>
        <v>0</v>
      </c>
      <c r="S807">
        <f t="shared" si="204"/>
        <v>0</v>
      </c>
      <c r="T807">
        <f t="shared" si="205"/>
        <v>0</v>
      </c>
      <c r="U807">
        <f t="shared" si="200"/>
        <v>0</v>
      </c>
      <c r="V807">
        <f t="shared" si="206"/>
        <v>0</v>
      </c>
      <c r="W807">
        <f t="shared" si="194"/>
        <v>0</v>
      </c>
      <c r="X807">
        <f>SUM($W$34:W807)</f>
        <v>211.69350469999966</v>
      </c>
      <c r="Y807">
        <f t="shared" si="207"/>
        <v>0</v>
      </c>
    </row>
    <row r="808" spans="1:25">
      <c r="A808">
        <v>119.1772174</v>
      </c>
      <c r="B808" s="2">
        <f t="shared" si="192"/>
        <v>6.3150870303147495E-3</v>
      </c>
      <c r="C808">
        <v>121.7681154</v>
      </c>
      <c r="D808" s="3">
        <f t="shared" si="193"/>
        <v>-3.2202575189768504E-2</v>
      </c>
      <c r="E808" s="3">
        <f t="shared" si="195"/>
        <v>-3.4037473806677473E-2</v>
      </c>
      <c r="F808" s="3">
        <f>STDEV($E$32:E808)</f>
        <v>1.3014207022047706E-2</v>
      </c>
      <c r="G808" s="14">
        <f t="shared" si="198"/>
        <v>-2.6154089718269971</v>
      </c>
      <c r="H808" s="15">
        <f>yint($B$3:B808,$D$3:D808)</f>
        <v>2.6096162416873003E-4</v>
      </c>
      <c r="I808" s="16">
        <f>MyReg($B$3:B808,$D$3:D808)</f>
        <v>0.24923441041821945</v>
      </c>
      <c r="J808" s="17">
        <f>STDEV($D$3:D808)</f>
        <v>1.3311046991561885E-2</v>
      </c>
      <c r="K808" s="4">
        <f t="shared" si="196"/>
        <v>1.8348986169089709E-3</v>
      </c>
      <c r="L808">
        <f t="shared" si="199"/>
        <v>-2.6154089718269971</v>
      </c>
      <c r="M808">
        <f>RSQ($D$3:D808,$B$3:B808)</f>
        <v>4.9791185136701228E-2</v>
      </c>
      <c r="N808">
        <v>776</v>
      </c>
      <c r="O808" t="str">
        <f t="shared" si="197"/>
        <v>buyY</v>
      </c>
      <c r="P808" t="str">
        <f t="shared" si="201"/>
        <v/>
      </c>
      <c r="Q808">
        <f t="shared" si="202"/>
        <v>-20</v>
      </c>
      <c r="R808">
        <f t="shared" si="203"/>
        <v>-10</v>
      </c>
      <c r="S808">
        <f t="shared" si="204"/>
        <v>20</v>
      </c>
      <c r="T808">
        <f t="shared" si="205"/>
        <v>10</v>
      </c>
      <c r="U808">
        <f t="shared" si="200"/>
        <v>40</v>
      </c>
      <c r="V808">
        <f t="shared" si="206"/>
        <v>-20</v>
      </c>
      <c r="W808">
        <f t="shared" si="194"/>
        <v>-51.817959999999914</v>
      </c>
      <c r="X808">
        <f>SUM($W$34:W808)</f>
        <v>159.87554469999975</v>
      </c>
      <c r="Y808">
        <f t="shared" si="207"/>
        <v>0</v>
      </c>
    </row>
    <row r="809" spans="1:25">
      <c r="A809">
        <v>117.2753507</v>
      </c>
      <c r="B809" s="2">
        <f t="shared" si="192"/>
        <v>-1.5958307648824156E-2</v>
      </c>
      <c r="C809">
        <v>123.5992603</v>
      </c>
      <c r="D809" s="3">
        <f t="shared" si="193"/>
        <v>1.5037966991480581E-2</v>
      </c>
      <c r="E809" s="3">
        <f t="shared" si="195"/>
        <v>1.868803169140076E-2</v>
      </c>
      <c r="F809" s="3">
        <f>STDEV($E$32:E809)</f>
        <v>1.3022850220394663E-2</v>
      </c>
      <c r="G809" s="14">
        <f t="shared" si="198"/>
        <v>1.4350185539363756</v>
      </c>
      <c r="H809" s="15">
        <f>yint($B$3:B809,$D$3:D809)</f>
        <v>2.8491428555937112E-4</v>
      </c>
      <c r="I809" s="16">
        <f>MyReg($B$3:B809,$D$3:D809)</f>
        <v>0.24657871448978419</v>
      </c>
      <c r="J809" s="17">
        <f>STDEV($D$3:D809)</f>
        <v>1.3312854501516818E-2</v>
      </c>
      <c r="K809" s="4">
        <f t="shared" si="196"/>
        <v>-3.6500646999201797E-3</v>
      </c>
      <c r="L809">
        <f t="shared" si="199"/>
        <v>1.4350185539363756</v>
      </c>
      <c r="M809">
        <f>RSQ($D$3:D809,$B$3:B809)</f>
        <v>4.8774275909679379E-2</v>
      </c>
      <c r="N809">
        <v>777</v>
      </c>
      <c r="O809" t="str">
        <f t="shared" si="197"/>
        <v/>
      </c>
      <c r="P809" t="str">
        <f t="shared" si="201"/>
        <v>close</v>
      </c>
      <c r="Q809">
        <f t="shared" si="202"/>
        <v>0</v>
      </c>
      <c r="R809">
        <f t="shared" si="203"/>
        <v>0</v>
      </c>
      <c r="S809">
        <f t="shared" si="204"/>
        <v>0</v>
      </c>
      <c r="T809">
        <f t="shared" si="205"/>
        <v>0</v>
      </c>
      <c r="U809">
        <f t="shared" si="200"/>
        <v>0</v>
      </c>
      <c r="V809">
        <f t="shared" si="206"/>
        <v>20</v>
      </c>
      <c r="W809">
        <f t="shared" si="194"/>
        <v>126.47819199999986</v>
      </c>
      <c r="X809">
        <f>SUM($W$34:W809)</f>
        <v>286.35373669999962</v>
      </c>
      <c r="Y809">
        <f t="shared" si="207"/>
        <v>286.35373669999962</v>
      </c>
    </row>
    <row r="810" spans="1:25">
      <c r="A810">
        <v>115.23095069999999</v>
      </c>
      <c r="B810" s="2">
        <f t="shared" si="192"/>
        <v>-1.7432478247110542E-2</v>
      </c>
      <c r="C810">
        <v>122.9293381</v>
      </c>
      <c r="D810" s="3">
        <f t="shared" si="193"/>
        <v>-5.4201149616427118E-3</v>
      </c>
      <c r="E810" s="3">
        <f t="shared" si="195"/>
        <v>-1.4009844956141019E-3</v>
      </c>
      <c r="F810" s="3">
        <f>STDEV($E$32:E810)</f>
        <v>1.3014596200329007E-2</v>
      </c>
      <c r="G810" s="14">
        <f t="shared" si="198"/>
        <v>-0.10764717353110696</v>
      </c>
      <c r="H810" s="15">
        <f>yint($B$3:B810,$D$3:D810)</f>
        <v>2.8312013990965595E-4</v>
      </c>
      <c r="I810" s="16">
        <f>MyReg($B$3:B810,$D$3:D810)</f>
        <v>0.24679512258398317</v>
      </c>
      <c r="J810" s="17">
        <f>STDEV($D$3:D810)</f>
        <v>1.330615264649381E-2</v>
      </c>
      <c r="K810" s="4">
        <f t="shared" si="196"/>
        <v>-4.0191304660286099E-3</v>
      </c>
      <c r="L810">
        <f t="shared" si="199"/>
        <v>-0.10764717353110696</v>
      </c>
      <c r="M810">
        <f>RSQ($D$3:D810,$B$3:B810)</f>
        <v>4.8981949295201138E-2</v>
      </c>
      <c r="N810">
        <v>778</v>
      </c>
      <c r="O810" t="str">
        <f t="shared" si="197"/>
        <v/>
      </c>
      <c r="P810" t="str">
        <f t="shared" si="201"/>
        <v/>
      </c>
      <c r="Q810">
        <f t="shared" si="202"/>
        <v>0</v>
      </c>
      <c r="R810">
        <f t="shared" si="203"/>
        <v>0</v>
      </c>
      <c r="S810">
        <f t="shared" si="204"/>
        <v>0</v>
      </c>
      <c r="T810">
        <f t="shared" si="205"/>
        <v>0</v>
      </c>
      <c r="U810">
        <f t="shared" si="200"/>
        <v>0</v>
      </c>
      <c r="V810">
        <f t="shared" si="206"/>
        <v>0</v>
      </c>
      <c r="W810">
        <f t="shared" si="194"/>
        <v>0</v>
      </c>
      <c r="X810">
        <f>SUM($W$34:W810)</f>
        <v>286.35373669999962</v>
      </c>
      <c r="Y810">
        <f t="shared" si="207"/>
        <v>0</v>
      </c>
    </row>
    <row r="811" spans="1:25">
      <c r="A811">
        <v>114.2371904</v>
      </c>
      <c r="B811" s="2">
        <f t="shared" si="192"/>
        <v>-8.6240744692562109E-3</v>
      </c>
      <c r="C811">
        <v>123.70848530000001</v>
      </c>
      <c r="D811" s="3">
        <f t="shared" si="193"/>
        <v>6.3381712782525045E-3</v>
      </c>
      <c r="E811" s="3">
        <f t="shared" si="195"/>
        <v>8.1677287244933602E-3</v>
      </c>
      <c r="F811" s="3">
        <f>STDEV($E$32:E811)</f>
        <v>1.3009412316214879E-2</v>
      </c>
      <c r="G811" s="14">
        <f t="shared" si="198"/>
        <v>0.62783225913388385</v>
      </c>
      <c r="H811" s="15">
        <f>yint($B$3:B811,$D$3:D811)</f>
        <v>2.9338420240029216E-4</v>
      </c>
      <c r="I811" s="16">
        <f>MyReg($B$3:B811,$D$3:D811)</f>
        <v>0.2461645775681994</v>
      </c>
      <c r="J811" s="17">
        <f>STDEV($D$3:D811)</f>
        <v>1.3299585921443403E-2</v>
      </c>
      <c r="K811" s="4">
        <f t="shared" si="196"/>
        <v>-1.8295574462408567E-3</v>
      </c>
      <c r="L811">
        <f t="shared" si="199"/>
        <v>0.62783225913388385</v>
      </c>
      <c r="M811">
        <f>RSQ($D$3:D811,$B$3:B811)</f>
        <v>4.875306411066916E-2</v>
      </c>
      <c r="N811">
        <v>779</v>
      </c>
      <c r="O811" t="str">
        <f t="shared" si="197"/>
        <v/>
      </c>
      <c r="P811" t="str">
        <f t="shared" si="201"/>
        <v/>
      </c>
      <c r="Q811">
        <f t="shared" si="202"/>
        <v>0</v>
      </c>
      <c r="R811">
        <f t="shared" si="203"/>
        <v>0</v>
      </c>
      <c r="S811">
        <f t="shared" si="204"/>
        <v>0</v>
      </c>
      <c r="T811">
        <f t="shared" si="205"/>
        <v>0</v>
      </c>
      <c r="U811">
        <f t="shared" si="200"/>
        <v>0</v>
      </c>
      <c r="V811">
        <f t="shared" si="206"/>
        <v>0</v>
      </c>
      <c r="W811">
        <f t="shared" si="194"/>
        <v>0</v>
      </c>
      <c r="X811">
        <f>SUM($W$34:W811)</f>
        <v>286.35373669999962</v>
      </c>
      <c r="Y811">
        <f t="shared" si="207"/>
        <v>0</v>
      </c>
    </row>
    <row r="812" spans="1:25">
      <c r="A812">
        <v>113.1932874</v>
      </c>
      <c r="B812" s="2">
        <f t="shared" si="192"/>
        <v>-9.1380311118015745E-3</v>
      </c>
      <c r="C812">
        <v>124.1020662</v>
      </c>
      <c r="D812" s="3">
        <f t="shared" si="193"/>
        <v>3.1815190287516133E-3</v>
      </c>
      <c r="E812" s="3">
        <f t="shared" si="195"/>
        <v>5.1273384562492176E-3</v>
      </c>
      <c r="F812" s="3">
        <f>STDEV($E$32:E812)</f>
        <v>1.3002287761155936E-2</v>
      </c>
      <c r="G812" s="14">
        <f t="shared" si="198"/>
        <v>0.39434125366514611</v>
      </c>
      <c r="H812" s="15">
        <f>yint($B$3:B812,$D$3:D812)</f>
        <v>2.9982056341219582E-4</v>
      </c>
      <c r="I812" s="16">
        <f>MyReg($B$3:B812,$D$3:D812)</f>
        <v>0.245746590642442</v>
      </c>
      <c r="J812" s="17">
        <f>STDEV($D$3:D812)</f>
        <v>1.329173559362723E-2</v>
      </c>
      <c r="K812" s="4">
        <f t="shared" si="196"/>
        <v>-1.9458194274976047E-3</v>
      </c>
      <c r="L812">
        <f t="shared" si="199"/>
        <v>0.39434125366514611</v>
      </c>
      <c r="M812">
        <f>RSQ($D$3:D812,$B$3:B812)</f>
        <v>4.8622000402506339E-2</v>
      </c>
      <c r="N812">
        <v>780</v>
      </c>
      <c r="O812" t="str">
        <f t="shared" si="197"/>
        <v/>
      </c>
      <c r="P812" t="str">
        <f t="shared" si="201"/>
        <v/>
      </c>
      <c r="Q812">
        <f t="shared" si="202"/>
        <v>0</v>
      </c>
      <c r="R812">
        <f t="shared" si="203"/>
        <v>0</v>
      </c>
      <c r="S812">
        <f t="shared" si="204"/>
        <v>0</v>
      </c>
      <c r="T812">
        <f t="shared" si="205"/>
        <v>0</v>
      </c>
      <c r="U812">
        <f t="shared" si="200"/>
        <v>0</v>
      </c>
      <c r="V812">
        <f t="shared" si="206"/>
        <v>0</v>
      </c>
      <c r="W812">
        <f t="shared" si="194"/>
        <v>0</v>
      </c>
      <c r="X812">
        <f>SUM($W$34:W812)</f>
        <v>286.35373669999962</v>
      </c>
      <c r="Y812">
        <f t="shared" si="207"/>
        <v>0</v>
      </c>
    </row>
    <row r="813" spans="1:25">
      <c r="A813">
        <v>112.7457552</v>
      </c>
      <c r="B813" s="2">
        <f t="shared" si="192"/>
        <v>-3.953699113080072E-3</v>
      </c>
      <c r="C813">
        <v>121.4440594</v>
      </c>
      <c r="D813" s="3">
        <f t="shared" si="193"/>
        <v>-2.1417909317612921E-2</v>
      </c>
      <c r="E813" s="3">
        <f t="shared" si="195"/>
        <v>-2.0717402437531972E-2</v>
      </c>
      <c r="F813" s="3">
        <f>STDEV($E$32:E813)</f>
        <v>1.3015393225346944E-2</v>
      </c>
      <c r="G813" s="14">
        <f t="shared" si="198"/>
        <v>-1.5917615456431757</v>
      </c>
      <c r="H813" s="15">
        <f>yint($B$3:B813,$D$3:D813)</f>
        <v>2.7407499918721405E-4</v>
      </c>
      <c r="I813" s="16">
        <f>MyReg($B$3:B813,$D$3:D813)</f>
        <v>0.24649874747522971</v>
      </c>
      <c r="J813" s="17">
        <f>STDEV($D$3:D813)</f>
        <v>1.330551218110439E-2</v>
      </c>
      <c r="K813" s="4">
        <f t="shared" si="196"/>
        <v>-7.0050688008095022E-4</v>
      </c>
      <c r="L813">
        <f t="shared" si="199"/>
        <v>-1.5917615456431757</v>
      </c>
      <c r="M813">
        <f>RSQ($D$3:D813,$B$3:B813)</f>
        <v>4.8765955174838012E-2</v>
      </c>
      <c r="N813">
        <v>781</v>
      </c>
      <c r="O813" t="str">
        <f t="shared" si="197"/>
        <v>buyY</v>
      </c>
      <c r="P813" t="str">
        <f t="shared" si="201"/>
        <v/>
      </c>
      <c r="Q813">
        <f t="shared" si="202"/>
        <v>-10</v>
      </c>
      <c r="R813">
        <f t="shared" si="203"/>
        <v>0</v>
      </c>
      <c r="S813">
        <f t="shared" si="204"/>
        <v>10</v>
      </c>
      <c r="T813">
        <f t="shared" si="205"/>
        <v>0</v>
      </c>
      <c r="U813">
        <f t="shared" si="200"/>
        <v>20</v>
      </c>
      <c r="V813">
        <f t="shared" si="206"/>
        <v>-10</v>
      </c>
      <c r="W813">
        <f t="shared" si="194"/>
        <v>-86.983041999999955</v>
      </c>
      <c r="X813">
        <f>SUM($W$34:W813)</f>
        <v>199.37069469999966</v>
      </c>
      <c r="Y813">
        <f t="shared" si="207"/>
        <v>0</v>
      </c>
    </row>
    <row r="814" spans="1:25">
      <c r="A814">
        <v>110.7222676</v>
      </c>
      <c r="B814" s="2">
        <f t="shared" si="192"/>
        <v>-1.7947350624513886E-2</v>
      </c>
      <c r="C814">
        <v>121.64618900000001</v>
      </c>
      <c r="D814" s="3">
        <f t="shared" si="193"/>
        <v>1.6643844169787884E-3</v>
      </c>
      <c r="E814" s="3">
        <f t="shared" si="195"/>
        <v>5.7905647053770777E-3</v>
      </c>
      <c r="F814" s="3">
        <f>STDEV($E$32:E814)</f>
        <v>1.3008639157274486E-2</v>
      </c>
      <c r="G814" s="14">
        <f t="shared" si="198"/>
        <v>0.4451322413796811</v>
      </c>
      <c r="H814" s="15">
        <f>yint($B$3:B814,$D$3:D814)</f>
        <v>2.8141510930011527E-4</v>
      </c>
      <c r="I814" s="16">
        <f>MyReg($B$3:B814,$D$3:D814)</f>
        <v>0.24558473782075493</v>
      </c>
      <c r="J814" s="17">
        <f>STDEV($D$3:D814)</f>
        <v>1.329738919598787E-2</v>
      </c>
      <c r="K814" s="4">
        <f t="shared" si="196"/>
        <v>-4.1261802883982897E-3</v>
      </c>
      <c r="L814">
        <f t="shared" si="199"/>
        <v>0.4451322413796811</v>
      </c>
      <c r="M814">
        <f>RSQ($D$3:D814,$B$3:B814)</f>
        <v>4.854300432741683E-2</v>
      </c>
      <c r="N814">
        <v>782</v>
      </c>
      <c r="O814" t="str">
        <f t="shared" si="197"/>
        <v/>
      </c>
      <c r="P814" t="str">
        <f t="shared" si="201"/>
        <v>close</v>
      </c>
      <c r="Q814">
        <f t="shared" si="202"/>
        <v>0</v>
      </c>
      <c r="R814">
        <f t="shared" si="203"/>
        <v>0</v>
      </c>
      <c r="S814">
        <f t="shared" si="204"/>
        <v>0</v>
      </c>
      <c r="T814">
        <f t="shared" si="205"/>
        <v>0</v>
      </c>
      <c r="U814">
        <f t="shared" si="200"/>
        <v>0</v>
      </c>
      <c r="V814">
        <f t="shared" si="206"/>
        <v>10</v>
      </c>
      <c r="W814">
        <f t="shared" si="194"/>
        <v>109.23921400000012</v>
      </c>
      <c r="X814">
        <f>SUM($W$34:W814)</f>
        <v>308.60990869999978</v>
      </c>
      <c r="Y814">
        <f t="shared" si="207"/>
        <v>308.60990869999978</v>
      </c>
    </row>
    <row r="815" spans="1:25">
      <c r="A815">
        <v>110.7097364</v>
      </c>
      <c r="B815" s="2">
        <f t="shared" si="192"/>
        <v>-1.1317687283346395E-4</v>
      </c>
      <c r="C815">
        <v>121.1598293</v>
      </c>
      <c r="D815" s="3">
        <f t="shared" si="193"/>
        <v>-3.9981499132702662E-3</v>
      </c>
      <c r="E815" s="3">
        <f t="shared" si="195"/>
        <v>-4.2465372551616729E-3</v>
      </c>
      <c r="F815" s="3">
        <f>STDEV($E$32:E815)</f>
        <v>1.3001274241810233E-2</v>
      </c>
      <c r="G815" s="14">
        <f t="shared" si="198"/>
        <v>-0.32662469663976612</v>
      </c>
      <c r="H815" s="15">
        <f>yint($B$3:B815,$D$3:D815)</f>
        <v>2.7618314417011383E-4</v>
      </c>
      <c r="I815" s="16">
        <f>MyReg($B$3:B815,$D$3:D815)</f>
        <v>0.24559613269760469</v>
      </c>
      <c r="J815" s="17">
        <f>STDEV($D$3:D815)</f>
        <v>1.3290065401984946E-2</v>
      </c>
      <c r="K815" s="4">
        <f t="shared" si="196"/>
        <v>2.4838734189140649E-4</v>
      </c>
      <c r="L815">
        <f t="shared" si="199"/>
        <v>-0.32662469663976612</v>
      </c>
      <c r="M815">
        <f>RSQ($D$3:D815,$B$3:B815)</f>
        <v>4.8541217096669621E-2</v>
      </c>
      <c r="N815">
        <v>783</v>
      </c>
      <c r="O815" t="str">
        <f t="shared" si="197"/>
        <v/>
      </c>
      <c r="P815" t="str">
        <f t="shared" si="201"/>
        <v/>
      </c>
      <c r="Q815">
        <f t="shared" si="202"/>
        <v>0</v>
      </c>
      <c r="R815">
        <f t="shared" si="203"/>
        <v>0</v>
      </c>
      <c r="S815">
        <f t="shared" si="204"/>
        <v>0</v>
      </c>
      <c r="T815">
        <f t="shared" si="205"/>
        <v>0</v>
      </c>
      <c r="U815">
        <f t="shared" si="200"/>
        <v>0</v>
      </c>
      <c r="V815">
        <f t="shared" si="206"/>
        <v>0</v>
      </c>
      <c r="W815">
        <f t="shared" si="194"/>
        <v>0</v>
      </c>
      <c r="X815">
        <f>SUM($W$34:W815)</f>
        <v>308.60990869999978</v>
      </c>
      <c r="Y815">
        <f t="shared" si="207"/>
        <v>0</v>
      </c>
    </row>
    <row r="816" spans="1:25">
      <c r="A816">
        <v>109.9946616</v>
      </c>
      <c r="B816" s="2">
        <f t="shared" si="192"/>
        <v>-6.4590055333199805E-3</v>
      </c>
      <c r="C816">
        <v>121.9841373</v>
      </c>
      <c r="D816" s="3">
        <f t="shared" si="193"/>
        <v>6.8034760758779152E-3</v>
      </c>
      <c r="E816" s="3">
        <f t="shared" si="195"/>
        <v>8.1005274564043585E-3</v>
      </c>
      <c r="F816" s="3">
        <f>STDEV($E$32:E816)</f>
        <v>1.2996089120047785E-2</v>
      </c>
      <c r="G816" s="14">
        <f t="shared" si="198"/>
        <v>0.62330500980548631</v>
      </c>
      <c r="H816" s="15">
        <f>yint($B$3:B816,$D$3:D816)</f>
        <v>2.8623851083492316E-4</v>
      </c>
      <c r="I816" s="16">
        <f>MyReg($B$3:B816,$D$3:D816)</f>
        <v>0.24512905016007044</v>
      </c>
      <c r="J816" s="17">
        <f>STDEV($D$3:D816)</f>
        <v>1.3283830685135759E-2</v>
      </c>
      <c r="K816" s="4">
        <f t="shared" si="196"/>
        <v>-1.2970513805264428E-3</v>
      </c>
      <c r="L816">
        <f t="shared" si="199"/>
        <v>0.62330500980548631</v>
      </c>
      <c r="M816">
        <f>RSQ($D$3:D816,$B$3:B816)</f>
        <v>4.8361154009637995E-2</v>
      </c>
      <c r="N816">
        <v>784</v>
      </c>
      <c r="O816" t="str">
        <f t="shared" si="197"/>
        <v/>
      </c>
      <c r="P816" t="str">
        <f t="shared" si="201"/>
        <v/>
      </c>
      <c r="Q816">
        <f t="shared" si="202"/>
        <v>0</v>
      </c>
      <c r="R816">
        <f t="shared" si="203"/>
        <v>0</v>
      </c>
      <c r="S816">
        <f t="shared" si="204"/>
        <v>0</v>
      </c>
      <c r="T816">
        <f t="shared" si="205"/>
        <v>0</v>
      </c>
      <c r="U816">
        <f t="shared" si="200"/>
        <v>0</v>
      </c>
      <c r="V816">
        <f t="shared" si="206"/>
        <v>0</v>
      </c>
      <c r="W816">
        <f t="shared" si="194"/>
        <v>0</v>
      </c>
      <c r="X816">
        <f>SUM($W$34:W816)</f>
        <v>308.60990869999978</v>
      </c>
      <c r="Y816">
        <f t="shared" si="207"/>
        <v>0</v>
      </c>
    </row>
    <row r="817" spans="1:25">
      <c r="A817">
        <v>108.46060060000001</v>
      </c>
      <c r="B817" s="2">
        <f t="shared" si="192"/>
        <v>-1.394668593625633E-2</v>
      </c>
      <c r="C817">
        <v>122.0828759</v>
      </c>
      <c r="D817" s="3">
        <f t="shared" si="193"/>
        <v>8.0943803174320062E-4</v>
      </c>
      <c r="E817" s="3">
        <f t="shared" si="195"/>
        <v>3.9303083174714619E-3</v>
      </c>
      <c r="F817" s="3">
        <f>STDEV($E$32:E817)</f>
        <v>1.2988510016149235E-2</v>
      </c>
      <c r="G817" s="14">
        <f t="shared" si="198"/>
        <v>0.30259885949848919</v>
      </c>
      <c r="H817" s="15">
        <f>yint($B$3:B817,$D$3:D817)</f>
        <v>2.9115734053669206E-4</v>
      </c>
      <c r="I817" s="16">
        <f>MyReg($B$3:B817,$D$3:D817)</f>
        <v>0.24464791434034644</v>
      </c>
      <c r="J817" s="17">
        <f>STDEV($D$3:D817)</f>
        <v>1.3275679096374251E-2</v>
      </c>
      <c r="K817" s="4">
        <f t="shared" si="196"/>
        <v>-3.1208702857282609E-3</v>
      </c>
      <c r="L817">
        <f t="shared" si="199"/>
        <v>0.30259885949848919</v>
      </c>
      <c r="M817">
        <f>RSQ($D$3:D817,$B$3:B817)</f>
        <v>4.825466850419826E-2</v>
      </c>
      <c r="N817">
        <v>785</v>
      </c>
      <c r="O817" t="str">
        <f t="shared" si="197"/>
        <v/>
      </c>
      <c r="P817" t="str">
        <f t="shared" si="201"/>
        <v/>
      </c>
      <c r="Q817">
        <f t="shared" si="202"/>
        <v>0</v>
      </c>
      <c r="R817">
        <f t="shared" si="203"/>
        <v>0</v>
      </c>
      <c r="S817">
        <f t="shared" si="204"/>
        <v>0</v>
      </c>
      <c r="T817">
        <f t="shared" si="205"/>
        <v>0</v>
      </c>
      <c r="U817">
        <f t="shared" si="200"/>
        <v>0</v>
      </c>
      <c r="V817">
        <f t="shared" si="206"/>
        <v>0</v>
      </c>
      <c r="W817">
        <f t="shared" si="194"/>
        <v>0</v>
      </c>
      <c r="X817">
        <f>SUM($W$34:W817)</f>
        <v>308.60990869999978</v>
      </c>
      <c r="Y817">
        <f t="shared" si="207"/>
        <v>0</v>
      </c>
    </row>
    <row r="818" spans="1:25">
      <c r="A818">
        <v>106.2407498</v>
      </c>
      <c r="B818" s="2">
        <f t="shared" si="192"/>
        <v>-2.0466886479697431E-2</v>
      </c>
      <c r="C818">
        <v>120.3481367</v>
      </c>
      <c r="D818" s="3">
        <f t="shared" si="193"/>
        <v>-1.4209521091401542E-2</v>
      </c>
      <c r="E818" s="3">
        <f t="shared" si="195"/>
        <v>-9.4471185369314863E-3</v>
      </c>
      <c r="F818" s="3">
        <f>STDEV($E$32:E818)</f>
        <v>1.2984753351607453E-2</v>
      </c>
      <c r="G818" s="14">
        <f t="shared" si="198"/>
        <v>-0.7275547159901945</v>
      </c>
      <c r="H818" s="15">
        <f>yint($B$3:B818,$D$3:D818)</f>
        <v>2.7927816302752848E-4</v>
      </c>
      <c r="I818" s="16">
        <f>MyReg($B$3:B818,$D$3:D818)</f>
        <v>0.24633354577398905</v>
      </c>
      <c r="J818" s="17">
        <f>STDEV($D$3:D818)</f>
        <v>1.3277295461943849E-2</v>
      </c>
      <c r="K818" s="4">
        <f t="shared" si="196"/>
        <v>-4.7624025544700565E-3</v>
      </c>
      <c r="L818">
        <f t="shared" si="199"/>
        <v>-0.7275547159901945</v>
      </c>
      <c r="M818">
        <f>RSQ($D$3:D818,$B$3:B818)</f>
        <v>4.9029649035767273E-2</v>
      </c>
      <c r="N818">
        <v>786</v>
      </c>
      <c r="O818" t="str">
        <f t="shared" si="197"/>
        <v/>
      </c>
      <c r="P818" t="str">
        <f t="shared" si="201"/>
        <v/>
      </c>
      <c r="Q818">
        <f t="shared" si="202"/>
        <v>0</v>
      </c>
      <c r="R818">
        <f t="shared" si="203"/>
        <v>0</v>
      </c>
      <c r="S818">
        <f t="shared" si="204"/>
        <v>0</v>
      </c>
      <c r="T818">
        <f t="shared" si="205"/>
        <v>0</v>
      </c>
      <c r="U818">
        <f t="shared" si="200"/>
        <v>0</v>
      </c>
      <c r="V818">
        <f t="shared" si="206"/>
        <v>0</v>
      </c>
      <c r="W818">
        <f t="shared" si="194"/>
        <v>0</v>
      </c>
      <c r="X818">
        <f>SUM($W$34:W818)</f>
        <v>308.60990869999978</v>
      </c>
      <c r="Y818">
        <f t="shared" si="207"/>
        <v>0</v>
      </c>
    </row>
    <row r="819" spans="1:25">
      <c r="A819">
        <v>105.318191</v>
      </c>
      <c r="B819" s="2">
        <f t="shared" si="192"/>
        <v>-8.6836623587158122E-3</v>
      </c>
      <c r="C819">
        <v>120.0324296</v>
      </c>
      <c r="D819" s="3">
        <f t="shared" si="193"/>
        <v>-2.6232819938623725E-3</v>
      </c>
      <c r="E819" s="3">
        <f t="shared" si="195"/>
        <v>-7.6203725384538365E-4</v>
      </c>
      <c r="F819" s="3">
        <f>STDEV($E$32:E819)</f>
        <v>1.2976540895353961E-2</v>
      </c>
      <c r="G819" s="14">
        <f t="shared" si="198"/>
        <v>-5.8724220883719376E-2</v>
      </c>
      <c r="H819" s="15">
        <f>yint($B$3:B819,$D$3:D819)</f>
        <v>2.7833587050395689E-4</v>
      </c>
      <c r="I819" s="16">
        <f>MyReg($B$3:B819,$D$3:D819)</f>
        <v>0.24639150189590728</v>
      </c>
      <c r="J819" s="17">
        <f>STDEV($D$3:D819)</f>
        <v>1.326955557706448E-2</v>
      </c>
      <c r="K819" s="4">
        <f t="shared" si="196"/>
        <v>-1.8612447400169888E-3</v>
      </c>
      <c r="L819">
        <f t="shared" si="199"/>
        <v>-5.8724220883719376E-2</v>
      </c>
      <c r="M819">
        <f>RSQ($D$3:D819,$B$3:B819)</f>
        <v>4.9082674399970057E-2</v>
      </c>
      <c r="N819">
        <v>787</v>
      </c>
      <c r="O819" t="str">
        <f t="shared" si="197"/>
        <v/>
      </c>
      <c r="P819" t="str">
        <f t="shared" si="201"/>
        <v/>
      </c>
      <c r="Q819">
        <f t="shared" si="202"/>
        <v>0</v>
      </c>
      <c r="R819">
        <f t="shared" si="203"/>
        <v>0</v>
      </c>
      <c r="S819">
        <f t="shared" si="204"/>
        <v>0</v>
      </c>
      <c r="T819">
        <f t="shared" si="205"/>
        <v>0</v>
      </c>
      <c r="U819">
        <f t="shared" si="200"/>
        <v>0</v>
      </c>
      <c r="V819">
        <f t="shared" si="206"/>
        <v>0</v>
      </c>
      <c r="W819">
        <f t="shared" si="194"/>
        <v>0</v>
      </c>
      <c r="X819">
        <f>SUM($W$34:W819)</f>
        <v>308.60990869999978</v>
      </c>
      <c r="Y819">
        <f t="shared" si="207"/>
        <v>0</v>
      </c>
    </row>
    <row r="820" spans="1:25">
      <c r="A820">
        <v>105.60179290000001</v>
      </c>
      <c r="B820" s="2">
        <f t="shared" si="192"/>
        <v>2.6928102097766552E-3</v>
      </c>
      <c r="C820">
        <v>121.3151251</v>
      </c>
      <c r="D820" s="3">
        <f t="shared" si="193"/>
        <v>1.0686241245590871E-2</v>
      </c>
      <c r="E820" s="3">
        <f t="shared" si="195"/>
        <v>9.7319597030017906E-3</v>
      </c>
      <c r="F820" s="3">
        <f>STDEV($E$32:E820)</f>
        <v>1.2972801716990751E-2</v>
      </c>
      <c r="G820" s="14">
        <f t="shared" si="198"/>
        <v>0.75018179690942466</v>
      </c>
      <c r="H820" s="15">
        <f>yint($B$3:B820,$D$3:D820)</f>
        <v>2.9021886033796002E-4</v>
      </c>
      <c r="I820" s="16">
        <f>MyReg($B$3:B820,$D$3:D820)</f>
        <v>0.2466058245917741</v>
      </c>
      <c r="J820" s="17">
        <f>STDEV($D$3:D820)</f>
        <v>1.3266392407849074E-2</v>
      </c>
      <c r="K820" s="4">
        <f t="shared" si="196"/>
        <v>9.5428154258908029E-4</v>
      </c>
      <c r="L820">
        <f t="shared" si="199"/>
        <v>0.75018179690942466</v>
      </c>
      <c r="M820">
        <f>RSQ($D$3:D820,$B$3:B820)</f>
        <v>4.9134104542693631E-2</v>
      </c>
      <c r="N820">
        <v>788</v>
      </c>
      <c r="O820" t="str">
        <f t="shared" si="197"/>
        <v/>
      </c>
      <c r="P820" t="str">
        <f t="shared" si="201"/>
        <v/>
      </c>
      <c r="Q820">
        <f t="shared" si="202"/>
        <v>0</v>
      </c>
      <c r="R820">
        <f t="shared" si="203"/>
        <v>0</v>
      </c>
      <c r="S820">
        <f t="shared" si="204"/>
        <v>0</v>
      </c>
      <c r="T820">
        <f t="shared" si="205"/>
        <v>0</v>
      </c>
      <c r="U820">
        <f t="shared" si="200"/>
        <v>0</v>
      </c>
      <c r="V820">
        <f t="shared" si="206"/>
        <v>0</v>
      </c>
      <c r="W820">
        <f t="shared" si="194"/>
        <v>0</v>
      </c>
      <c r="X820">
        <f>SUM($W$34:W820)</f>
        <v>308.60990869999978</v>
      </c>
      <c r="Y820">
        <f t="shared" si="207"/>
        <v>0</v>
      </c>
    </row>
    <row r="821" spans="1:25">
      <c r="A821">
        <v>102.2565187</v>
      </c>
      <c r="B821" s="2">
        <f t="shared" si="192"/>
        <v>-3.1678195115189239E-2</v>
      </c>
      <c r="C821">
        <v>120.2752519</v>
      </c>
      <c r="D821" s="3">
        <f t="shared" si="193"/>
        <v>-8.571669848609853E-3</v>
      </c>
      <c r="E821" s="3">
        <f t="shared" si="195"/>
        <v>-1.0395326893684687E-3</v>
      </c>
      <c r="F821" s="3">
        <f>STDEV($E$32:E821)</f>
        <v>1.2964647140706722E-2</v>
      </c>
      <c r="G821" s="14">
        <f t="shared" si="198"/>
        <v>-8.0182104309227065E-2</v>
      </c>
      <c r="H821" s="15">
        <f>yint($B$3:B821,$D$3:D821)</f>
        <v>2.8890884683144719E-4</v>
      </c>
      <c r="I821" s="16">
        <f>MyReg($B$3:B821,$D$3:D821)</f>
        <v>0.24689051815085111</v>
      </c>
      <c r="J821" s="17">
        <f>STDEV($D$3:D821)</f>
        <v>1.3261924336245052E-2</v>
      </c>
      <c r="K821" s="4">
        <f t="shared" si="196"/>
        <v>-7.5321371592413843E-3</v>
      </c>
      <c r="L821">
        <f t="shared" si="199"/>
        <v>-8.0182104309227065E-2</v>
      </c>
      <c r="M821">
        <f>RSQ($D$3:D821,$B$3:B821)</f>
        <v>4.9648909934176158E-2</v>
      </c>
      <c r="N821">
        <v>789</v>
      </c>
      <c r="O821" t="str">
        <f t="shared" si="197"/>
        <v/>
      </c>
      <c r="P821" t="str">
        <f t="shared" si="201"/>
        <v/>
      </c>
      <c r="Q821">
        <f t="shared" si="202"/>
        <v>0</v>
      </c>
      <c r="R821">
        <f t="shared" si="203"/>
        <v>0</v>
      </c>
      <c r="S821">
        <f t="shared" si="204"/>
        <v>0</v>
      </c>
      <c r="T821">
        <f t="shared" si="205"/>
        <v>0</v>
      </c>
      <c r="U821">
        <f t="shared" si="200"/>
        <v>0</v>
      </c>
      <c r="V821">
        <f t="shared" si="206"/>
        <v>0</v>
      </c>
      <c r="W821">
        <f t="shared" si="194"/>
        <v>0</v>
      </c>
      <c r="X821">
        <f>SUM($W$34:W821)</f>
        <v>308.60990869999978</v>
      </c>
      <c r="Y821">
        <f t="shared" si="207"/>
        <v>0</v>
      </c>
    </row>
    <row r="822" spans="1:25">
      <c r="A822">
        <v>99.908539129999994</v>
      </c>
      <c r="B822" s="2">
        <f t="shared" si="192"/>
        <v>-2.2961661514103615E-2</v>
      </c>
      <c r="C822">
        <v>121.0532762</v>
      </c>
      <c r="D822" s="3">
        <f t="shared" si="193"/>
        <v>6.4686981545203351E-3</v>
      </c>
      <c r="E822" s="3">
        <f t="shared" si="195"/>
        <v>1.1780958680051714E-2</v>
      </c>
      <c r="F822" s="3">
        <f>STDEV($E$32:E822)</f>
        <v>1.2963039086990348E-2</v>
      </c>
      <c r="G822" s="14">
        <f t="shared" si="198"/>
        <v>0.90881147553393049</v>
      </c>
      <c r="H822" s="15">
        <f>yint($B$3:B822,$D$3:D822)</f>
        <v>3.0352249768217436E-4</v>
      </c>
      <c r="I822" s="16">
        <f>MyReg($B$3:B822,$D$3:D822)</f>
        <v>0.24457215431750012</v>
      </c>
      <c r="J822" s="17">
        <f>STDEV($D$3:D822)</f>
        <v>1.3255568452637104E-2</v>
      </c>
      <c r="K822" s="4">
        <f t="shared" si="196"/>
        <v>-5.312260525531378E-3</v>
      </c>
      <c r="L822">
        <f t="shared" si="199"/>
        <v>0.90881147553393049</v>
      </c>
      <c r="M822">
        <f>RSQ($D$3:D822,$B$3:B822)</f>
        <v>4.892881438168236E-2</v>
      </c>
      <c r="N822">
        <v>790</v>
      </c>
      <c r="O822" t="str">
        <f t="shared" si="197"/>
        <v/>
      </c>
      <c r="P822" t="str">
        <f t="shared" si="201"/>
        <v/>
      </c>
      <c r="Q822">
        <f t="shared" si="202"/>
        <v>0</v>
      </c>
      <c r="R822">
        <f t="shared" si="203"/>
        <v>0</v>
      </c>
      <c r="S822">
        <f t="shared" si="204"/>
        <v>0</v>
      </c>
      <c r="T822">
        <f t="shared" si="205"/>
        <v>0</v>
      </c>
      <c r="U822">
        <f t="shared" si="200"/>
        <v>0</v>
      </c>
      <c r="V822">
        <f t="shared" si="206"/>
        <v>0</v>
      </c>
      <c r="W822">
        <f t="shared" si="194"/>
        <v>0</v>
      </c>
      <c r="X822">
        <f>SUM($W$34:W822)</f>
        <v>308.60990869999978</v>
      </c>
      <c r="Y822">
        <f t="shared" si="207"/>
        <v>0</v>
      </c>
    </row>
    <row r="823" spans="1:25">
      <c r="A823">
        <v>99.777288510000005</v>
      </c>
      <c r="B823" s="2">
        <f t="shared" si="192"/>
        <v>-1.3137077285176474E-3</v>
      </c>
      <c r="C823">
        <v>120.5979236</v>
      </c>
      <c r="D823" s="3">
        <f t="shared" si="193"/>
        <v>-3.7615884038336971E-3</v>
      </c>
      <c r="E823" s="3">
        <f t="shared" si="195"/>
        <v>-3.7391937006663037E-3</v>
      </c>
      <c r="F823" s="3">
        <f>STDEV($E$32:E823)</f>
        <v>1.2955584490619872E-2</v>
      </c>
      <c r="G823" s="14">
        <f t="shared" si="198"/>
        <v>-0.28861636488678394</v>
      </c>
      <c r="H823" s="15">
        <f>yint($B$3:B823,$D$3:D823)</f>
        <v>2.9895939670909272E-4</v>
      </c>
      <c r="I823" s="16">
        <f>MyReg($B$3:B823,$D$3:D823)</f>
        <v>0.24461612952455838</v>
      </c>
      <c r="J823" s="17">
        <f>STDEV($D$3:D823)</f>
        <v>1.3248249470052155E-2</v>
      </c>
      <c r="K823" s="4">
        <f t="shared" si="196"/>
        <v>-2.2394703167393469E-5</v>
      </c>
      <c r="L823">
        <f t="shared" si="199"/>
        <v>-0.28861636488678394</v>
      </c>
      <c r="M823">
        <f>RSQ($D$3:D823,$B$3:B823)</f>
        <v>4.8941546088653545E-2</v>
      </c>
      <c r="N823">
        <v>791</v>
      </c>
      <c r="O823" t="str">
        <f t="shared" si="197"/>
        <v/>
      </c>
      <c r="P823" t="str">
        <f t="shared" si="201"/>
        <v/>
      </c>
      <c r="Q823">
        <f t="shared" si="202"/>
        <v>0</v>
      </c>
      <c r="R823">
        <f t="shared" si="203"/>
        <v>0</v>
      </c>
      <c r="S823">
        <f t="shared" si="204"/>
        <v>0</v>
      </c>
      <c r="T823">
        <f t="shared" si="205"/>
        <v>0</v>
      </c>
      <c r="U823">
        <f t="shared" si="200"/>
        <v>0</v>
      </c>
      <c r="V823">
        <f t="shared" si="206"/>
        <v>0</v>
      </c>
      <c r="W823">
        <f t="shared" si="194"/>
        <v>0</v>
      </c>
      <c r="X823">
        <f>SUM($W$34:W823)</f>
        <v>308.60990869999978</v>
      </c>
      <c r="Y823">
        <f t="shared" si="207"/>
        <v>0</v>
      </c>
    </row>
    <row r="824" spans="1:25">
      <c r="A824">
        <v>100.4652732</v>
      </c>
      <c r="B824" s="2">
        <f t="shared" si="192"/>
        <v>6.8952033100302306E-3</v>
      </c>
      <c r="C824">
        <v>122.656008</v>
      </c>
      <c r="D824" s="3">
        <f t="shared" si="193"/>
        <v>1.7065670274939944E-2</v>
      </c>
      <c r="E824" s="3">
        <f t="shared" si="195"/>
        <v>1.5055734984324706E-2</v>
      </c>
      <c r="F824" s="3">
        <f>STDEV($E$32:E824)</f>
        <v>1.2958206289323929E-2</v>
      </c>
      <c r="G824" s="14">
        <f t="shared" si="198"/>
        <v>1.1618687531413123</v>
      </c>
      <c r="H824" s="15">
        <f>yint($B$3:B824,$D$3:D824)</f>
        <v>3.1723744020389563E-4</v>
      </c>
      <c r="I824" s="16">
        <f>MyReg($B$3:B824,$D$3:D824)</f>
        <v>0.24548918636656142</v>
      </c>
      <c r="J824" s="17">
        <f>STDEV($D$3:D824)</f>
        <v>1.325306156027487E-2</v>
      </c>
      <c r="K824" s="4">
        <f t="shared" si="196"/>
        <v>2.0099352906152381E-3</v>
      </c>
      <c r="L824">
        <f t="shared" si="199"/>
        <v>1.1618687531413123</v>
      </c>
      <c r="M824">
        <f>RSQ($D$3:D824,$B$3:B824)</f>
        <v>4.9215189883811586E-2</v>
      </c>
      <c r="N824">
        <v>792</v>
      </c>
      <c r="O824" t="str">
        <f t="shared" si="197"/>
        <v/>
      </c>
      <c r="P824" t="str">
        <f t="shared" si="201"/>
        <v/>
      </c>
      <c r="Q824">
        <f t="shared" si="202"/>
        <v>0</v>
      </c>
      <c r="R824">
        <f t="shared" si="203"/>
        <v>0</v>
      </c>
      <c r="S824">
        <f t="shared" si="204"/>
        <v>0</v>
      </c>
      <c r="T824">
        <f t="shared" si="205"/>
        <v>0</v>
      </c>
      <c r="U824">
        <f t="shared" si="200"/>
        <v>0</v>
      </c>
      <c r="V824">
        <f t="shared" si="206"/>
        <v>0</v>
      </c>
      <c r="W824">
        <f t="shared" si="194"/>
        <v>0</v>
      </c>
      <c r="X824">
        <f>SUM($W$34:W824)</f>
        <v>308.60990869999978</v>
      </c>
      <c r="Y824">
        <f t="shared" si="207"/>
        <v>0</v>
      </c>
    </row>
    <row r="825" spans="1:25">
      <c r="A825">
        <v>100.82645170000001</v>
      </c>
      <c r="B825" s="2">
        <f t="shared" si="192"/>
        <v>3.5950581578671134E-3</v>
      </c>
      <c r="C825">
        <v>123.0680629</v>
      </c>
      <c r="D825" s="3">
        <f t="shared" si="193"/>
        <v>3.3594351122205211E-3</v>
      </c>
      <c r="E825" s="3">
        <f t="shared" si="195"/>
        <v>2.1567992902245918E-3</v>
      </c>
      <c r="F825" s="3">
        <f>STDEV($E$32:E825)</f>
        <v>1.295022393978297E-2</v>
      </c>
      <c r="G825" s="14">
        <f t="shared" si="198"/>
        <v>0.16654532772973321</v>
      </c>
      <c r="H825" s="15">
        <f>yint($B$3:B825,$D$3:D825)</f>
        <v>3.1985630285940567E-4</v>
      </c>
      <c r="I825" s="16">
        <f>MyReg($B$3:B825,$D$3:D825)</f>
        <v>0.24555361286846658</v>
      </c>
      <c r="J825" s="17">
        <f>STDEV($D$3:D825)</f>
        <v>1.324541686238761E-2</v>
      </c>
      <c r="K825" s="4">
        <f t="shared" si="196"/>
        <v>1.2026358219959295E-3</v>
      </c>
      <c r="L825">
        <f t="shared" si="199"/>
        <v>0.16654532772973321</v>
      </c>
      <c r="M825">
        <f>RSQ($D$3:D825,$B$3:B825)</f>
        <v>4.9243076109832112E-2</v>
      </c>
      <c r="N825">
        <v>793</v>
      </c>
      <c r="O825" t="str">
        <f t="shared" si="197"/>
        <v/>
      </c>
      <c r="P825" t="str">
        <f t="shared" si="201"/>
        <v/>
      </c>
      <c r="Q825">
        <f t="shared" si="202"/>
        <v>0</v>
      </c>
      <c r="R825">
        <f t="shared" si="203"/>
        <v>0</v>
      </c>
      <c r="S825">
        <f t="shared" si="204"/>
        <v>0</v>
      </c>
      <c r="T825">
        <f t="shared" si="205"/>
        <v>0</v>
      </c>
      <c r="U825">
        <f t="shared" si="200"/>
        <v>0</v>
      </c>
      <c r="V825">
        <f t="shared" si="206"/>
        <v>0</v>
      </c>
      <c r="W825">
        <f t="shared" si="194"/>
        <v>0</v>
      </c>
      <c r="X825">
        <f>SUM($W$34:W825)</f>
        <v>308.60990869999978</v>
      </c>
      <c r="Y825">
        <f t="shared" si="207"/>
        <v>0</v>
      </c>
    </row>
    <row r="826" spans="1:25">
      <c r="A826">
        <v>101.0678265</v>
      </c>
      <c r="B826" s="2">
        <f t="shared" si="192"/>
        <v>2.3939630516620516E-3</v>
      </c>
      <c r="C826">
        <v>124.0237975</v>
      </c>
      <c r="D826" s="3">
        <f t="shared" si="193"/>
        <v>7.7659026840829516E-3</v>
      </c>
      <c r="E826" s="3">
        <f t="shared" si="195"/>
        <v>6.849566448660996E-3</v>
      </c>
      <c r="F826" s="3">
        <f>STDEV($E$32:E826)</f>
        <v>1.2944228159915919E-2</v>
      </c>
      <c r="G826" s="14">
        <f t="shared" si="198"/>
        <v>0.52915989768102856</v>
      </c>
      <c r="H826" s="15">
        <f>yint($B$3:B826,$D$3:D826)</f>
        <v>3.2816801226402681E-4</v>
      </c>
      <c r="I826" s="16">
        <f>MyReg($B$3:B826,$D$3:D826)</f>
        <v>0.24568809562435914</v>
      </c>
      <c r="J826" s="17">
        <f>STDEV($D$3:D826)</f>
        <v>1.3239894999458001E-2</v>
      </c>
      <c r="K826" s="4">
        <f t="shared" si="196"/>
        <v>9.163362354219556E-4</v>
      </c>
      <c r="L826">
        <f t="shared" si="199"/>
        <v>0.52915989768102856</v>
      </c>
      <c r="M826">
        <f>RSQ($D$3:D826,$B$3:B826)</f>
        <v>4.9280442800180034E-2</v>
      </c>
      <c r="N826">
        <v>794</v>
      </c>
      <c r="O826" t="str">
        <f t="shared" si="197"/>
        <v/>
      </c>
      <c r="P826" t="str">
        <f t="shared" si="201"/>
        <v/>
      </c>
      <c r="Q826">
        <f t="shared" si="202"/>
        <v>0</v>
      </c>
      <c r="R826">
        <f t="shared" si="203"/>
        <v>0</v>
      </c>
      <c r="S826">
        <f t="shared" si="204"/>
        <v>0</v>
      </c>
      <c r="T826">
        <f t="shared" si="205"/>
        <v>0</v>
      </c>
      <c r="U826">
        <f t="shared" si="200"/>
        <v>0</v>
      </c>
      <c r="V826">
        <f t="shared" si="206"/>
        <v>0</v>
      </c>
      <c r="W826">
        <f t="shared" si="194"/>
        <v>0</v>
      </c>
      <c r="X826">
        <f>SUM($W$34:W826)</f>
        <v>308.60990869999978</v>
      </c>
      <c r="Y826">
        <f t="shared" si="207"/>
        <v>0</v>
      </c>
    </row>
    <row r="827" spans="1:25">
      <c r="A827">
        <v>103.9711492</v>
      </c>
      <c r="B827" s="2">
        <f t="shared" si="192"/>
        <v>2.8726478054814052E-2</v>
      </c>
      <c r="C827">
        <v>123.98737680000001</v>
      </c>
      <c r="D827" s="3">
        <f t="shared" si="193"/>
        <v>-2.936589649256115E-4</v>
      </c>
      <c r="E827" s="3">
        <f t="shared" si="195"/>
        <v>-7.6172804522462549E-3</v>
      </c>
      <c r="F827" s="3">
        <f>STDEV($E$32:E827)</f>
        <v>1.2939042372998985E-2</v>
      </c>
      <c r="G827" s="14">
        <f t="shared" si="198"/>
        <v>-0.58870511685948956</v>
      </c>
      <c r="H827" s="15">
        <f>yint($B$3:B827,$D$3:D827)</f>
        <v>3.1908006160782405E-4</v>
      </c>
      <c r="I827" s="16">
        <f>MyReg($B$3:B827,$D$3:D827)</f>
        <v>0.24383571882175029</v>
      </c>
      <c r="J827" s="17">
        <f>STDEV($D$3:D827)</f>
        <v>1.3231877555005258E-2</v>
      </c>
      <c r="K827" s="4">
        <f t="shared" si="196"/>
        <v>7.3236214873206437E-3</v>
      </c>
      <c r="L827">
        <f t="shared" si="199"/>
        <v>-0.58870511685948956</v>
      </c>
      <c r="M827">
        <f>RSQ($D$3:D827,$B$3:B827)</f>
        <v>4.8877682390192398E-2</v>
      </c>
      <c r="N827">
        <v>795</v>
      </c>
      <c r="O827" t="str">
        <f t="shared" si="197"/>
        <v/>
      </c>
      <c r="P827" t="str">
        <f t="shared" si="201"/>
        <v/>
      </c>
      <c r="Q827">
        <f t="shared" si="202"/>
        <v>0</v>
      </c>
      <c r="R827">
        <f t="shared" si="203"/>
        <v>0</v>
      </c>
      <c r="S827">
        <f t="shared" si="204"/>
        <v>0</v>
      </c>
      <c r="T827">
        <f t="shared" si="205"/>
        <v>0</v>
      </c>
      <c r="U827">
        <f t="shared" si="200"/>
        <v>0</v>
      </c>
      <c r="V827">
        <f t="shared" si="206"/>
        <v>0</v>
      </c>
      <c r="W827">
        <f t="shared" si="194"/>
        <v>0</v>
      </c>
      <c r="X827">
        <f>SUM($W$34:W827)</f>
        <v>308.60990869999978</v>
      </c>
      <c r="Y827">
        <f t="shared" si="207"/>
        <v>0</v>
      </c>
    </row>
    <row r="828" spans="1:25">
      <c r="A828">
        <v>104.1807838</v>
      </c>
      <c r="B828" s="2">
        <f t="shared" si="192"/>
        <v>2.0162766460986767E-3</v>
      </c>
      <c r="C828">
        <v>126.33968489999999</v>
      </c>
      <c r="D828" s="3">
        <f t="shared" si="193"/>
        <v>1.8972157978585345E-2</v>
      </c>
      <c r="E828" s="3">
        <f t="shared" si="195"/>
        <v>1.813890063123174E-2</v>
      </c>
      <c r="F828" s="3">
        <f>STDEV($E$32:E828)</f>
        <v>1.2946553561013716E-2</v>
      </c>
      <c r="G828" s="14">
        <f t="shared" si="198"/>
        <v>1.4010601775791411</v>
      </c>
      <c r="H828" s="15">
        <f>yint($B$3:B828,$D$3:D828)</f>
        <v>3.4103204812425004E-4</v>
      </c>
      <c r="I828" s="16">
        <f>MyReg($B$3:B828,$D$3:D828)</f>
        <v>0.24412587438423636</v>
      </c>
      <c r="J828" s="17">
        <f>STDEV($D$3:D828)</f>
        <v>1.3239723684743014E-2</v>
      </c>
      <c r="K828" s="4">
        <f t="shared" si="196"/>
        <v>8.3325734735360498E-4</v>
      </c>
      <c r="L828">
        <f t="shared" si="199"/>
        <v>1.4010601775791411</v>
      </c>
      <c r="M828">
        <f>RSQ($D$3:D828,$B$3:B828)</f>
        <v>4.8878189440191989E-2</v>
      </c>
      <c r="N828">
        <v>796</v>
      </c>
      <c r="O828" t="str">
        <f t="shared" si="197"/>
        <v/>
      </c>
      <c r="P828" t="str">
        <f t="shared" si="201"/>
        <v/>
      </c>
      <c r="Q828">
        <f t="shared" si="202"/>
        <v>0</v>
      </c>
      <c r="R828">
        <f t="shared" si="203"/>
        <v>0</v>
      </c>
      <c r="S828">
        <f t="shared" si="204"/>
        <v>0</v>
      </c>
      <c r="T828">
        <f t="shared" si="205"/>
        <v>0</v>
      </c>
      <c r="U828">
        <f t="shared" si="200"/>
        <v>0</v>
      </c>
      <c r="V828">
        <f t="shared" si="206"/>
        <v>0</v>
      </c>
      <c r="W828">
        <f t="shared" si="194"/>
        <v>0</v>
      </c>
      <c r="X828">
        <f>SUM($W$34:W828)</f>
        <v>308.60990869999978</v>
      </c>
      <c r="Y828">
        <f t="shared" si="207"/>
        <v>0</v>
      </c>
    </row>
    <row r="829" spans="1:25">
      <c r="A829">
        <v>102.53555729999999</v>
      </c>
      <c r="B829" s="2">
        <f t="shared" si="192"/>
        <v>-1.5792034192777946E-2</v>
      </c>
      <c r="C829">
        <v>127.308038</v>
      </c>
      <c r="D829" s="3">
        <f t="shared" si="193"/>
        <v>7.6646787647639738E-3</v>
      </c>
      <c r="E829" s="3">
        <f t="shared" si="195"/>
        <v>1.1141613199543869E-2</v>
      </c>
      <c r="F829" s="3">
        <f>STDEV($E$32:E829)</f>
        <v>1.294422460912617E-2</v>
      </c>
      <c r="G829" s="14">
        <f t="shared" si="198"/>
        <v>0.86074010116361921</v>
      </c>
      <c r="H829" s="15">
        <f>yint($B$3:B829,$D$3:D829)</f>
        <v>3.5470217155462986E-4</v>
      </c>
      <c r="I829" s="16">
        <f>MyReg($B$3:B829,$D$3:D829)</f>
        <v>0.24263097201795697</v>
      </c>
      <c r="J829" s="17">
        <f>STDEV($D$3:D829)</f>
        <v>1.3234137652646829E-2</v>
      </c>
      <c r="K829" s="4">
        <f t="shared" si="196"/>
        <v>-3.4769344347798953E-3</v>
      </c>
      <c r="L829">
        <f t="shared" si="199"/>
        <v>0.86074010116361921</v>
      </c>
      <c r="M829">
        <f>RSQ($D$3:D829,$B$3:B829)</f>
        <v>4.8366603325910092E-2</v>
      </c>
      <c r="N829">
        <v>797</v>
      </c>
      <c r="O829" t="str">
        <f t="shared" si="197"/>
        <v/>
      </c>
      <c r="P829" t="str">
        <f t="shared" si="201"/>
        <v/>
      </c>
      <c r="Q829">
        <f t="shared" si="202"/>
        <v>0</v>
      </c>
      <c r="R829">
        <f t="shared" si="203"/>
        <v>0</v>
      </c>
      <c r="S829">
        <f t="shared" si="204"/>
        <v>0</v>
      </c>
      <c r="T829">
        <f t="shared" si="205"/>
        <v>0</v>
      </c>
      <c r="U829">
        <f t="shared" si="200"/>
        <v>0</v>
      </c>
      <c r="V829">
        <f t="shared" si="206"/>
        <v>0</v>
      </c>
      <c r="W829">
        <f t="shared" si="194"/>
        <v>0</v>
      </c>
      <c r="X829">
        <f>SUM($W$34:W829)</f>
        <v>308.60990869999978</v>
      </c>
      <c r="Y829">
        <f t="shared" si="207"/>
        <v>0</v>
      </c>
    </row>
    <row r="830" spans="1:25">
      <c r="A830">
        <v>103.8315288</v>
      </c>
      <c r="B830" s="2">
        <f t="shared" si="192"/>
        <v>1.2639239831780847E-2</v>
      </c>
      <c r="C830">
        <v>126.87947579999999</v>
      </c>
      <c r="D830" s="3">
        <f t="shared" si="193"/>
        <v>-3.3663404662634248E-3</v>
      </c>
      <c r="E830" s="3">
        <f t="shared" si="195"/>
        <v>-6.7705732589415975E-3</v>
      </c>
      <c r="F830" s="3">
        <f>STDEV($E$32:E830)</f>
        <v>1.2938471585278041E-2</v>
      </c>
      <c r="G830" s="14">
        <f t="shared" si="198"/>
        <v>-0.52329003579104749</v>
      </c>
      <c r="H830" s="15">
        <f>yint($B$3:B830,$D$3:D830)</f>
        <v>3.4658822341528253E-4</v>
      </c>
      <c r="I830" s="16">
        <f>MyReg($B$3:B830,$D$3:D830)</f>
        <v>0.24191680907696439</v>
      </c>
      <c r="J830" s="17">
        <f>STDEV($D$3:D830)</f>
        <v>1.3226774548102482E-2</v>
      </c>
      <c r="K830" s="4">
        <f t="shared" si="196"/>
        <v>3.4042327926781732E-3</v>
      </c>
      <c r="L830">
        <f t="shared" si="199"/>
        <v>-0.52329003579104749</v>
      </c>
      <c r="M830">
        <f>RSQ($D$3:D830,$B$3:B830)</f>
        <v>4.8141141138588743E-2</v>
      </c>
      <c r="N830">
        <v>798</v>
      </c>
      <c r="O830" t="str">
        <f t="shared" si="197"/>
        <v/>
      </c>
      <c r="P830" t="str">
        <f t="shared" si="201"/>
        <v/>
      </c>
      <c r="Q830">
        <f t="shared" si="202"/>
        <v>0</v>
      </c>
      <c r="R830">
        <f t="shared" si="203"/>
        <v>0</v>
      </c>
      <c r="S830">
        <f t="shared" si="204"/>
        <v>0</v>
      </c>
      <c r="T830">
        <f t="shared" si="205"/>
        <v>0</v>
      </c>
      <c r="U830">
        <f t="shared" si="200"/>
        <v>0</v>
      </c>
      <c r="V830">
        <f t="shared" si="206"/>
        <v>0</v>
      </c>
      <c r="W830">
        <f t="shared" si="194"/>
        <v>0</v>
      </c>
      <c r="X830">
        <f>SUM($W$34:W830)</f>
        <v>308.60990869999978</v>
      </c>
      <c r="Y830">
        <f t="shared" si="207"/>
        <v>0</v>
      </c>
    </row>
    <row r="831" spans="1:25">
      <c r="A831">
        <v>106.56905949999999</v>
      </c>
      <c r="B831" s="2">
        <f t="shared" si="192"/>
        <v>2.6365119840169333E-2</v>
      </c>
      <c r="C831">
        <v>129.27108129999999</v>
      </c>
      <c r="D831" s="3">
        <f t="shared" si="193"/>
        <v>1.8849427655028169E-2</v>
      </c>
      <c r="E831" s="3">
        <f t="shared" si="195"/>
        <v>1.20404325094873E-2</v>
      </c>
      <c r="F831" s="3">
        <f>STDEV($E$32:E831)</f>
        <v>1.2937140703561122E-2</v>
      </c>
      <c r="G831" s="14">
        <f t="shared" si="198"/>
        <v>0.93068729678212503</v>
      </c>
      <c r="H831" s="15">
        <f>yint($B$3:B831,$D$3:D831)</f>
        <v>3.6081831580979395E-4</v>
      </c>
      <c r="I831" s="16">
        <f>MyReg($B$3:B831,$D$3:D831)</f>
        <v>0.24457225564765955</v>
      </c>
      <c r="J831" s="17">
        <f>STDEV($D$3:D831)</f>
        <v>1.3234348619512304E-2</v>
      </c>
      <c r="K831" s="4">
        <f t="shared" si="196"/>
        <v>6.8089951455408693E-3</v>
      </c>
      <c r="L831">
        <f t="shared" si="199"/>
        <v>0.93068729678212503</v>
      </c>
      <c r="M831">
        <f>RSQ($D$3:D831,$B$3:B831)</f>
        <v>4.937196152348295E-2</v>
      </c>
      <c r="N831">
        <v>799</v>
      </c>
      <c r="O831" t="str">
        <f t="shared" si="197"/>
        <v/>
      </c>
      <c r="P831" t="str">
        <f t="shared" si="201"/>
        <v/>
      </c>
      <c r="Q831">
        <f t="shared" si="202"/>
        <v>0</v>
      </c>
      <c r="R831">
        <f t="shared" si="203"/>
        <v>0</v>
      </c>
      <c r="S831">
        <f t="shared" si="204"/>
        <v>0</v>
      </c>
      <c r="T831">
        <f t="shared" si="205"/>
        <v>0</v>
      </c>
      <c r="U831">
        <f t="shared" si="200"/>
        <v>0</v>
      </c>
      <c r="V831">
        <f t="shared" si="206"/>
        <v>0</v>
      </c>
      <c r="W831">
        <f t="shared" si="194"/>
        <v>0</v>
      </c>
      <c r="X831">
        <f>SUM($W$34:W831)</f>
        <v>308.60990869999978</v>
      </c>
      <c r="Y831">
        <f t="shared" si="207"/>
        <v>0</v>
      </c>
    </row>
    <row r="832" spans="1:25">
      <c r="A832">
        <v>109.72131709999999</v>
      </c>
      <c r="B832" s="2">
        <f t="shared" si="192"/>
        <v>2.9579482213596891E-2</v>
      </c>
      <c r="C832">
        <v>128.8134618</v>
      </c>
      <c r="D832" s="3">
        <f t="shared" si="193"/>
        <v>-3.53999901136429E-3</v>
      </c>
      <c r="E832" s="3">
        <f t="shared" si="195"/>
        <v>-1.1041919899129799E-2</v>
      </c>
      <c r="F832" s="3">
        <f>STDEV($E$32:E832)</f>
        <v>1.2935174864979953E-2</v>
      </c>
      <c r="G832" s="14">
        <f t="shared" si="198"/>
        <v>-0.85363514713853172</v>
      </c>
      <c r="H832" s="15">
        <f>yint($B$3:B832,$D$3:D832)</f>
        <v>3.4790316430695394E-4</v>
      </c>
      <c r="I832" s="16">
        <f>MyReg($B$3:B832,$D$3:D832)</f>
        <v>0.24185743590095865</v>
      </c>
      <c r="J832" s="17">
        <f>STDEV($D$3:D832)</f>
        <v>1.3227070129124408E-2</v>
      </c>
      <c r="K832" s="4">
        <f t="shared" si="196"/>
        <v>7.50192088776551E-3</v>
      </c>
      <c r="L832">
        <f t="shared" si="199"/>
        <v>-0.85363514713853172</v>
      </c>
      <c r="M832">
        <f>RSQ($D$3:D832,$B$3:B832)</f>
        <v>4.8625712475471157E-2</v>
      </c>
      <c r="N832">
        <v>800</v>
      </c>
      <c r="O832" t="str">
        <f t="shared" si="197"/>
        <v/>
      </c>
      <c r="P832" t="str">
        <f t="shared" si="201"/>
        <v/>
      </c>
      <c r="Q832">
        <f t="shared" si="202"/>
        <v>0</v>
      </c>
      <c r="R832">
        <f t="shared" si="203"/>
        <v>0</v>
      </c>
      <c r="S832">
        <f t="shared" si="204"/>
        <v>0</v>
      </c>
      <c r="T832">
        <f t="shared" si="205"/>
        <v>0</v>
      </c>
      <c r="U832">
        <f t="shared" si="200"/>
        <v>0</v>
      </c>
      <c r="V832">
        <f t="shared" si="206"/>
        <v>0</v>
      </c>
      <c r="W832">
        <f t="shared" si="194"/>
        <v>0</v>
      </c>
      <c r="X832">
        <f>SUM($W$34:W832)</f>
        <v>308.60990869999978</v>
      </c>
      <c r="Y832">
        <f t="shared" si="207"/>
        <v>0</v>
      </c>
    </row>
    <row r="833" spans="1:25">
      <c r="A833">
        <v>109.94400760000001</v>
      </c>
      <c r="B833" s="2">
        <f t="shared" si="192"/>
        <v>2.0296010464133686E-3</v>
      </c>
      <c r="C833">
        <v>128.57056320000001</v>
      </c>
      <c r="D833" s="3">
        <f t="shared" si="193"/>
        <v>-1.8856616118051533E-3</v>
      </c>
      <c r="E833" s="3">
        <f t="shared" si="195"/>
        <v>-2.7210836267777738E-3</v>
      </c>
      <c r="F833" s="3">
        <f>STDEV($E$32:E833)</f>
        <v>1.292751123905019E-2</v>
      </c>
      <c r="G833" s="14">
        <f t="shared" si="198"/>
        <v>-0.21048781752810894</v>
      </c>
      <c r="H833" s="15">
        <f>yint($B$3:B833,$D$3:D833)</f>
        <v>3.4463243041968361E-4</v>
      </c>
      <c r="I833" s="16">
        <f>MyReg($B$3:B833,$D$3:D833)</f>
        <v>0.24181579203471601</v>
      </c>
      <c r="J833" s="17">
        <f>STDEV($D$3:D833)</f>
        <v>1.3219335843145032E-2</v>
      </c>
      <c r="K833" s="4">
        <f t="shared" si="196"/>
        <v>8.3542201497262074E-4</v>
      </c>
      <c r="L833">
        <f t="shared" si="199"/>
        <v>-0.21048781752810894</v>
      </c>
      <c r="M833">
        <f>RSQ($D$3:D833,$B$3:B833)</f>
        <v>4.8608602512324364E-2</v>
      </c>
      <c r="N833">
        <v>801</v>
      </c>
      <c r="O833" t="str">
        <f t="shared" si="197"/>
        <v/>
      </c>
      <c r="P833" t="str">
        <f t="shared" si="201"/>
        <v/>
      </c>
      <c r="Q833">
        <f t="shared" si="202"/>
        <v>0</v>
      </c>
      <c r="R833">
        <f t="shared" si="203"/>
        <v>0</v>
      </c>
      <c r="S833">
        <f t="shared" si="204"/>
        <v>0</v>
      </c>
      <c r="T833">
        <f t="shared" si="205"/>
        <v>0</v>
      </c>
      <c r="U833">
        <f t="shared" si="200"/>
        <v>0</v>
      </c>
      <c r="V833">
        <f t="shared" si="206"/>
        <v>0</v>
      </c>
      <c r="W833">
        <f t="shared" si="194"/>
        <v>0</v>
      </c>
      <c r="X833">
        <f>SUM($W$34:W833)</f>
        <v>308.60990869999978</v>
      </c>
      <c r="Y833">
        <f t="shared" si="207"/>
        <v>0</v>
      </c>
    </row>
    <row r="834" spans="1:25">
      <c r="A834">
        <v>109.1537945</v>
      </c>
      <c r="B834" s="2">
        <f t="shared" si="192"/>
        <v>-7.1874140050903739E-3</v>
      </c>
      <c r="C834">
        <v>129.15618499999999</v>
      </c>
      <c r="D834" s="3">
        <f t="shared" si="193"/>
        <v>4.5548668795127763E-3</v>
      </c>
      <c r="E834" s="3">
        <f t="shared" si="195"/>
        <v>5.9384403136062136E-3</v>
      </c>
      <c r="F834" s="3">
        <f>STDEV($E$32:E834)</f>
        <v>1.2921034685479418E-2</v>
      </c>
      <c r="G834" s="14">
        <f t="shared" si="198"/>
        <v>0.45959479702347661</v>
      </c>
      <c r="H834" s="15">
        <f>yint($B$3:B834,$D$3:D834)</f>
        <v>3.5184635591455077E-4</v>
      </c>
      <c r="I834" s="16">
        <f>MyReg($B$3:B834,$D$3:D834)</f>
        <v>0.24145259877598585</v>
      </c>
      <c r="J834" s="17">
        <f>STDEV($D$3:D834)</f>
        <v>1.3212168684765428E-2</v>
      </c>
      <c r="K834" s="4">
        <f t="shared" si="196"/>
        <v>-1.3835734340934369E-3</v>
      </c>
      <c r="L834">
        <f t="shared" si="199"/>
        <v>0.45959479702347661</v>
      </c>
      <c r="M834">
        <f>RSQ($D$3:D834,$B$3:B834)</f>
        <v>4.8478736363342753E-2</v>
      </c>
      <c r="N834">
        <v>802</v>
      </c>
      <c r="O834" t="str">
        <f t="shared" si="197"/>
        <v/>
      </c>
      <c r="P834" t="str">
        <f t="shared" si="201"/>
        <v/>
      </c>
      <c r="Q834">
        <f t="shared" si="202"/>
        <v>0</v>
      </c>
      <c r="R834">
        <f t="shared" si="203"/>
        <v>0</v>
      </c>
      <c r="S834">
        <f t="shared" si="204"/>
        <v>0</v>
      </c>
      <c r="T834">
        <f t="shared" si="205"/>
        <v>0</v>
      </c>
      <c r="U834">
        <f t="shared" si="200"/>
        <v>0</v>
      </c>
      <c r="V834">
        <f t="shared" si="206"/>
        <v>0</v>
      </c>
      <c r="W834">
        <f t="shared" si="194"/>
        <v>0</v>
      </c>
      <c r="X834">
        <f>SUM($W$34:W834)</f>
        <v>308.60990869999978</v>
      </c>
      <c r="Y834">
        <f t="shared" si="207"/>
        <v>0</v>
      </c>
    </row>
    <row r="835" spans="1:25">
      <c r="A835">
        <v>109.54147690000001</v>
      </c>
      <c r="B835" s="2">
        <f t="shared" si="192"/>
        <v>3.5517079527638659E-3</v>
      </c>
      <c r="C835">
        <v>129.9078255</v>
      </c>
      <c r="D835" s="3">
        <f t="shared" si="193"/>
        <v>5.8196245112071693E-3</v>
      </c>
      <c r="E835" s="3">
        <f t="shared" si="195"/>
        <v>4.6042405942187548E-3</v>
      </c>
      <c r="F835" s="3">
        <f>STDEV($E$32:E835)</f>
        <v>1.2913916690208947E-2</v>
      </c>
      <c r="G835" s="14">
        <f t="shared" si="198"/>
        <v>0.35653324275427539</v>
      </c>
      <c r="H835" s="15">
        <f>yint($B$3:B835,$D$3:D835)</f>
        <v>3.5735740382697071E-4</v>
      </c>
      <c r="I835" s="16">
        <f>MyReg($B$3:B835,$D$3:D835)</f>
        <v>0.24158138128833062</v>
      </c>
      <c r="J835" s="17">
        <f>STDEV($D$3:D835)</f>
        <v>1.3205564014392651E-2</v>
      </c>
      <c r="K835" s="4">
        <f t="shared" si="196"/>
        <v>1.2153839169884145E-3</v>
      </c>
      <c r="L835">
        <f t="shared" si="199"/>
        <v>0.35653324275427539</v>
      </c>
      <c r="M835">
        <f>RSQ($D$3:D835,$B$3:B835)</f>
        <v>4.8525205574559395E-2</v>
      </c>
      <c r="N835">
        <v>803</v>
      </c>
      <c r="O835" t="str">
        <f t="shared" si="197"/>
        <v/>
      </c>
      <c r="P835" t="str">
        <f t="shared" si="201"/>
        <v/>
      </c>
      <c r="Q835">
        <f t="shared" si="202"/>
        <v>0</v>
      </c>
      <c r="R835">
        <f t="shared" si="203"/>
        <v>0</v>
      </c>
      <c r="S835">
        <f t="shared" si="204"/>
        <v>0</v>
      </c>
      <c r="T835">
        <f t="shared" si="205"/>
        <v>0</v>
      </c>
      <c r="U835">
        <f t="shared" si="200"/>
        <v>0</v>
      </c>
      <c r="V835">
        <f t="shared" si="206"/>
        <v>0</v>
      </c>
      <c r="W835">
        <f t="shared" si="194"/>
        <v>0</v>
      </c>
      <c r="X835">
        <f>SUM($W$34:W835)</f>
        <v>308.60990869999978</v>
      </c>
      <c r="Y835">
        <f t="shared" si="207"/>
        <v>0</v>
      </c>
    </row>
    <row r="836" spans="1:25">
      <c r="A836">
        <v>108.8380899</v>
      </c>
      <c r="B836" s="2">
        <f t="shared" ref="B836:B899" si="208">(A836-A835)/A835</f>
        <v>-6.4211933224355344E-3</v>
      </c>
      <c r="C836">
        <v>130.3063435</v>
      </c>
      <c r="D836" s="3">
        <f t="shared" ref="D836:D899" si="209">(C836-C835)/C835</f>
        <v>3.0676981811230126E-3</v>
      </c>
      <c r="E836" s="3">
        <f t="shared" si="195"/>
        <v>4.2549357588952943E-3</v>
      </c>
      <c r="F836" s="3">
        <f>STDEV($E$32:E836)</f>
        <v>1.2906668498268466E-2</v>
      </c>
      <c r="G836" s="14">
        <f t="shared" si="198"/>
        <v>0.32966956263470532</v>
      </c>
      <c r="H836" s="15">
        <f>yint($B$3:B836,$D$3:D836)</f>
        <v>3.6250771739088723E-4</v>
      </c>
      <c r="I836" s="16">
        <f>MyReg($B$3:B836,$D$3:D836)</f>
        <v>0.24134848732063346</v>
      </c>
      <c r="J836" s="17">
        <f>STDEV($D$3:D836)</f>
        <v>1.3197958091620127E-2</v>
      </c>
      <c r="K836" s="4">
        <f t="shared" si="196"/>
        <v>-1.1872375777722817E-3</v>
      </c>
      <c r="L836">
        <f t="shared" si="199"/>
        <v>0.32966956263470532</v>
      </c>
      <c r="M836">
        <f>RSQ($D$3:D836,$B$3:B836)</f>
        <v>4.8446802119221276E-2</v>
      </c>
      <c r="N836">
        <v>804</v>
      </c>
      <c r="O836" t="str">
        <f t="shared" si="197"/>
        <v/>
      </c>
      <c r="P836" t="str">
        <f t="shared" si="201"/>
        <v/>
      </c>
      <c r="Q836">
        <f t="shared" si="202"/>
        <v>0</v>
      </c>
      <c r="R836">
        <f t="shared" si="203"/>
        <v>0</v>
      </c>
      <c r="S836">
        <f t="shared" si="204"/>
        <v>0</v>
      </c>
      <c r="T836">
        <f t="shared" si="205"/>
        <v>0</v>
      </c>
      <c r="U836">
        <f t="shared" si="200"/>
        <v>0</v>
      </c>
      <c r="V836">
        <f t="shared" si="206"/>
        <v>0</v>
      </c>
      <c r="W836">
        <f t="shared" si="194"/>
        <v>0</v>
      </c>
      <c r="X836">
        <f>SUM($W$34:W836)</f>
        <v>308.60990869999978</v>
      </c>
      <c r="Y836">
        <f t="shared" si="207"/>
        <v>0</v>
      </c>
    </row>
    <row r="837" spans="1:25">
      <c r="A837">
        <v>107.0454818</v>
      </c>
      <c r="B837" s="2">
        <f t="shared" si="208"/>
        <v>-1.6470411247083042E-2</v>
      </c>
      <c r="C837">
        <v>130.29669319999999</v>
      </c>
      <c r="D837" s="3">
        <f t="shared" si="209"/>
        <v>-7.4058558783856196E-5</v>
      </c>
      <c r="E837" s="3">
        <f t="shared" si="195"/>
        <v>3.5262196604581523E-3</v>
      </c>
      <c r="F837" s="3">
        <f>STDEV($E$32:E837)</f>
        <v>1.2899175058458012E-2</v>
      </c>
      <c r="G837" s="14">
        <f t="shared" si="198"/>
        <v>0.27336784286418409</v>
      </c>
      <c r="H837" s="15">
        <f>yint($B$3:B837,$D$3:D837)</f>
        <v>3.6682038018739059E-4</v>
      </c>
      <c r="I837" s="16">
        <f>MyReg($B$3:B837,$D$3:D837)</f>
        <v>0.24086214605794884</v>
      </c>
      <c r="J837" s="17">
        <f>STDEV($D$3:D837)</f>
        <v>1.3190053669647445E-2</v>
      </c>
      <c r="K837" s="4">
        <f t="shared" si="196"/>
        <v>-3.6002782192420084E-3</v>
      </c>
      <c r="L837">
        <f t="shared" si="199"/>
        <v>0.27336784286418409</v>
      </c>
      <c r="M837">
        <f>RSQ($D$3:D837,$B$3:B837)</f>
        <v>4.8362306836958309E-2</v>
      </c>
      <c r="N837">
        <v>805</v>
      </c>
      <c r="O837" t="str">
        <f t="shared" si="197"/>
        <v/>
      </c>
      <c r="P837" t="str">
        <f t="shared" si="201"/>
        <v/>
      </c>
      <c r="Q837">
        <f t="shared" si="202"/>
        <v>0</v>
      </c>
      <c r="R837">
        <f t="shared" si="203"/>
        <v>0</v>
      </c>
      <c r="S837">
        <f t="shared" si="204"/>
        <v>0</v>
      </c>
      <c r="T837">
        <f t="shared" si="205"/>
        <v>0</v>
      </c>
      <c r="U837">
        <f t="shared" si="200"/>
        <v>0</v>
      </c>
      <c r="V837">
        <f t="shared" si="206"/>
        <v>0</v>
      </c>
      <c r="W837">
        <f t="shared" si="194"/>
        <v>0</v>
      </c>
      <c r="X837">
        <f>SUM($W$34:W837)</f>
        <v>308.60990869999978</v>
      </c>
      <c r="Y837">
        <f t="shared" si="207"/>
        <v>0</v>
      </c>
    </row>
    <row r="838" spans="1:25">
      <c r="A838">
        <v>105.3613142</v>
      </c>
      <c r="B838" s="2">
        <f t="shared" si="208"/>
        <v>-1.5733196503768823E-2</v>
      </c>
      <c r="C838">
        <v>130.4260496</v>
      </c>
      <c r="D838" s="3">
        <f t="shared" si="209"/>
        <v>9.9278344540524406E-4</v>
      </c>
      <c r="E838" s="3">
        <f t="shared" si="195"/>
        <v>4.4010400895058317E-3</v>
      </c>
      <c r="F838" s="3">
        <f>STDEV($E$32:E838)</f>
        <v>1.2892008993540276E-2</v>
      </c>
      <c r="G838" s="14">
        <f t="shared" si="198"/>
        <v>0.34137736730644813</v>
      </c>
      <c r="H838" s="15">
        <f>yint($B$3:B838,$D$3:D838)</f>
        <v>3.7218009710155423E-4</v>
      </c>
      <c r="I838" s="16">
        <f>MyReg($B$3:B838,$D$3:D838)</f>
        <v>0.24028408596413026</v>
      </c>
      <c r="J838" s="17">
        <f>STDEV($D$3:D838)</f>
        <v>1.3182168801180874E-2</v>
      </c>
      <c r="K838" s="4">
        <f t="shared" si="196"/>
        <v>-3.4082566441005872E-3</v>
      </c>
      <c r="L838">
        <f t="shared" si="199"/>
        <v>0.34137736730644813</v>
      </c>
      <c r="M838">
        <f>RSQ($D$3:D838,$B$3:B838)</f>
        <v>4.8230649517498198E-2</v>
      </c>
      <c r="N838">
        <v>806</v>
      </c>
      <c r="O838" t="str">
        <f t="shared" si="197"/>
        <v/>
      </c>
      <c r="P838" t="str">
        <f t="shared" si="201"/>
        <v/>
      </c>
      <c r="Q838">
        <f t="shared" si="202"/>
        <v>0</v>
      </c>
      <c r="R838">
        <f t="shared" si="203"/>
        <v>0</v>
      </c>
      <c r="S838">
        <f t="shared" si="204"/>
        <v>0</v>
      </c>
      <c r="T838">
        <f t="shared" si="205"/>
        <v>0</v>
      </c>
      <c r="U838">
        <f t="shared" si="200"/>
        <v>0</v>
      </c>
      <c r="V838">
        <f t="shared" si="206"/>
        <v>0</v>
      </c>
      <c r="W838">
        <f t="shared" si="194"/>
        <v>0</v>
      </c>
      <c r="X838">
        <f>SUM($W$34:W838)</f>
        <v>308.60990869999978</v>
      </c>
      <c r="Y838">
        <f t="shared" si="207"/>
        <v>0</v>
      </c>
    </row>
    <row r="839" spans="1:25">
      <c r="A839">
        <v>106.2229189</v>
      </c>
      <c r="B839" s="2">
        <f t="shared" si="208"/>
        <v>8.1776191436306218E-3</v>
      </c>
      <c r="C839">
        <v>132.2513386</v>
      </c>
      <c r="D839" s="3">
        <f t="shared" si="209"/>
        <v>1.3994819329404867E-2</v>
      </c>
      <c r="E839" s="3">
        <f t="shared" si="195"/>
        <v>1.1637556477382351E-2</v>
      </c>
      <c r="F839" s="3">
        <f>STDEV($E$32:E839)</f>
        <v>1.2890268039225957E-2</v>
      </c>
      <c r="G839" s="14">
        <f t="shared" si="198"/>
        <v>0.90281726042999877</v>
      </c>
      <c r="H839" s="15">
        <f>yint($B$3:B839,$D$3:D839)</f>
        <v>3.8599639049382737E-4</v>
      </c>
      <c r="I839" s="16">
        <f>MyReg($B$3:B839,$D$3:D839)</f>
        <v>0.2410562814072929</v>
      </c>
      <c r="J839" s="17">
        <f>STDEV($D$3:D839)</f>
        <v>1.3182654417868266E-2</v>
      </c>
      <c r="K839" s="4">
        <f t="shared" si="196"/>
        <v>2.3572628520225161E-3</v>
      </c>
      <c r="L839">
        <f t="shared" si="199"/>
        <v>0.90281726042999877</v>
      </c>
      <c r="M839">
        <f>RSQ($D$3:D839,$B$3:B839)</f>
        <v>4.8505348226682794E-2</v>
      </c>
      <c r="N839">
        <v>807</v>
      </c>
      <c r="O839" t="str">
        <f t="shared" si="197"/>
        <v/>
      </c>
      <c r="P839" t="str">
        <f t="shared" si="201"/>
        <v/>
      </c>
      <c r="Q839">
        <f t="shared" si="202"/>
        <v>0</v>
      </c>
      <c r="R839">
        <f t="shared" si="203"/>
        <v>0</v>
      </c>
      <c r="S839">
        <f t="shared" si="204"/>
        <v>0</v>
      </c>
      <c r="T839">
        <f t="shared" si="205"/>
        <v>0</v>
      </c>
      <c r="U839">
        <f t="shared" si="200"/>
        <v>0</v>
      </c>
      <c r="V839">
        <f t="shared" si="206"/>
        <v>0</v>
      </c>
      <c r="W839">
        <f t="shared" si="194"/>
        <v>0</v>
      </c>
      <c r="X839">
        <f>SUM($W$34:W839)</f>
        <v>308.60990869999978</v>
      </c>
      <c r="Y839">
        <f t="shared" si="207"/>
        <v>0</v>
      </c>
    </row>
    <row r="840" spans="1:25">
      <c r="A840">
        <v>106.22847109999999</v>
      </c>
      <c r="B840" s="2">
        <f t="shared" si="208"/>
        <v>5.2269322454071518E-5</v>
      </c>
      <c r="C840">
        <v>132.48621779999999</v>
      </c>
      <c r="D840" s="3">
        <f t="shared" si="209"/>
        <v>1.7760062203256567E-3</v>
      </c>
      <c r="E840" s="3">
        <f t="shared" si="195"/>
        <v>1.3757661974353836E-3</v>
      </c>
      <c r="F840" s="3">
        <f>STDEV($E$32:E840)</f>
        <v>1.2882350405114311E-2</v>
      </c>
      <c r="G840" s="14">
        <f t="shared" si="198"/>
        <v>0.10679465735454631</v>
      </c>
      <c r="H840" s="15">
        <f>yint($B$3:B840,$D$3:D840)</f>
        <v>3.8764022912808735E-4</v>
      </c>
      <c r="I840" s="16">
        <f>MyReg($B$3:B840,$D$3:D840)</f>
        <v>0.24105523413388227</v>
      </c>
      <c r="J840" s="17">
        <f>STDEV($D$3:D840)</f>
        <v>1.3174860290185662E-2</v>
      </c>
      <c r="K840" s="4">
        <f t="shared" si="196"/>
        <v>4.0024002289027296E-4</v>
      </c>
      <c r="L840">
        <f t="shared" si="199"/>
        <v>0.10679465735454631</v>
      </c>
      <c r="M840">
        <f>RSQ($D$3:D840,$B$3:B840)</f>
        <v>4.8504317776558101E-2</v>
      </c>
      <c r="N840">
        <v>808</v>
      </c>
      <c r="O840" t="str">
        <f t="shared" si="197"/>
        <v/>
      </c>
      <c r="P840" t="str">
        <f t="shared" si="201"/>
        <v/>
      </c>
      <c r="Q840">
        <f t="shared" si="202"/>
        <v>0</v>
      </c>
      <c r="R840">
        <f t="shared" si="203"/>
        <v>0</v>
      </c>
      <c r="S840">
        <f t="shared" si="204"/>
        <v>0</v>
      </c>
      <c r="T840">
        <f t="shared" si="205"/>
        <v>0</v>
      </c>
      <c r="U840">
        <f t="shared" si="200"/>
        <v>0</v>
      </c>
      <c r="V840">
        <f t="shared" si="206"/>
        <v>0</v>
      </c>
      <c r="W840">
        <f t="shared" si="194"/>
        <v>0</v>
      </c>
      <c r="X840">
        <f>SUM($W$34:W840)</f>
        <v>308.60990869999978</v>
      </c>
      <c r="Y840">
        <f t="shared" si="207"/>
        <v>0</v>
      </c>
    </row>
    <row r="841" spans="1:25">
      <c r="A841">
        <v>105.6278992</v>
      </c>
      <c r="B841" s="2">
        <f t="shared" si="208"/>
        <v>-5.6535869694917546E-3</v>
      </c>
      <c r="C841">
        <v>130.904584</v>
      </c>
      <c r="D841" s="3">
        <f t="shared" si="209"/>
        <v>-1.1938100628607361E-2</v>
      </c>
      <c r="E841" s="3">
        <f t="shared" si="195"/>
        <v>-1.0946816587805382E-2</v>
      </c>
      <c r="F841" s="3">
        <f>STDEV($E$32:E841)</f>
        <v>1.2880390384843496E-2</v>
      </c>
      <c r="G841" s="14">
        <f t="shared" si="198"/>
        <v>-0.84988236076187784</v>
      </c>
      <c r="H841" s="15">
        <f>yint($B$3:B841,$D$3:D841)</f>
        <v>3.7450158834678683E-4</v>
      </c>
      <c r="I841" s="16">
        <f>MyReg($B$3:B841,$D$3:D841)</f>
        <v>0.24157860072179024</v>
      </c>
      <c r="J841" s="17">
        <f>STDEV($D$3:D841)</f>
        <v>1.3173910328222032E-2</v>
      </c>
      <c r="K841" s="4">
        <f t="shared" si="196"/>
        <v>-9.9128404080197794E-4</v>
      </c>
      <c r="L841">
        <f t="shared" si="199"/>
        <v>-0.84988236076187784</v>
      </c>
      <c r="M841">
        <f>RSQ($D$3:D841,$B$3:B841)</f>
        <v>4.8677525213879282E-2</v>
      </c>
      <c r="N841">
        <v>809</v>
      </c>
      <c r="O841" t="str">
        <f t="shared" si="197"/>
        <v/>
      </c>
      <c r="P841" t="str">
        <f t="shared" si="201"/>
        <v/>
      </c>
      <c r="Q841">
        <f t="shared" si="202"/>
        <v>0</v>
      </c>
      <c r="R841">
        <f t="shared" si="203"/>
        <v>0</v>
      </c>
      <c r="S841">
        <f t="shared" si="204"/>
        <v>0</v>
      </c>
      <c r="T841">
        <f t="shared" si="205"/>
        <v>0</v>
      </c>
      <c r="U841">
        <f t="shared" si="200"/>
        <v>0</v>
      </c>
      <c r="V841">
        <f t="shared" si="206"/>
        <v>0</v>
      </c>
      <c r="W841">
        <f t="shared" si="194"/>
        <v>0</v>
      </c>
      <c r="X841">
        <f>SUM($W$34:W841)</f>
        <v>308.60990869999978</v>
      </c>
      <c r="Y841">
        <f t="shared" si="207"/>
        <v>0</v>
      </c>
    </row>
    <row r="842" spans="1:25">
      <c r="A842">
        <v>105.400869</v>
      </c>
      <c r="B842" s="2">
        <f t="shared" si="208"/>
        <v>-2.149339348027112E-3</v>
      </c>
      <c r="C842">
        <v>130.42847190000001</v>
      </c>
      <c r="D842" s="3">
        <f t="shared" si="209"/>
        <v>-3.6370926475729421E-3</v>
      </c>
      <c r="E842" s="3">
        <f t="shared" si="195"/>
        <v>-3.4880520701633623E-3</v>
      </c>
      <c r="F842" s="3">
        <f>STDEV($E$32:E842)</f>
        <v>1.2873099600355388E-2</v>
      </c>
      <c r="G842" s="14">
        <f t="shared" si="198"/>
        <v>-0.27095665989153594</v>
      </c>
      <c r="H842" s="15">
        <f>yint($B$3:B842,$D$3:D842)</f>
        <v>3.7033515017424995E-4</v>
      </c>
      <c r="I842" s="16">
        <f>MyReg($B$3:B842,$D$3:D842)</f>
        <v>0.24164435832832407</v>
      </c>
      <c r="J842" s="17">
        <f>STDEV($D$3:D842)</f>
        <v>1.3166796671705528E-2</v>
      </c>
      <c r="K842" s="4">
        <f t="shared" si="196"/>
        <v>-1.4904057740957992E-4</v>
      </c>
      <c r="L842">
        <f t="shared" si="199"/>
        <v>-0.27095665989153594</v>
      </c>
      <c r="M842">
        <f>RSQ($D$3:D842,$B$3:B842)</f>
        <v>4.8700654147137194E-2</v>
      </c>
      <c r="N842">
        <v>810</v>
      </c>
      <c r="O842" t="str">
        <f t="shared" si="197"/>
        <v/>
      </c>
      <c r="P842" t="str">
        <f t="shared" si="201"/>
        <v/>
      </c>
      <c r="Q842">
        <f t="shared" si="202"/>
        <v>0</v>
      </c>
      <c r="R842">
        <f t="shared" si="203"/>
        <v>0</v>
      </c>
      <c r="S842">
        <f t="shared" si="204"/>
        <v>0</v>
      </c>
      <c r="T842">
        <f t="shared" si="205"/>
        <v>0</v>
      </c>
      <c r="U842">
        <f t="shared" si="200"/>
        <v>0</v>
      </c>
      <c r="V842">
        <f t="shared" si="206"/>
        <v>0</v>
      </c>
      <c r="W842">
        <f t="shared" si="194"/>
        <v>0</v>
      </c>
      <c r="X842">
        <f>SUM($W$34:W842)</f>
        <v>308.60990869999978</v>
      </c>
      <c r="Y842">
        <f t="shared" si="207"/>
        <v>0</v>
      </c>
    </row>
    <row r="843" spans="1:25">
      <c r="A843">
        <v>106.8847075</v>
      </c>
      <c r="B843" s="2">
        <f t="shared" si="208"/>
        <v>1.4078048066188188E-2</v>
      </c>
      <c r="C843">
        <v>129.5485334</v>
      </c>
      <c r="D843" s="3">
        <f t="shared" si="209"/>
        <v>-6.7465215775483495E-3</v>
      </c>
      <c r="E843" s="3">
        <f t="shared" si="195"/>
        <v>-1.0489439952803457E-2</v>
      </c>
      <c r="F843" s="3">
        <f>STDEV($E$32:E843)</f>
        <v>1.2870655768317451E-2</v>
      </c>
      <c r="G843" s="14">
        <f t="shared" si="198"/>
        <v>-0.81498877303706463</v>
      </c>
      <c r="H843" s="15">
        <f>yint($B$3:B843,$D$3:D843)</f>
        <v>3.5801029095131206E-4</v>
      </c>
      <c r="I843" s="16">
        <f>MyReg($B$3:B843,$D$3:D843)</f>
        <v>0.24043873613654332</v>
      </c>
      <c r="J843" s="17">
        <f>STDEV($D$3:D843)</f>
        <v>1.3161266142973155E-2</v>
      </c>
      <c r="K843" s="4">
        <f t="shared" si="196"/>
        <v>3.7429183752551078E-3</v>
      </c>
      <c r="L843">
        <f t="shared" si="199"/>
        <v>-0.81498877303706463</v>
      </c>
      <c r="M843">
        <f>RSQ($D$3:D843,$B$3:B843)</f>
        <v>4.8276141174314953E-2</v>
      </c>
      <c r="N843">
        <v>811</v>
      </c>
      <c r="O843" t="str">
        <f t="shared" si="197"/>
        <v/>
      </c>
      <c r="P843" t="str">
        <f t="shared" si="201"/>
        <v/>
      </c>
      <c r="Q843">
        <f t="shared" si="202"/>
        <v>0</v>
      </c>
      <c r="R843">
        <f t="shared" si="203"/>
        <v>0</v>
      </c>
      <c r="S843">
        <f t="shared" si="204"/>
        <v>0</v>
      </c>
      <c r="T843">
        <f t="shared" si="205"/>
        <v>0</v>
      </c>
      <c r="U843">
        <f t="shared" si="200"/>
        <v>0</v>
      </c>
      <c r="V843">
        <f t="shared" si="206"/>
        <v>0</v>
      </c>
      <c r="W843">
        <f t="shared" si="194"/>
        <v>0</v>
      </c>
      <c r="X843">
        <f>SUM($W$34:W843)</f>
        <v>308.60990869999978</v>
      </c>
      <c r="Y843">
        <f t="shared" si="207"/>
        <v>0</v>
      </c>
    </row>
    <row r="844" spans="1:25">
      <c r="A844">
        <v>109.00494569999999</v>
      </c>
      <c r="B844" s="2">
        <f t="shared" si="208"/>
        <v>1.9836684307715288E-2</v>
      </c>
      <c r="C844">
        <v>132.0091189</v>
      </c>
      <c r="D844" s="3">
        <f t="shared" si="209"/>
        <v>1.8993541921486605E-2</v>
      </c>
      <c r="E844" s="3">
        <f t="shared" si="195"/>
        <v>1.3805579661747756E-2</v>
      </c>
      <c r="F844" s="3">
        <f>STDEV($E$32:E844)</f>
        <v>1.2871558233480809E-2</v>
      </c>
      <c r="G844" s="14">
        <f t="shared" si="198"/>
        <v>1.0725647517825325</v>
      </c>
      <c r="H844" s="15">
        <f>yint($B$3:B844,$D$3:D844)</f>
        <v>3.7408728479921898E-4</v>
      </c>
      <c r="I844" s="16">
        <f>MyReg($B$3:B844,$D$3:D844)</f>
        <v>0.24267538366113528</v>
      </c>
      <c r="J844" s="17">
        <f>STDEV($D$3:D844)</f>
        <v>1.3169046997922628E-2</v>
      </c>
      <c r="K844" s="4">
        <f t="shared" si="196"/>
        <v>5.1879622597388484E-3</v>
      </c>
      <c r="L844">
        <f t="shared" si="199"/>
        <v>1.0725647517825325</v>
      </c>
      <c r="M844">
        <f>RSQ($D$3:D844,$B$3:B844)</f>
        <v>4.9218262612276679E-2</v>
      </c>
      <c r="N844">
        <v>812</v>
      </c>
      <c r="O844" t="str">
        <f t="shared" si="197"/>
        <v/>
      </c>
      <c r="P844" t="str">
        <f t="shared" si="201"/>
        <v/>
      </c>
      <c r="Q844">
        <f t="shared" si="202"/>
        <v>0</v>
      </c>
      <c r="R844">
        <f t="shared" si="203"/>
        <v>0</v>
      </c>
      <c r="S844">
        <f t="shared" si="204"/>
        <v>0</v>
      </c>
      <c r="T844">
        <f t="shared" si="205"/>
        <v>0</v>
      </c>
      <c r="U844">
        <f t="shared" si="200"/>
        <v>0</v>
      </c>
      <c r="V844">
        <f t="shared" si="206"/>
        <v>0</v>
      </c>
      <c r="W844">
        <f t="shared" ref="W844:W907" si="210">IF(ABS(V844)&gt;0,V844*(C844-A844),0)</f>
        <v>0</v>
      </c>
      <c r="X844">
        <f>SUM($W$34:W844)</f>
        <v>308.60990869999978</v>
      </c>
      <c r="Y844">
        <f t="shared" si="207"/>
        <v>0</v>
      </c>
    </row>
    <row r="845" spans="1:25">
      <c r="A845">
        <v>107.44336130000001</v>
      </c>
      <c r="B845" s="2">
        <f t="shared" si="208"/>
        <v>-1.4325812374584641E-2</v>
      </c>
      <c r="C845">
        <v>134.06780910000001</v>
      </c>
      <c r="D845" s="3">
        <f t="shared" si="209"/>
        <v>1.559506053183725E-2</v>
      </c>
      <c r="E845" s="3">
        <f t="shared" si="195"/>
        <v>1.8643193885211011E-2</v>
      </c>
      <c r="F845" s="3">
        <f>STDEV($E$32:E845)</f>
        <v>1.2879818916765704E-2</v>
      </c>
      <c r="G845" s="14">
        <f t="shared" si="198"/>
        <v>1.4474732917978452</v>
      </c>
      <c r="H845" s="15">
        <f>yint($B$3:B845,$D$3:D845)</f>
        <v>3.9661652347870431E-4</v>
      </c>
      <c r="I845" s="16">
        <f>MyReg($B$3:B845,$D$3:D845)</f>
        <v>0.24045755917924616</v>
      </c>
      <c r="J845" s="17">
        <f>STDEV($D$3:D845)</f>
        <v>1.3171603101765872E-2</v>
      </c>
      <c r="K845" s="4">
        <f t="shared" si="196"/>
        <v>-3.0481333533737593E-3</v>
      </c>
      <c r="L845">
        <f t="shared" si="199"/>
        <v>1.4474732917978452</v>
      </c>
      <c r="M845">
        <f>RSQ($D$3:D845,$B$3:B845)</f>
        <v>4.83297622579376E-2</v>
      </c>
      <c r="N845">
        <v>813</v>
      </c>
      <c r="O845" t="str">
        <f t="shared" si="197"/>
        <v/>
      </c>
      <c r="P845" t="str">
        <f t="shared" si="201"/>
        <v/>
      </c>
      <c r="Q845">
        <f t="shared" si="202"/>
        <v>0</v>
      </c>
      <c r="R845">
        <f t="shared" si="203"/>
        <v>0</v>
      </c>
      <c r="S845">
        <f t="shared" si="204"/>
        <v>0</v>
      </c>
      <c r="T845">
        <f t="shared" si="205"/>
        <v>0</v>
      </c>
      <c r="U845">
        <f t="shared" si="200"/>
        <v>0</v>
      </c>
      <c r="V845">
        <f t="shared" si="206"/>
        <v>0</v>
      </c>
      <c r="W845">
        <f t="shared" si="210"/>
        <v>0</v>
      </c>
      <c r="X845">
        <f>SUM($W$34:W845)</f>
        <v>308.60990869999978</v>
      </c>
      <c r="Y845">
        <f t="shared" si="207"/>
        <v>0</v>
      </c>
    </row>
    <row r="846" spans="1:25">
      <c r="A846">
        <v>105.1865597</v>
      </c>
      <c r="B846" s="2">
        <f t="shared" si="208"/>
        <v>-2.1004569967786393E-2</v>
      </c>
      <c r="C846">
        <v>134.75431359999999</v>
      </c>
      <c r="D846" s="3">
        <f t="shared" si="209"/>
        <v>5.1205767037479236E-3</v>
      </c>
      <c r="E846" s="3">
        <f t="shared" si="195"/>
        <v>9.727451390986866E-3</v>
      </c>
      <c r="F846" s="3">
        <f>STDEV($E$32:E846)</f>
        <v>1.2876182858212321E-2</v>
      </c>
      <c r="G846" s="14">
        <f t="shared" si="198"/>
        <v>0.75546079906614405</v>
      </c>
      <c r="H846" s="15">
        <f>yint($B$3:B846,$D$3:D846)</f>
        <v>4.0842130964285602E-4</v>
      </c>
      <c r="I846" s="16">
        <f>MyReg($B$3:B846,$D$3:D846)</f>
        <v>0.23877165800459119</v>
      </c>
      <c r="J846" s="17">
        <f>STDEV($D$3:D846)</f>
        <v>1.3164776649292475E-2</v>
      </c>
      <c r="K846" s="4">
        <f t="shared" si="196"/>
        <v>-4.6068746872389432E-3</v>
      </c>
      <c r="L846">
        <f t="shared" si="199"/>
        <v>0.75546079906614405</v>
      </c>
      <c r="M846">
        <f>RSQ($D$3:D846,$B$3:B846)</f>
        <v>4.7821831323882333E-2</v>
      </c>
      <c r="N846">
        <v>814</v>
      </c>
      <c r="O846" t="str">
        <f t="shared" si="197"/>
        <v/>
      </c>
      <c r="P846" t="str">
        <f t="shared" si="201"/>
        <v/>
      </c>
      <c r="Q846">
        <f t="shared" si="202"/>
        <v>0</v>
      </c>
      <c r="R846">
        <f t="shared" si="203"/>
        <v>0</v>
      </c>
      <c r="S846">
        <f t="shared" si="204"/>
        <v>0</v>
      </c>
      <c r="T846">
        <f t="shared" si="205"/>
        <v>0</v>
      </c>
      <c r="U846">
        <f t="shared" si="200"/>
        <v>0</v>
      </c>
      <c r="V846">
        <f t="shared" si="206"/>
        <v>0</v>
      </c>
      <c r="W846">
        <f t="shared" si="210"/>
        <v>0</v>
      </c>
      <c r="X846">
        <f>SUM($W$34:W846)</f>
        <v>308.60990869999978</v>
      </c>
      <c r="Y846">
        <f t="shared" si="207"/>
        <v>0</v>
      </c>
    </row>
    <row r="847" spans="1:25">
      <c r="A847">
        <v>103.16449160000001</v>
      </c>
      <c r="B847" s="2">
        <f t="shared" si="208"/>
        <v>-1.9223635659984403E-2</v>
      </c>
      <c r="C847">
        <v>136.10338350000001</v>
      </c>
      <c r="D847" s="3">
        <f t="shared" si="209"/>
        <v>1.0011329982389653E-2</v>
      </c>
      <c r="E847" s="3">
        <f t="shared" si="195"/>
        <v>1.4133015356026526E-2</v>
      </c>
      <c r="F847" s="3">
        <f>STDEV($E$32:E847)</f>
        <v>1.2877436133986399E-2</v>
      </c>
      <c r="G847" s="14">
        <f t="shared" si="198"/>
        <v>1.0975022674526318</v>
      </c>
      <c r="H847" s="15">
        <f>yint($B$3:B847,$D$3:D847)</f>
        <v>4.254624175739788E-4</v>
      </c>
      <c r="I847" s="16">
        <f>MyReg($B$3:B847,$D$3:D847)</f>
        <v>0.23653942842227907</v>
      </c>
      <c r="J847" s="17">
        <f>STDEV($D$3:D847)</f>
        <v>1.3161094642429106E-2</v>
      </c>
      <c r="K847" s="4">
        <f t="shared" si="196"/>
        <v>-4.121685373636874E-3</v>
      </c>
      <c r="L847">
        <f t="shared" si="199"/>
        <v>1.0975022674526318</v>
      </c>
      <c r="M847">
        <f>RSQ($D$3:D847,$B$3:B847)</f>
        <v>4.7045703254215948E-2</v>
      </c>
      <c r="N847">
        <v>815</v>
      </c>
      <c r="O847" t="str">
        <f t="shared" si="197"/>
        <v/>
      </c>
      <c r="P847" t="str">
        <f t="shared" si="201"/>
        <v/>
      </c>
      <c r="Q847">
        <f t="shared" si="202"/>
        <v>0</v>
      </c>
      <c r="R847">
        <f t="shared" si="203"/>
        <v>0</v>
      </c>
      <c r="S847">
        <f t="shared" si="204"/>
        <v>0</v>
      </c>
      <c r="T847">
        <f t="shared" si="205"/>
        <v>0</v>
      </c>
      <c r="U847">
        <f t="shared" si="200"/>
        <v>0</v>
      </c>
      <c r="V847">
        <f t="shared" si="206"/>
        <v>0</v>
      </c>
      <c r="W847">
        <f t="shared" si="210"/>
        <v>0</v>
      </c>
      <c r="X847">
        <f>SUM($W$34:W847)</f>
        <v>308.60990869999978</v>
      </c>
      <c r="Y847">
        <f t="shared" si="207"/>
        <v>0</v>
      </c>
    </row>
    <row r="848" spans="1:25">
      <c r="A848">
        <v>103.1096541</v>
      </c>
      <c r="B848" s="2">
        <f t="shared" si="208"/>
        <v>-5.3155401775861581E-4</v>
      </c>
      <c r="C848">
        <v>138.2376016</v>
      </c>
      <c r="D848" s="3">
        <f t="shared" si="209"/>
        <v>1.5680859983910674E-2</v>
      </c>
      <c r="E848" s="3">
        <f t="shared" si="195"/>
        <v>1.5362898725703325E-2</v>
      </c>
      <c r="F848" s="3">
        <f>STDEV($E$32:E848)</f>
        <v>1.2880354697075425E-2</v>
      </c>
      <c r="G848" s="14">
        <f t="shared" si="198"/>
        <v>1.192738793846382</v>
      </c>
      <c r="H848" s="15">
        <f>yint($B$3:B848,$D$3:D848)</f>
        <v>4.4365214691734624E-4</v>
      </c>
      <c r="I848" s="16">
        <f>MyReg($B$3:B848,$D$3:D848)</f>
        <v>0.23645929578332228</v>
      </c>
      <c r="J848" s="17">
        <f>STDEV($D$3:D848)</f>
        <v>1.3163722177834354E-2</v>
      </c>
      <c r="K848" s="4">
        <f t="shared" si="196"/>
        <v>3.1796125820734837E-4</v>
      </c>
      <c r="L848">
        <f t="shared" si="199"/>
        <v>1.192738793846382</v>
      </c>
      <c r="M848">
        <f>RSQ($D$3:D848,$B$3:B848)</f>
        <v>4.6939608117760392E-2</v>
      </c>
      <c r="N848">
        <v>816</v>
      </c>
      <c r="O848" t="str">
        <f t="shared" si="197"/>
        <v/>
      </c>
      <c r="P848" t="str">
        <f t="shared" si="201"/>
        <v/>
      </c>
      <c r="Q848">
        <f t="shared" si="202"/>
        <v>0</v>
      </c>
      <c r="R848">
        <f t="shared" si="203"/>
        <v>0</v>
      </c>
      <c r="S848">
        <f t="shared" si="204"/>
        <v>0</v>
      </c>
      <c r="T848">
        <f t="shared" si="205"/>
        <v>0</v>
      </c>
      <c r="U848">
        <f t="shared" si="200"/>
        <v>0</v>
      </c>
      <c r="V848">
        <f t="shared" si="206"/>
        <v>0</v>
      </c>
      <c r="W848">
        <f t="shared" si="210"/>
        <v>0</v>
      </c>
      <c r="X848">
        <f>SUM($W$34:W848)</f>
        <v>308.60990869999978</v>
      </c>
      <c r="Y848">
        <f t="shared" si="207"/>
        <v>0</v>
      </c>
    </row>
    <row r="849" spans="1:25">
      <c r="A849">
        <v>102.6618867</v>
      </c>
      <c r="B849" s="2">
        <f t="shared" si="208"/>
        <v>-4.3426331308001505E-3</v>
      </c>
      <c r="C849">
        <v>135.77710020000001</v>
      </c>
      <c r="D849" s="3">
        <f t="shared" si="209"/>
        <v>-1.7799074720057921E-2</v>
      </c>
      <c r="E849" s="3">
        <f t="shared" si="195"/>
        <v>-1.7192776950301851E-2</v>
      </c>
      <c r="F849" s="3">
        <f>STDEV($E$32:E849)</f>
        <v>1.2886991449514874E-2</v>
      </c>
      <c r="G849" s="14">
        <f t="shared" si="198"/>
        <v>-1.3341187520496933</v>
      </c>
      <c r="H849" s="15">
        <f>yint($B$3:B849,$D$3:D849)</f>
        <v>4.2326193793810546E-4</v>
      </c>
      <c r="I849" s="16">
        <f>MyReg($B$3:B849,$D$3:D849)</f>
        <v>0.23708189862782011</v>
      </c>
      <c r="J849" s="17">
        <f>STDEV($D$3:D849)</f>
        <v>1.3170906460741885E-2</v>
      </c>
      <c r="K849" s="4">
        <f t="shared" si="196"/>
        <v>-6.0629776975606878E-4</v>
      </c>
      <c r="L849">
        <f t="shared" si="199"/>
        <v>-1.3341187520496933</v>
      </c>
      <c r="M849">
        <f>RSQ($D$3:D849,$B$3:B849)</f>
        <v>4.7087520324569733E-2</v>
      </c>
      <c r="N849">
        <v>817</v>
      </c>
      <c r="O849" t="str">
        <f t="shared" si="197"/>
        <v/>
      </c>
      <c r="P849" t="str">
        <f t="shared" si="201"/>
        <v/>
      </c>
      <c r="Q849">
        <f t="shared" si="202"/>
        <v>0</v>
      </c>
      <c r="R849">
        <f t="shared" si="203"/>
        <v>0</v>
      </c>
      <c r="S849">
        <f t="shared" si="204"/>
        <v>0</v>
      </c>
      <c r="T849">
        <f t="shared" si="205"/>
        <v>0</v>
      </c>
      <c r="U849">
        <f t="shared" si="200"/>
        <v>0</v>
      </c>
      <c r="V849">
        <f t="shared" si="206"/>
        <v>0</v>
      </c>
      <c r="W849">
        <f t="shared" si="210"/>
        <v>0</v>
      </c>
      <c r="X849">
        <f>SUM($W$34:W849)</f>
        <v>308.60990869999978</v>
      </c>
      <c r="Y849">
        <f t="shared" si="207"/>
        <v>0</v>
      </c>
    </row>
    <row r="850" spans="1:25">
      <c r="A850">
        <v>103.9385341</v>
      </c>
      <c r="B850" s="2">
        <f t="shared" si="208"/>
        <v>1.24354562441526E-2</v>
      </c>
      <c r="C850">
        <v>136.239484</v>
      </c>
      <c r="D850" s="3">
        <f t="shared" si="209"/>
        <v>3.4054623299430119E-3</v>
      </c>
      <c r="E850" s="3">
        <f t="shared" si="195"/>
        <v>3.3896867310563919E-5</v>
      </c>
      <c r="F850" s="3">
        <f>STDEV($E$32:E850)</f>
        <v>1.2879114743111219E-2</v>
      </c>
      <c r="G850" s="14">
        <f t="shared" si="198"/>
        <v>2.6319252515934512E-3</v>
      </c>
      <c r="H850" s="15">
        <f>yint($B$3:B850,$D$3:D850)</f>
        <v>4.2330160559308588E-4</v>
      </c>
      <c r="I850" s="16">
        <f>MyReg($B$3:B850,$D$3:D850)</f>
        <v>0.23708529861344613</v>
      </c>
      <c r="J850" s="17">
        <f>STDEV($D$3:D850)</f>
        <v>1.3163520961796921E-2</v>
      </c>
      <c r="K850" s="4">
        <f t="shared" si="196"/>
        <v>3.371565462632448E-3</v>
      </c>
      <c r="L850">
        <f t="shared" si="199"/>
        <v>2.6319252515934512E-3</v>
      </c>
      <c r="M850">
        <f>RSQ($D$3:D850,$B$3:B850)</f>
        <v>4.7144241178386677E-2</v>
      </c>
      <c r="N850">
        <v>818</v>
      </c>
      <c r="O850" t="str">
        <f t="shared" si="197"/>
        <v/>
      </c>
      <c r="P850" t="str">
        <f t="shared" si="201"/>
        <v/>
      </c>
      <c r="Q850">
        <f t="shared" si="202"/>
        <v>0</v>
      </c>
      <c r="R850">
        <f t="shared" si="203"/>
        <v>0</v>
      </c>
      <c r="S850">
        <f t="shared" si="204"/>
        <v>0</v>
      </c>
      <c r="T850">
        <f t="shared" si="205"/>
        <v>0</v>
      </c>
      <c r="U850">
        <f t="shared" si="200"/>
        <v>0</v>
      </c>
      <c r="V850">
        <f t="shared" si="206"/>
        <v>0</v>
      </c>
      <c r="W850">
        <f t="shared" si="210"/>
        <v>0</v>
      </c>
      <c r="X850">
        <f>SUM($W$34:W850)</f>
        <v>308.60990869999978</v>
      </c>
      <c r="Y850">
        <f t="shared" si="207"/>
        <v>0</v>
      </c>
    </row>
    <row r="851" spans="1:25">
      <c r="A851">
        <v>102.9159707</v>
      </c>
      <c r="B851" s="2">
        <f t="shared" si="208"/>
        <v>-9.8381549139049829E-3</v>
      </c>
      <c r="C851">
        <v>135.7535944</v>
      </c>
      <c r="D851" s="3">
        <f t="shared" si="209"/>
        <v>-3.5664374653680223E-3</v>
      </c>
      <c r="E851" s="3">
        <f t="shared" si="195"/>
        <v>-1.6539748132850542E-3</v>
      </c>
      <c r="F851" s="3">
        <f>STDEV($E$32:E851)</f>
        <v>1.2871426496771698E-2</v>
      </c>
      <c r="G851" s="14">
        <f t="shared" si="198"/>
        <v>-0.12849972873635179</v>
      </c>
      <c r="H851" s="15">
        <f>yint($B$3:B851,$D$3:D851)</f>
        <v>4.2133535811368514E-4</v>
      </c>
      <c r="I851" s="16">
        <f>MyReg($B$3:B851,$D$3:D851)</f>
        <v>0.23721907518432406</v>
      </c>
      <c r="J851" s="17">
        <f>STDEV($D$3:D851)</f>
        <v>1.3156479766371189E-2</v>
      </c>
      <c r="K851" s="4">
        <f t="shared" si="196"/>
        <v>-1.9124626520829681E-3</v>
      </c>
      <c r="L851">
        <f t="shared" si="199"/>
        <v>-0.12849972873635179</v>
      </c>
      <c r="M851">
        <f>RSQ($D$3:D851,$B$3:B851)</f>
        <v>4.723023299133125E-2</v>
      </c>
      <c r="N851">
        <v>819</v>
      </c>
      <c r="O851" t="str">
        <f t="shared" si="197"/>
        <v/>
      </c>
      <c r="P851" t="str">
        <f t="shared" si="201"/>
        <v/>
      </c>
      <c r="Q851">
        <f t="shared" si="202"/>
        <v>0</v>
      </c>
      <c r="R851">
        <f t="shared" si="203"/>
        <v>0</v>
      </c>
      <c r="S851">
        <f t="shared" si="204"/>
        <v>0</v>
      </c>
      <c r="T851">
        <f t="shared" si="205"/>
        <v>0</v>
      </c>
      <c r="U851">
        <f t="shared" si="200"/>
        <v>0</v>
      </c>
      <c r="V851">
        <f t="shared" si="206"/>
        <v>0</v>
      </c>
      <c r="W851">
        <f t="shared" si="210"/>
        <v>0</v>
      </c>
      <c r="X851">
        <f>SUM($W$34:W851)</f>
        <v>308.60990869999978</v>
      </c>
      <c r="Y851">
        <f t="shared" si="207"/>
        <v>0</v>
      </c>
    </row>
    <row r="852" spans="1:25">
      <c r="A852">
        <v>103.49012879999999</v>
      </c>
      <c r="B852" s="2">
        <f t="shared" si="208"/>
        <v>5.5789018564831074E-3</v>
      </c>
      <c r="C852">
        <v>134.917733</v>
      </c>
      <c r="D852" s="3">
        <f t="shared" si="209"/>
        <v>-6.1571953486337953E-3</v>
      </c>
      <c r="E852" s="3">
        <f t="shared" si="195"/>
        <v>-7.8907403042979135E-3</v>
      </c>
      <c r="F852" s="3">
        <f>STDEV($E$32:E852)</f>
        <v>1.2866732822085059E-2</v>
      </c>
      <c r="G852" s="14">
        <f t="shared" si="198"/>
        <v>-0.61326681865608335</v>
      </c>
      <c r="H852" s="15">
        <f>yint($B$3:B852,$D$3:D852)</f>
        <v>4.1207850210787966E-4</v>
      </c>
      <c r="I852" s="16">
        <f>MyReg($B$3:B852,$D$3:D852)</f>
        <v>0.23686856079401977</v>
      </c>
      <c r="J852" s="17">
        <f>STDEV($D$3:D852)</f>
        <v>1.3150680093513507E-2</v>
      </c>
      <c r="K852" s="4">
        <f t="shared" si="196"/>
        <v>1.7335449556641182E-3</v>
      </c>
      <c r="L852">
        <f t="shared" si="199"/>
        <v>-0.61326681865608335</v>
      </c>
      <c r="M852">
        <f>RSQ($D$3:D852,$B$3:B852)</f>
        <v>4.7088221824357748E-2</v>
      </c>
      <c r="N852">
        <v>820</v>
      </c>
      <c r="O852" t="str">
        <f t="shared" si="197"/>
        <v/>
      </c>
      <c r="P852" t="str">
        <f t="shared" si="201"/>
        <v/>
      </c>
      <c r="Q852">
        <f t="shared" si="202"/>
        <v>0</v>
      </c>
      <c r="R852">
        <f t="shared" si="203"/>
        <v>0</v>
      </c>
      <c r="S852">
        <f t="shared" si="204"/>
        <v>0</v>
      </c>
      <c r="T852">
        <f t="shared" si="205"/>
        <v>0</v>
      </c>
      <c r="U852">
        <f t="shared" si="200"/>
        <v>0</v>
      </c>
      <c r="V852">
        <f t="shared" si="206"/>
        <v>0</v>
      </c>
      <c r="W852">
        <f t="shared" si="210"/>
        <v>0</v>
      </c>
      <c r="X852">
        <f>SUM($W$34:W852)</f>
        <v>308.60990869999978</v>
      </c>
      <c r="Y852">
        <f t="shared" si="207"/>
        <v>0</v>
      </c>
    </row>
    <row r="853" spans="1:25">
      <c r="A853">
        <v>103.3147446</v>
      </c>
      <c r="B853" s="2">
        <f t="shared" si="208"/>
        <v>-1.6946949630233365E-3</v>
      </c>
      <c r="C853">
        <v>133.275689</v>
      </c>
      <c r="D853" s="3">
        <f t="shared" si="209"/>
        <v>-1.2170705536536094E-2</v>
      </c>
      <c r="E853" s="3">
        <f t="shared" si="195"/>
        <v>-1.216672769144091E-2</v>
      </c>
      <c r="F853" s="3">
        <f>STDEV($E$32:E853)</f>
        <v>1.2866204102883231E-2</v>
      </c>
      <c r="G853" s="14">
        <f t="shared" si="198"/>
        <v>-0.94563459386707749</v>
      </c>
      <c r="H853" s="15">
        <f>yint($B$3:B853,$D$3:D853)</f>
        <v>3.9774456286744331E-4</v>
      </c>
      <c r="I853" s="16">
        <f>MyReg($B$3:B853,$D$3:D853)</f>
        <v>0.23704703013098835</v>
      </c>
      <c r="J853" s="17">
        <f>STDEV($D$3:D853)</f>
        <v>1.31500481580099E-2</v>
      </c>
      <c r="K853" s="4">
        <f t="shared" si="196"/>
        <v>-3.9778450951837257E-6</v>
      </c>
      <c r="L853">
        <f t="shared" si="199"/>
        <v>-0.94563459386707749</v>
      </c>
      <c r="M853">
        <f>RSQ($D$3:D853,$B$3:B853)</f>
        <v>4.7109499561235411E-2</v>
      </c>
      <c r="N853">
        <v>821</v>
      </c>
      <c r="O853" t="str">
        <f t="shared" si="197"/>
        <v/>
      </c>
      <c r="P853" t="str">
        <f t="shared" si="201"/>
        <v/>
      </c>
      <c r="Q853">
        <f t="shared" si="202"/>
        <v>0</v>
      </c>
      <c r="R853">
        <f t="shared" si="203"/>
        <v>0</v>
      </c>
      <c r="S853">
        <f t="shared" si="204"/>
        <v>0</v>
      </c>
      <c r="T853">
        <f t="shared" si="205"/>
        <v>0</v>
      </c>
      <c r="U853">
        <f t="shared" si="200"/>
        <v>0</v>
      </c>
      <c r="V853">
        <f t="shared" si="206"/>
        <v>0</v>
      </c>
      <c r="W853">
        <f t="shared" si="210"/>
        <v>0</v>
      </c>
      <c r="X853">
        <f>SUM($W$34:W853)</f>
        <v>308.60990869999978</v>
      </c>
      <c r="Y853">
        <f t="shared" si="207"/>
        <v>0</v>
      </c>
    </row>
    <row r="854" spans="1:25">
      <c r="A854">
        <v>103.2144764</v>
      </c>
      <c r="B854" s="2">
        <f t="shared" si="208"/>
        <v>-9.7051200569876978E-4</v>
      </c>
      <c r="C854">
        <v>132.93371669999999</v>
      </c>
      <c r="D854" s="3">
        <f t="shared" si="209"/>
        <v>-2.5659015726417216E-3</v>
      </c>
      <c r="E854" s="3">
        <f t="shared" si="195"/>
        <v>-2.7303548359221205E-3</v>
      </c>
      <c r="F854" s="3">
        <f>STDEV($E$32:E854)</f>
        <v>1.2858795461938625E-2</v>
      </c>
      <c r="G854" s="14">
        <f t="shared" si="198"/>
        <v>-0.21233363918135495</v>
      </c>
      <c r="H854" s="15">
        <f>yint($B$3:B854,$D$3:D854)</f>
        <v>3.9453350242366569E-4</v>
      </c>
      <c r="I854" s="16">
        <f>MyReg($B$3:B854,$D$3:D854)</f>
        <v>0.23707098705863902</v>
      </c>
      <c r="J854" s="17">
        <f>STDEV($D$3:D854)</f>
        <v>1.3142718829637138E-2</v>
      </c>
      <c r="K854" s="4">
        <f t="shared" si="196"/>
        <v>1.6445326328039884E-4</v>
      </c>
      <c r="L854">
        <f t="shared" si="199"/>
        <v>-0.21233363918135495</v>
      </c>
      <c r="M854">
        <f>RSQ($D$3:D854,$B$3:B854)</f>
        <v>4.7116606479830195E-2</v>
      </c>
      <c r="N854">
        <v>822</v>
      </c>
      <c r="O854" t="str">
        <f t="shared" si="197"/>
        <v/>
      </c>
      <c r="P854" t="str">
        <f t="shared" si="201"/>
        <v/>
      </c>
      <c r="Q854">
        <f t="shared" si="202"/>
        <v>0</v>
      </c>
      <c r="R854">
        <f t="shared" si="203"/>
        <v>0</v>
      </c>
      <c r="S854">
        <f t="shared" si="204"/>
        <v>0</v>
      </c>
      <c r="T854">
        <f t="shared" si="205"/>
        <v>0</v>
      </c>
      <c r="U854">
        <f t="shared" si="200"/>
        <v>0</v>
      </c>
      <c r="V854">
        <f t="shared" si="206"/>
        <v>0</v>
      </c>
      <c r="W854">
        <f t="shared" si="210"/>
        <v>0</v>
      </c>
      <c r="X854">
        <f>SUM($W$34:W854)</f>
        <v>308.60990869999978</v>
      </c>
      <c r="Y854">
        <f t="shared" si="207"/>
        <v>0</v>
      </c>
    </row>
    <row r="855" spans="1:25">
      <c r="A855">
        <v>103.8881519</v>
      </c>
      <c r="B855" s="2">
        <f t="shared" si="208"/>
        <v>6.5269478032250298E-3</v>
      </c>
      <c r="C855">
        <v>130.72035639999999</v>
      </c>
      <c r="D855" s="3">
        <f t="shared" si="209"/>
        <v>-1.6650104690859105E-2</v>
      </c>
      <c r="E855" s="3">
        <f t="shared" si="195"/>
        <v>-1.8563995257226421E-2</v>
      </c>
      <c r="F855" s="3">
        <f>STDEV($E$32:E855)</f>
        <v>1.286767861481527E-2</v>
      </c>
      <c r="G855" s="14">
        <f t="shared" si="198"/>
        <v>-1.442684093450443</v>
      </c>
      <c r="H855" s="15">
        <f>yint($B$3:B855,$D$3:D855)</f>
        <v>3.7285060335954308E-4</v>
      </c>
      <c r="I855" s="16">
        <f>MyReg($B$3:B855,$D$3:D855)</f>
        <v>0.23610422657989216</v>
      </c>
      <c r="J855" s="17">
        <f>STDEV($D$3:D855)</f>
        <v>1.3148001595767194E-2</v>
      </c>
      <c r="K855" s="4">
        <f t="shared" si="196"/>
        <v>1.9138905663673151E-3</v>
      </c>
      <c r="L855">
        <f t="shared" si="199"/>
        <v>-1.442684093450443</v>
      </c>
      <c r="M855">
        <f>RSQ($D$3:D855,$B$3:B855)</f>
        <v>4.6656328729994402E-2</v>
      </c>
      <c r="N855">
        <v>823</v>
      </c>
      <c r="O855" t="str">
        <f t="shared" si="197"/>
        <v/>
      </c>
      <c r="P855" t="str">
        <f t="shared" si="201"/>
        <v/>
      </c>
      <c r="Q855">
        <f t="shared" si="202"/>
        <v>0</v>
      </c>
      <c r="R855">
        <f t="shared" si="203"/>
        <v>0</v>
      </c>
      <c r="S855">
        <f t="shared" si="204"/>
        <v>0</v>
      </c>
      <c r="T855">
        <f t="shared" si="205"/>
        <v>0</v>
      </c>
      <c r="U855">
        <f t="shared" si="200"/>
        <v>0</v>
      </c>
      <c r="V855">
        <f t="shared" si="206"/>
        <v>0</v>
      </c>
      <c r="W855">
        <f t="shared" si="210"/>
        <v>0</v>
      </c>
      <c r="X855">
        <f>SUM($W$34:W855)</f>
        <v>308.60990869999978</v>
      </c>
      <c r="Y855">
        <f t="shared" si="207"/>
        <v>0</v>
      </c>
    </row>
    <row r="856" spans="1:25">
      <c r="A856">
        <v>106.2515701</v>
      </c>
      <c r="B856" s="2">
        <f t="shared" si="208"/>
        <v>2.2749641386199289E-2</v>
      </c>
      <c r="C856">
        <v>133.4399813</v>
      </c>
      <c r="D856" s="3">
        <f t="shared" si="209"/>
        <v>2.0804907321993915E-2</v>
      </c>
      <c r="E856" s="3">
        <f t="shared" si="195"/>
        <v>1.4980956286091314E-2</v>
      </c>
      <c r="F856" s="3">
        <f>STDEV($E$32:E856)</f>
        <v>1.2870126587994411E-2</v>
      </c>
      <c r="G856" s="14">
        <f t="shared" si="198"/>
        <v>1.164010018368113</v>
      </c>
      <c r="H856" s="15">
        <f>yint($B$3:B856,$D$3:D856)</f>
        <v>3.9009149059876996E-4</v>
      </c>
      <c r="I856" s="16">
        <f>MyReg($B$3:B856,$D$3:D856)</f>
        <v>0.23885473414979619</v>
      </c>
      <c r="J856" s="17">
        <f>STDEV($D$3:D856)</f>
        <v>1.3158829869109184E-2</v>
      </c>
      <c r="K856" s="4">
        <f t="shared" si="196"/>
        <v>5.823951035902602E-3</v>
      </c>
      <c r="L856">
        <f t="shared" si="199"/>
        <v>1.164010018368113</v>
      </c>
      <c r="M856">
        <f>RSQ($D$3:D856,$B$3:B856)</f>
        <v>4.7812898122207778E-2</v>
      </c>
      <c r="N856">
        <v>824</v>
      </c>
      <c r="O856" t="str">
        <f t="shared" si="197"/>
        <v/>
      </c>
      <c r="P856" t="str">
        <f t="shared" si="201"/>
        <v/>
      </c>
      <c r="Q856">
        <f t="shared" si="202"/>
        <v>0</v>
      </c>
      <c r="R856">
        <f t="shared" si="203"/>
        <v>0</v>
      </c>
      <c r="S856">
        <f t="shared" si="204"/>
        <v>0</v>
      </c>
      <c r="T856">
        <f t="shared" si="205"/>
        <v>0</v>
      </c>
      <c r="U856">
        <f t="shared" si="200"/>
        <v>0</v>
      </c>
      <c r="V856">
        <f t="shared" si="206"/>
        <v>0</v>
      </c>
      <c r="W856">
        <f t="shared" si="210"/>
        <v>0</v>
      </c>
      <c r="X856">
        <f>SUM($W$34:W856)</f>
        <v>308.60990869999978</v>
      </c>
      <c r="Y856">
        <f t="shared" si="207"/>
        <v>0</v>
      </c>
    </row>
    <row r="857" spans="1:25">
      <c r="A857">
        <v>103.9691196</v>
      </c>
      <c r="B857" s="2">
        <f t="shared" si="208"/>
        <v>-2.1481569616823914E-2</v>
      </c>
      <c r="C857">
        <v>131.3813519</v>
      </c>
      <c r="D857" s="3">
        <f t="shared" si="209"/>
        <v>-1.5427380759082893E-2</v>
      </c>
      <c r="E857" s="3">
        <f t="shared" si="195"/>
        <v>-1.063387179954367E-2</v>
      </c>
      <c r="F857" s="3">
        <f>STDEV($E$32:E857)</f>
        <v>1.2867889889425915E-2</v>
      </c>
      <c r="G857" s="14">
        <f t="shared" si="198"/>
        <v>-0.826388156171741</v>
      </c>
      <c r="H857" s="15">
        <f>yint($B$3:B857,$D$3:D857)</f>
        <v>3.7737307797368054E-4</v>
      </c>
      <c r="I857" s="16">
        <f>MyReg($B$3:B857,$D$3:D857)</f>
        <v>0.24071248655234104</v>
      </c>
      <c r="J857" s="17">
        <f>STDEV($D$3:D857)</f>
        <v>1.3162292291392225E-2</v>
      </c>
      <c r="K857" s="4">
        <f t="shared" si="196"/>
        <v>-4.7935089595392234E-3</v>
      </c>
      <c r="L857">
        <f t="shared" si="199"/>
        <v>-0.826388156171741</v>
      </c>
      <c r="M857">
        <f>RSQ($D$3:D857,$B$3:B857)</f>
        <v>4.8660097307513674E-2</v>
      </c>
      <c r="N857">
        <v>825</v>
      </c>
      <c r="O857" t="str">
        <f t="shared" si="197"/>
        <v/>
      </c>
      <c r="P857" t="str">
        <f t="shared" si="201"/>
        <v/>
      </c>
      <c r="Q857">
        <f t="shared" si="202"/>
        <v>0</v>
      </c>
      <c r="R857">
        <f t="shared" si="203"/>
        <v>0</v>
      </c>
      <c r="S857">
        <f t="shared" si="204"/>
        <v>0</v>
      </c>
      <c r="T857">
        <f t="shared" si="205"/>
        <v>0</v>
      </c>
      <c r="U857">
        <f t="shared" si="200"/>
        <v>0</v>
      </c>
      <c r="V857">
        <f t="shared" si="206"/>
        <v>0</v>
      </c>
      <c r="W857">
        <f t="shared" si="210"/>
        <v>0</v>
      </c>
      <c r="X857">
        <f>SUM($W$34:W857)</f>
        <v>308.60990869999978</v>
      </c>
      <c r="Y857">
        <f t="shared" si="207"/>
        <v>0</v>
      </c>
    </row>
    <row r="858" spans="1:25">
      <c r="A858">
        <v>104.8655316</v>
      </c>
      <c r="B858" s="2">
        <f t="shared" si="208"/>
        <v>8.6219062299340461E-3</v>
      </c>
      <c r="C858">
        <v>132.13881480000001</v>
      </c>
      <c r="D858" s="3">
        <f t="shared" si="209"/>
        <v>5.7653760525812284E-3</v>
      </c>
      <c r="E858" s="3">
        <f t="shared" si="195"/>
        <v>3.3068103228043109E-3</v>
      </c>
      <c r="F858" s="3">
        <f>STDEV($E$32:E858)</f>
        <v>1.2860543577192915E-2</v>
      </c>
      <c r="G858" s="14">
        <f t="shared" si="198"/>
        <v>0.25712834787704142</v>
      </c>
      <c r="H858" s="15">
        <f>yint($B$3:B858,$D$3:D858)</f>
        <v>3.8121394165422371E-4</v>
      </c>
      <c r="I858" s="16">
        <f>MyReg($B$3:B858,$D$3:D858)</f>
        <v>0.24093880549412849</v>
      </c>
      <c r="J858" s="17">
        <f>STDEV($D$3:D858)</f>
        <v>1.3155868216458189E-2</v>
      </c>
      <c r="K858" s="4">
        <f t="shared" si="196"/>
        <v>2.4585657297769175E-3</v>
      </c>
      <c r="L858">
        <f t="shared" si="199"/>
        <v>0.25712834787704142</v>
      </c>
      <c r="M858">
        <f>RSQ($D$3:D858,$B$3:B858)</f>
        <v>4.877052360393027E-2</v>
      </c>
      <c r="N858">
        <v>826</v>
      </c>
      <c r="O858" t="str">
        <f t="shared" si="197"/>
        <v/>
      </c>
      <c r="P858" t="str">
        <f t="shared" si="201"/>
        <v/>
      </c>
      <c r="Q858">
        <f t="shared" si="202"/>
        <v>0</v>
      </c>
      <c r="R858">
        <f t="shared" si="203"/>
        <v>0</v>
      </c>
      <c r="S858">
        <f t="shared" si="204"/>
        <v>0</v>
      </c>
      <c r="T858">
        <f t="shared" si="205"/>
        <v>0</v>
      </c>
      <c r="U858">
        <f t="shared" si="200"/>
        <v>0</v>
      </c>
      <c r="V858">
        <f t="shared" si="206"/>
        <v>0</v>
      </c>
      <c r="W858">
        <f t="shared" si="210"/>
        <v>0</v>
      </c>
      <c r="X858">
        <f>SUM($W$34:W858)</f>
        <v>308.60990869999978</v>
      </c>
      <c r="Y858">
        <f t="shared" si="207"/>
        <v>0</v>
      </c>
    </row>
    <row r="859" spans="1:25">
      <c r="A859">
        <v>104.5902528</v>
      </c>
      <c r="B859" s="2">
        <f t="shared" si="208"/>
        <v>-2.625064649936846E-3</v>
      </c>
      <c r="C859">
        <v>131.11339409999999</v>
      </c>
      <c r="D859" s="3">
        <f t="shared" si="209"/>
        <v>-7.7601778217251888E-3</v>
      </c>
      <c r="E859" s="3">
        <f t="shared" si="195"/>
        <v>-7.4996932319140921E-3</v>
      </c>
      <c r="F859" s="3">
        <f>STDEV($E$32:E859)</f>
        <v>1.2855574685291882E-2</v>
      </c>
      <c r="G859" s="14">
        <f t="shared" si="198"/>
        <v>-0.58338062789946865</v>
      </c>
      <c r="H859" s="15">
        <f>yint($B$3:B859,$D$3:D859)</f>
        <v>3.7243133665924616E-4</v>
      </c>
      <c r="I859" s="16">
        <f>MyReg($B$3:B859,$D$3:D859)</f>
        <v>0.24110489106832858</v>
      </c>
      <c r="J859" s="17">
        <f>STDEV($D$3:D859)</f>
        <v>1.3151144657312746E-2</v>
      </c>
      <c r="K859" s="4">
        <f t="shared" si="196"/>
        <v>-2.6048458981109716E-4</v>
      </c>
      <c r="L859">
        <f t="shared" si="199"/>
        <v>-0.58338062789946865</v>
      </c>
      <c r="M859">
        <f>RSQ($D$3:D859,$B$3:B859)</f>
        <v>4.8818751747613971E-2</v>
      </c>
      <c r="N859">
        <v>827</v>
      </c>
      <c r="O859" t="str">
        <f t="shared" si="197"/>
        <v/>
      </c>
      <c r="P859" t="str">
        <f t="shared" si="201"/>
        <v/>
      </c>
      <c r="Q859">
        <f t="shared" si="202"/>
        <v>0</v>
      </c>
      <c r="R859">
        <f t="shared" si="203"/>
        <v>0</v>
      </c>
      <c r="S859">
        <f t="shared" si="204"/>
        <v>0</v>
      </c>
      <c r="T859">
        <f t="shared" si="205"/>
        <v>0</v>
      </c>
      <c r="U859">
        <f t="shared" si="200"/>
        <v>0</v>
      </c>
      <c r="V859">
        <f t="shared" si="206"/>
        <v>0</v>
      </c>
      <c r="W859">
        <f t="shared" si="210"/>
        <v>0</v>
      </c>
      <c r="X859">
        <f>SUM($W$34:W859)</f>
        <v>308.60990869999978</v>
      </c>
      <c r="Y859">
        <f t="shared" si="207"/>
        <v>0</v>
      </c>
    </row>
    <row r="860" spans="1:25">
      <c r="A860">
        <v>106.9224998</v>
      </c>
      <c r="B860" s="2">
        <f t="shared" si="208"/>
        <v>2.2298894376513022E-2</v>
      </c>
      <c r="C860">
        <v>130.36701529999999</v>
      </c>
      <c r="D860" s="3">
        <f t="shared" si="209"/>
        <v>-5.6926205375382186E-3</v>
      </c>
      <c r="E860" s="3">
        <f t="shared" si="195"/>
        <v>-1.1383125209375976E-2</v>
      </c>
      <c r="F860" s="3">
        <f>STDEV($E$32:E860)</f>
        <v>1.2854131792004132E-2</v>
      </c>
      <c r="G860" s="14">
        <f t="shared" si="198"/>
        <v>-0.88556157611957964</v>
      </c>
      <c r="H860" s="15">
        <f>yint($B$3:B860,$D$3:D860)</f>
        <v>3.5940241914639537E-4</v>
      </c>
      <c r="I860" s="16">
        <f>MyReg($B$3:B860,$D$3:D860)</f>
        <v>0.23907473449923625</v>
      </c>
      <c r="J860" s="17">
        <f>STDEV($D$3:D860)</f>
        <v>1.3145116727607039E-2</v>
      </c>
      <c r="K860" s="4">
        <f t="shared" si="196"/>
        <v>5.690504671837758E-3</v>
      </c>
      <c r="L860">
        <f t="shared" si="199"/>
        <v>-0.88556157611957964</v>
      </c>
      <c r="M860">
        <f>RSQ($D$3:D860,$B$3:B860)</f>
        <v>4.8177611792302871E-2</v>
      </c>
      <c r="N860">
        <v>828</v>
      </c>
      <c r="O860" t="str">
        <f t="shared" si="197"/>
        <v/>
      </c>
      <c r="P860" t="str">
        <f t="shared" si="201"/>
        <v/>
      </c>
      <c r="Q860">
        <f t="shared" si="202"/>
        <v>0</v>
      </c>
      <c r="R860">
        <f t="shared" si="203"/>
        <v>0</v>
      </c>
      <c r="S860">
        <f t="shared" si="204"/>
        <v>0</v>
      </c>
      <c r="T860">
        <f t="shared" si="205"/>
        <v>0</v>
      </c>
      <c r="U860">
        <f t="shared" si="200"/>
        <v>0</v>
      </c>
      <c r="V860">
        <f t="shared" si="206"/>
        <v>0</v>
      </c>
      <c r="W860">
        <f t="shared" si="210"/>
        <v>0</v>
      </c>
      <c r="X860">
        <f>SUM($W$34:W860)</f>
        <v>308.60990869999978</v>
      </c>
      <c r="Y860">
        <f t="shared" si="207"/>
        <v>0</v>
      </c>
    </row>
    <row r="861" spans="1:25">
      <c r="A861">
        <v>108.7440634</v>
      </c>
      <c r="B861" s="2">
        <f t="shared" si="208"/>
        <v>1.7036298285274514E-2</v>
      </c>
      <c r="C861">
        <v>130.31933530000001</v>
      </c>
      <c r="D861" s="3">
        <f t="shared" si="209"/>
        <v>-3.6573668492957754E-4</v>
      </c>
      <c r="E861" s="3">
        <f t="shared" si="195"/>
        <v>-4.781592331874222E-3</v>
      </c>
      <c r="F861" s="3">
        <f>STDEV($E$32:E861)</f>
        <v>1.284754474099856E-2</v>
      </c>
      <c r="G861" s="14">
        <f t="shared" si="198"/>
        <v>-0.37217946528066176</v>
      </c>
      <c r="H861" s="15">
        <f>yint($B$3:B861,$D$3:D861)</f>
        <v>3.5392698898345368E-4</v>
      </c>
      <c r="I861" s="16">
        <f>MyReg($B$3:B861,$D$3:D861)</f>
        <v>0.23842789025783595</v>
      </c>
      <c r="J861" s="17">
        <f>STDEV($D$3:D861)</f>
        <v>1.3137479840885785E-2</v>
      </c>
      <c r="K861" s="4">
        <f t="shared" si="196"/>
        <v>4.4158556469446443E-3</v>
      </c>
      <c r="L861">
        <f t="shared" si="199"/>
        <v>-0.37217946528066176</v>
      </c>
      <c r="M861">
        <f>RSQ($D$3:D861,$B$3:B861)</f>
        <v>4.8026403786881951E-2</v>
      </c>
      <c r="N861">
        <v>829</v>
      </c>
      <c r="O861" t="str">
        <f t="shared" si="197"/>
        <v/>
      </c>
      <c r="P861" t="str">
        <f t="shared" si="201"/>
        <v/>
      </c>
      <c r="Q861">
        <f t="shared" si="202"/>
        <v>0</v>
      </c>
      <c r="R861">
        <f t="shared" si="203"/>
        <v>0</v>
      </c>
      <c r="S861">
        <f t="shared" si="204"/>
        <v>0</v>
      </c>
      <c r="T861">
        <f t="shared" si="205"/>
        <v>0</v>
      </c>
      <c r="U861">
        <f t="shared" si="200"/>
        <v>0</v>
      </c>
      <c r="V861">
        <f t="shared" si="206"/>
        <v>0</v>
      </c>
      <c r="W861">
        <f t="shared" si="210"/>
        <v>0</v>
      </c>
      <c r="X861">
        <f>SUM($W$34:W861)</f>
        <v>308.60990869999978</v>
      </c>
      <c r="Y861">
        <f t="shared" si="207"/>
        <v>0</v>
      </c>
    </row>
    <row r="862" spans="1:25">
      <c r="A862">
        <v>109.7049174</v>
      </c>
      <c r="B862" s="2">
        <f t="shared" si="208"/>
        <v>8.8359214283324061E-3</v>
      </c>
      <c r="C862">
        <v>128.8771911</v>
      </c>
      <c r="D862" s="3">
        <f t="shared" si="209"/>
        <v>-1.1066233546082254E-2</v>
      </c>
      <c r="E862" s="3">
        <f t="shared" si="195"/>
        <v>-1.3503066322479712E-2</v>
      </c>
      <c r="F862" s="3">
        <f>STDEV($E$32:E862)</f>
        <v>1.2848603576531038E-2</v>
      </c>
      <c r="G862" s="14">
        <f t="shared" si="198"/>
        <v>-1.050936488315672</v>
      </c>
      <c r="H862" s="15">
        <f>yint($B$3:B862,$D$3:D862)</f>
        <v>3.3836686531415236E-4</v>
      </c>
      <c r="I862" s="16">
        <f>MyReg($B$3:B862,$D$3:D862)</f>
        <v>0.23749259520965965</v>
      </c>
      <c r="J862" s="17">
        <f>STDEV($D$3:D862)</f>
        <v>1.3135645598364228E-2</v>
      </c>
      <c r="K862" s="4">
        <f t="shared" si="196"/>
        <v>2.4368327763974584E-3</v>
      </c>
      <c r="L862">
        <f t="shared" si="199"/>
        <v>-1.050936488315672</v>
      </c>
      <c r="M862">
        <f>RSQ($D$3:D862,$B$3:B862)</f>
        <v>4.7636714155261294E-2</v>
      </c>
      <c r="N862">
        <v>830</v>
      </c>
      <c r="O862" t="str">
        <f t="shared" si="197"/>
        <v/>
      </c>
      <c r="P862" t="str">
        <f t="shared" si="201"/>
        <v/>
      </c>
      <c r="Q862">
        <f t="shared" si="202"/>
        <v>0</v>
      </c>
      <c r="R862">
        <f t="shared" si="203"/>
        <v>0</v>
      </c>
      <c r="S862">
        <f t="shared" si="204"/>
        <v>0</v>
      </c>
      <c r="T862">
        <f t="shared" si="205"/>
        <v>0</v>
      </c>
      <c r="U862">
        <f t="shared" si="200"/>
        <v>0</v>
      </c>
      <c r="V862">
        <f t="shared" si="206"/>
        <v>0</v>
      </c>
      <c r="W862">
        <f t="shared" si="210"/>
        <v>0</v>
      </c>
      <c r="X862">
        <f>SUM($W$34:W862)</f>
        <v>308.60990869999978</v>
      </c>
      <c r="Y862">
        <f t="shared" si="207"/>
        <v>0</v>
      </c>
    </row>
    <row r="863" spans="1:25">
      <c r="A863">
        <v>109.5969182</v>
      </c>
      <c r="B863" s="2">
        <f t="shared" si="208"/>
        <v>-9.8445176897781188E-4</v>
      </c>
      <c r="C863">
        <v>128.21453159999999</v>
      </c>
      <c r="D863" s="3">
        <f t="shared" si="209"/>
        <v>-5.141790369141727E-3</v>
      </c>
      <c r="E863" s="3">
        <f t="shared" si="195"/>
        <v>-5.2402071547908921E-3</v>
      </c>
      <c r="F863" s="3">
        <f>STDEV($E$32:E863)</f>
        <v>1.2842248830288847E-2</v>
      </c>
      <c r="G863" s="14">
        <f t="shared" si="198"/>
        <v>-0.40804435609686202</v>
      </c>
      <c r="H863" s="15">
        <f>yint($B$3:B863,$D$3:D863)</f>
        <v>3.3226479899477857E-4</v>
      </c>
      <c r="I863" s="16">
        <f>MyReg($B$3:B863,$D$3:D863)</f>
        <v>0.23754136130856429</v>
      </c>
      <c r="J863" s="17">
        <f>STDEV($D$3:D863)</f>
        <v>1.312935564618916E-2</v>
      </c>
      <c r="K863" s="4">
        <f t="shared" si="196"/>
        <v>9.8416785649164907E-5</v>
      </c>
      <c r="L863">
        <f t="shared" si="199"/>
        <v>-0.40804435609686202</v>
      </c>
      <c r="M863">
        <f>RSQ($D$3:D863,$B$3:B863)</f>
        <v>4.7647000760987074E-2</v>
      </c>
      <c r="N863">
        <v>831</v>
      </c>
      <c r="O863" t="str">
        <f t="shared" si="197"/>
        <v/>
      </c>
      <c r="P863" t="str">
        <f t="shared" si="201"/>
        <v/>
      </c>
      <c r="Q863">
        <f t="shared" si="202"/>
        <v>0</v>
      </c>
      <c r="R863">
        <f t="shared" si="203"/>
        <v>0</v>
      </c>
      <c r="S863">
        <f t="shared" si="204"/>
        <v>0</v>
      </c>
      <c r="T863">
        <f t="shared" si="205"/>
        <v>0</v>
      </c>
      <c r="U863">
        <f t="shared" si="200"/>
        <v>0</v>
      </c>
      <c r="V863">
        <f t="shared" si="206"/>
        <v>0</v>
      </c>
      <c r="W863">
        <f t="shared" si="210"/>
        <v>0</v>
      </c>
      <c r="X863">
        <f>SUM($W$34:W863)</f>
        <v>308.60990869999978</v>
      </c>
      <c r="Y863">
        <f t="shared" si="207"/>
        <v>0</v>
      </c>
    </row>
    <row r="864" spans="1:25">
      <c r="A864">
        <v>109.57095889999999</v>
      </c>
      <c r="B864" s="2">
        <f t="shared" si="208"/>
        <v>-2.3686158722673734E-4</v>
      </c>
      <c r="C864">
        <v>126.6380626</v>
      </c>
      <c r="D864" s="3">
        <f t="shared" si="209"/>
        <v>-1.2295556364220956E-2</v>
      </c>
      <c r="E864" s="3">
        <f t="shared" si="195"/>
        <v>-1.2556955227221554E-2</v>
      </c>
      <c r="F864" s="3">
        <f>STDEV($E$32:E864)</f>
        <v>1.2842114174947005E-2</v>
      </c>
      <c r="G864" s="14">
        <f t="shared" si="198"/>
        <v>-0.97779501538136515</v>
      </c>
      <c r="H864" s="15">
        <f>yint($B$3:B864,$D$3:D864)</f>
        <v>3.1767317096599541E-4</v>
      </c>
      <c r="I864" s="16">
        <f>MyReg($B$3:B864,$D$3:D864)</f>
        <v>0.23758309071672898</v>
      </c>
      <c r="J864" s="17">
        <f>STDEV($D$3:D864)</f>
        <v>1.3128823637704059E-2</v>
      </c>
      <c r="K864" s="4">
        <f t="shared" si="196"/>
        <v>2.6139886300059707E-4</v>
      </c>
      <c r="L864">
        <f t="shared" si="199"/>
        <v>-0.97779501538136515</v>
      </c>
      <c r="M864">
        <f>RSQ($D$3:D864,$B$3:B864)</f>
        <v>4.7612308365123736E-2</v>
      </c>
      <c r="N864">
        <v>832</v>
      </c>
      <c r="O864" t="str">
        <f t="shared" si="197"/>
        <v/>
      </c>
      <c r="P864" t="str">
        <f t="shared" si="201"/>
        <v/>
      </c>
      <c r="Q864">
        <f t="shared" si="202"/>
        <v>0</v>
      </c>
      <c r="R864">
        <f t="shared" si="203"/>
        <v>0</v>
      </c>
      <c r="S864">
        <f t="shared" si="204"/>
        <v>0</v>
      </c>
      <c r="T864">
        <f t="shared" si="205"/>
        <v>0</v>
      </c>
      <c r="U864">
        <f t="shared" si="200"/>
        <v>0</v>
      </c>
      <c r="V864">
        <f t="shared" si="206"/>
        <v>0</v>
      </c>
      <c r="W864">
        <f t="shared" si="210"/>
        <v>0</v>
      </c>
      <c r="X864">
        <f>SUM($W$34:W864)</f>
        <v>308.60990869999978</v>
      </c>
      <c r="Y864">
        <f t="shared" si="207"/>
        <v>0</v>
      </c>
    </row>
    <row r="865" spans="1:25">
      <c r="A865">
        <v>109.45228969999999</v>
      </c>
      <c r="B865" s="2">
        <f t="shared" si="208"/>
        <v>-1.0830351508404968E-3</v>
      </c>
      <c r="C865">
        <v>125.6313356</v>
      </c>
      <c r="D865" s="3">
        <f t="shared" si="209"/>
        <v>-7.9496399370847445E-3</v>
      </c>
      <c r="E865" s="3">
        <f t="shared" ref="E865:E928" si="211">D865-K865</f>
        <v>-8.000619069054386E-3</v>
      </c>
      <c r="F865" s="3">
        <f>STDEV($E$32:E865)</f>
        <v>1.2837517855856502E-2</v>
      </c>
      <c r="G865" s="14">
        <f t="shared" si="198"/>
        <v>-0.62322165070286439</v>
      </c>
      <c r="H865" s="15">
        <f>yint($B$3:B865,$D$3:D865)</f>
        <v>3.0837730347589939E-4</v>
      </c>
      <c r="I865" s="16">
        <f>MyReg($B$3:B865,$D$3:D865)</f>
        <v>0.23766372800227464</v>
      </c>
      <c r="J865" s="17">
        <f>STDEV($D$3:D865)</f>
        <v>1.3124254781916249E-2</v>
      </c>
      <c r="K865" s="4">
        <f t="shared" ref="K865:K928" si="212">H865+B865*I865</f>
        <v>5.0979131969641094E-5</v>
      </c>
      <c r="L865">
        <f t="shared" si="199"/>
        <v>-0.62322165070286439</v>
      </c>
      <c r="M865">
        <f>RSQ($D$3:D865,$B$3:B865)</f>
        <v>4.7623106088857295E-2</v>
      </c>
      <c r="N865">
        <v>833</v>
      </c>
      <c r="O865" t="str">
        <f t="shared" ref="O865:O928" si="213">IF(L865&gt;1.5,"sellY",IF(L865&lt;-1.5,"buyY",""))</f>
        <v/>
      </c>
      <c r="P865" t="str">
        <f t="shared" si="201"/>
        <v/>
      </c>
      <c r="Q865">
        <f t="shared" si="202"/>
        <v>0</v>
      </c>
      <c r="R865">
        <f t="shared" si="203"/>
        <v>0</v>
      </c>
      <c r="S865">
        <f t="shared" si="204"/>
        <v>0</v>
      </c>
      <c r="T865">
        <f t="shared" si="205"/>
        <v>0</v>
      </c>
      <c r="U865">
        <f t="shared" si="200"/>
        <v>0</v>
      </c>
      <c r="V865">
        <f t="shared" si="206"/>
        <v>0</v>
      </c>
      <c r="W865">
        <f t="shared" si="210"/>
        <v>0</v>
      </c>
      <c r="X865">
        <f>SUM($W$34:W865)</f>
        <v>308.60990869999978</v>
      </c>
      <c r="Y865">
        <f t="shared" si="207"/>
        <v>0</v>
      </c>
    </row>
    <row r="866" spans="1:25">
      <c r="A866">
        <v>109.6349084</v>
      </c>
      <c r="B866" s="2">
        <f t="shared" si="208"/>
        <v>1.6684776581700523E-3</v>
      </c>
      <c r="C866">
        <v>127.0672977</v>
      </c>
      <c r="D866" s="3">
        <f t="shared" si="209"/>
        <v>1.1429967636195356E-2</v>
      </c>
      <c r="E866" s="3">
        <f t="shared" si="211"/>
        <v>1.071245036801304E-2</v>
      </c>
      <c r="F866" s="3">
        <f>STDEV($E$32:E866)</f>
        <v>1.2835019939480352E-2</v>
      </c>
      <c r="G866" s="14">
        <f t="shared" ref="G866:G929" si="214">E866/F866</f>
        <v>0.83462670245347137</v>
      </c>
      <c r="H866" s="15">
        <f>yint($B$3:B866,$D$3:D866)</f>
        <v>3.2076772654582346E-4</v>
      </c>
      <c r="I866" s="16">
        <f>MyReg($B$3:B866,$D$3:D866)</f>
        <v>0.23779134212179817</v>
      </c>
      <c r="J866" s="17">
        <f>STDEV($D$3:D866)</f>
        <v>1.3122063519543774E-2</v>
      </c>
      <c r="K866" s="4">
        <f t="shared" si="212"/>
        <v>7.1751726818231499E-4</v>
      </c>
      <c r="L866">
        <f t="shared" ref="L866:L929" si="215">(D866-K866)/F866</f>
        <v>0.83462670245347137</v>
      </c>
      <c r="M866">
        <f>RSQ($D$3:D866,$B$3:B866)</f>
        <v>4.7635770477626141E-2</v>
      </c>
      <c r="N866">
        <v>834</v>
      </c>
      <c r="O866" t="str">
        <f t="shared" si="213"/>
        <v/>
      </c>
      <c r="P866" t="str">
        <f t="shared" si="201"/>
        <v/>
      </c>
      <c r="Q866">
        <f t="shared" si="202"/>
        <v>0</v>
      </c>
      <c r="R866">
        <f t="shared" si="203"/>
        <v>0</v>
      </c>
      <c r="S866">
        <f t="shared" si="204"/>
        <v>0</v>
      </c>
      <c r="T866">
        <f t="shared" si="205"/>
        <v>0</v>
      </c>
      <c r="U866">
        <f t="shared" ref="U866:U929" si="216">ABS(Q866)+ABS(S866)</f>
        <v>0</v>
      </c>
      <c r="V866">
        <f t="shared" si="206"/>
        <v>0</v>
      </c>
      <c r="W866">
        <f t="shared" si="210"/>
        <v>0</v>
      </c>
      <c r="X866">
        <f>SUM($W$34:W866)</f>
        <v>308.60990869999978</v>
      </c>
      <c r="Y866">
        <f t="shared" si="207"/>
        <v>0</v>
      </c>
    </row>
    <row r="867" spans="1:25">
      <c r="A867">
        <v>108.6094519</v>
      </c>
      <c r="B867" s="2">
        <f t="shared" si="208"/>
        <v>-9.3533758085395016E-3</v>
      </c>
      <c r="C867">
        <v>129.1319421</v>
      </c>
      <c r="D867" s="3">
        <f t="shared" si="209"/>
        <v>1.6248432424167354E-2</v>
      </c>
      <c r="E867" s="3">
        <f t="shared" si="211"/>
        <v>1.8117696424283635E-2</v>
      </c>
      <c r="F867" s="3">
        <f>STDEV($E$32:E867)</f>
        <v>1.2842345727541237E-2</v>
      </c>
      <c r="G867" s="14">
        <f t="shared" si="214"/>
        <v>1.4107778133888009</v>
      </c>
      <c r="H867" s="15">
        <f>yint($B$3:B867,$D$3:D867)</f>
        <v>3.4198412464489145E-4</v>
      </c>
      <c r="I867" s="16">
        <f>MyReg($B$3:B867,$D$3:D867)</f>
        <v>0.23641176940012751</v>
      </c>
      <c r="J867" s="17">
        <f>STDEV($D$3:D867)</f>
        <v>1.3125584853043539E-2</v>
      </c>
      <c r="K867" s="4">
        <f t="shared" si="212"/>
        <v>-1.8692640001162803E-3</v>
      </c>
      <c r="L867">
        <f t="shared" si="215"/>
        <v>1.4107778133888009</v>
      </c>
      <c r="M867">
        <f>RSQ($D$3:D867,$B$3:B867)</f>
        <v>4.7038996723411657E-2</v>
      </c>
      <c r="N867">
        <v>835</v>
      </c>
      <c r="O867" t="str">
        <f t="shared" si="213"/>
        <v/>
      </c>
      <c r="P867" t="str">
        <f t="shared" ref="P867:P930" si="217">IF(AND(OR(O866="sellY",P866="sellhold"),L867&gt;0.5),"sellhold",IF(AND(OR(O866="sellY",P866="sellhold"),L867&lt;0.5,O867&lt;&gt;"buyY"),"close",IF(AND(OR(O866="sellY",P866="sellhold"),L867&lt;0.5,O867="buyY"),"close&amp;buy",IF(AND(OR(O866="buyY",P866="buyhold"),L867&lt;-0.5),"buyhold",IF(AND(OR(O866="buyY",P866="buyhold"),L867&gt;-0.5,O867&lt;&gt;"sellY"),"close",IF(AND(OR(O866="buyY",P866="buyhold"),L867&gt;-0.5,O867="sellY"),"close&amp;sell",""))))))</f>
        <v/>
      </c>
      <c r="Q867">
        <f t="shared" ref="Q867:Q930" si="218">IF(O867="sellY",MAX(10+R867,Q866),IF(O867="buyY",MIN(-10+R867,Q866),IF(P867="sellhold",Q866+R867,IF(P867="buyhold",Q866+R867,0))))</f>
        <v>0</v>
      </c>
      <c r="R867">
        <f t="shared" ref="R867:R930" si="219">IF(AND(L867&gt;2.5,Q866&lt;15),10,IF(AND(L867&gt;2,Q866&lt;15),5,IF(AND(L867&lt;-2.5,Q866&gt;-15),-10,IF(AND(L867&lt;-2,Q866&gt;-15),-5,0))))</f>
        <v>0</v>
      </c>
      <c r="S867">
        <f t="shared" ref="S867:S930" si="220">IF(O867="sellY",MIN(-10+T867,S866),IF(O867="buyY",MAX(10+T867,S866),IF(P867="sellhold",S866+T867,IF(P867="buyhold",S866+T867,0))))</f>
        <v>0</v>
      </c>
      <c r="T867">
        <f t="shared" ref="T867:T930" si="221">IF(AND(L867&gt;2.5,Q866&lt;15),-10,IF(AND(L867&gt;2,Q866&lt;15),-5,IF(AND(L867&lt;-2.5,Q866&gt;-15),10,IF(AND(L867&lt;-2,Q866&gt;-15),5,0))))</f>
        <v>0</v>
      </c>
      <c r="U867">
        <f t="shared" si="216"/>
        <v>0</v>
      </c>
      <c r="V867">
        <f t="shared" ref="V867:V930" si="222">Q867-Q866</f>
        <v>0</v>
      </c>
      <c r="W867">
        <f t="shared" si="210"/>
        <v>0</v>
      </c>
      <c r="X867">
        <f>SUM($W$34:W867)</f>
        <v>308.60990869999978</v>
      </c>
      <c r="Y867">
        <f t="shared" si="207"/>
        <v>0</v>
      </c>
    </row>
    <row r="868" spans="1:25">
      <c r="A868">
        <v>108.3157152</v>
      </c>
      <c r="B868" s="2">
        <f t="shared" si="208"/>
        <v>-2.7045224412922081E-3</v>
      </c>
      <c r="C868">
        <v>128.79883219999999</v>
      </c>
      <c r="D868" s="3">
        <f t="shared" si="209"/>
        <v>-2.5796088448979569E-3</v>
      </c>
      <c r="E868" s="3">
        <f t="shared" si="211"/>
        <v>-2.2794267333119873E-3</v>
      </c>
      <c r="F868" s="3">
        <f>STDEV($E$32:E868)</f>
        <v>1.283494629658976E-2</v>
      </c>
      <c r="G868" s="14">
        <f t="shared" si="214"/>
        <v>-0.17759534638003355</v>
      </c>
      <c r="H868" s="15">
        <f>yint($B$3:B868,$D$3:D868)</f>
        <v>3.3934017374081231E-4</v>
      </c>
      <c r="I868" s="16">
        <f>MyReg($B$3:B868,$D$3:D868)</f>
        <v>0.23646403356195533</v>
      </c>
      <c r="J868" s="17">
        <f>STDEV($D$3:D868)</f>
        <v>1.3118381573273528E-2</v>
      </c>
      <c r="K868" s="4">
        <f t="shared" si="212"/>
        <v>-3.0018211158596976E-4</v>
      </c>
      <c r="L868">
        <f t="shared" si="215"/>
        <v>-0.17759534638003355</v>
      </c>
      <c r="M868">
        <f>RSQ($D$3:D868,$B$3:B868)</f>
        <v>4.7060123663498661E-2</v>
      </c>
      <c r="N868">
        <v>836</v>
      </c>
      <c r="O868" t="str">
        <f t="shared" si="213"/>
        <v/>
      </c>
      <c r="P868" t="str">
        <f t="shared" si="217"/>
        <v/>
      </c>
      <c r="Q868">
        <f t="shared" si="218"/>
        <v>0</v>
      </c>
      <c r="R868">
        <f t="shared" si="219"/>
        <v>0</v>
      </c>
      <c r="S868">
        <f t="shared" si="220"/>
        <v>0</v>
      </c>
      <c r="T868">
        <f t="shared" si="221"/>
        <v>0</v>
      </c>
      <c r="U868">
        <f t="shared" si="216"/>
        <v>0</v>
      </c>
      <c r="V868">
        <f t="shared" si="222"/>
        <v>0</v>
      </c>
      <c r="W868">
        <f t="shared" si="210"/>
        <v>0</v>
      </c>
      <c r="X868">
        <f>SUM($W$34:W868)</f>
        <v>308.60990869999978</v>
      </c>
      <c r="Y868">
        <f t="shared" ref="Y868:Y931" si="223">IF(P868="close",X868,0)</f>
        <v>0</v>
      </c>
    </row>
    <row r="869" spans="1:25">
      <c r="A869">
        <v>109.86444179999999</v>
      </c>
      <c r="B869" s="2">
        <f t="shared" si="208"/>
        <v>1.4298263157292939E-2</v>
      </c>
      <c r="C869">
        <v>128.74090870000001</v>
      </c>
      <c r="D869" s="3">
        <f t="shared" si="209"/>
        <v>-4.4972069242089696E-4</v>
      </c>
      <c r="E869" s="3">
        <f t="shared" si="211"/>
        <v>-4.1586529458797865E-3</v>
      </c>
      <c r="F869" s="3">
        <f>STDEV($E$32:E869)</f>
        <v>1.282815495903266E-2</v>
      </c>
      <c r="G869" s="14">
        <f t="shared" si="214"/>
        <v>-0.32418168935132513</v>
      </c>
      <c r="H869" s="15">
        <f>yint($B$3:B869,$D$3:D869)</f>
        <v>3.3461525065105055E-4</v>
      </c>
      <c r="I869" s="16">
        <f>MyReg($B$3:B869,$D$3:D869)</f>
        <v>0.23599488732914686</v>
      </c>
      <c r="J869" s="17">
        <f>STDEV($D$3:D869)</f>
        <v>1.3110835417299476E-2</v>
      </c>
      <c r="K869" s="4">
        <f t="shared" si="212"/>
        <v>3.7089322534588896E-3</v>
      </c>
      <c r="L869">
        <f t="shared" si="215"/>
        <v>-0.32418168935132513</v>
      </c>
      <c r="M869">
        <f>RSQ($D$3:D869,$B$3:B869)</f>
        <v>4.6948009055577264E-2</v>
      </c>
      <c r="N869">
        <v>837</v>
      </c>
      <c r="O869" t="str">
        <f t="shared" si="213"/>
        <v/>
      </c>
      <c r="P869" t="str">
        <f t="shared" si="217"/>
        <v/>
      </c>
      <c r="Q869">
        <f t="shared" si="218"/>
        <v>0</v>
      </c>
      <c r="R869">
        <f t="shared" si="219"/>
        <v>0</v>
      </c>
      <c r="S869">
        <f t="shared" si="220"/>
        <v>0</v>
      </c>
      <c r="T869">
        <f t="shared" si="221"/>
        <v>0</v>
      </c>
      <c r="U869">
        <f t="shared" si="216"/>
        <v>0</v>
      </c>
      <c r="V869">
        <f t="shared" si="222"/>
        <v>0</v>
      </c>
      <c r="W869">
        <f t="shared" si="210"/>
        <v>0</v>
      </c>
      <c r="X869">
        <f>SUM($W$34:W869)</f>
        <v>308.60990869999978</v>
      </c>
      <c r="Y869">
        <f t="shared" si="223"/>
        <v>0</v>
      </c>
    </row>
    <row r="870" spans="1:25">
      <c r="A870">
        <v>109.0192564</v>
      </c>
      <c r="B870" s="2">
        <f t="shared" si="208"/>
        <v>-7.6929840642943241E-3</v>
      </c>
      <c r="C870">
        <v>130.22174699999999</v>
      </c>
      <c r="D870" s="3">
        <f t="shared" si="209"/>
        <v>1.150246891181053E-2</v>
      </c>
      <c r="E870" s="3">
        <f t="shared" si="211"/>
        <v>1.2962004052694301E-2</v>
      </c>
      <c r="F870" s="3">
        <f>STDEV($E$32:E870)</f>
        <v>1.2828089368589509E-2</v>
      </c>
      <c r="G870" s="14">
        <f t="shared" si="214"/>
        <v>1.0104391761124374</v>
      </c>
      <c r="H870" s="15">
        <f>yint($B$3:B870,$D$3:D870)</f>
        <v>3.4971278450939588E-4</v>
      </c>
      <c r="I870" s="16">
        <f>MyReg($B$3:B870,$D$3:D870)</f>
        <v>0.2351815511734236</v>
      </c>
      <c r="J870" s="17">
        <f>STDEV($D$3:D870)</f>
        <v>1.3108712129450304E-2</v>
      </c>
      <c r="K870" s="4">
        <f t="shared" si="212"/>
        <v>-1.459535140883772E-3</v>
      </c>
      <c r="L870">
        <f t="shared" si="215"/>
        <v>1.0104391761124374</v>
      </c>
      <c r="M870">
        <f>RSQ($D$3:D870,$B$3:B870)</f>
        <v>4.6609263006428377E-2</v>
      </c>
      <c r="N870">
        <v>838</v>
      </c>
      <c r="O870" t="str">
        <f t="shared" si="213"/>
        <v/>
      </c>
      <c r="P870" t="str">
        <f t="shared" si="217"/>
        <v/>
      </c>
      <c r="Q870">
        <f t="shared" si="218"/>
        <v>0</v>
      </c>
      <c r="R870">
        <f t="shared" si="219"/>
        <v>0</v>
      </c>
      <c r="S870">
        <f t="shared" si="220"/>
        <v>0</v>
      </c>
      <c r="T870">
        <f t="shared" si="221"/>
        <v>0</v>
      </c>
      <c r="U870">
        <f t="shared" si="216"/>
        <v>0</v>
      </c>
      <c r="V870">
        <f t="shared" si="222"/>
        <v>0</v>
      </c>
      <c r="W870">
        <f t="shared" si="210"/>
        <v>0</v>
      </c>
      <c r="X870">
        <f>SUM($W$34:W870)</f>
        <v>308.60990869999978</v>
      </c>
      <c r="Y870">
        <f t="shared" si="223"/>
        <v>0</v>
      </c>
    </row>
    <row r="871" spans="1:25">
      <c r="A871">
        <v>107.7602921</v>
      </c>
      <c r="B871" s="2">
        <f t="shared" si="208"/>
        <v>-1.1548091058159174E-2</v>
      </c>
      <c r="C871">
        <v>129.8944688</v>
      </c>
      <c r="D871" s="3">
        <f t="shared" si="209"/>
        <v>-2.5132376698954514E-3</v>
      </c>
      <c r="E871" s="3">
        <f t="shared" si="211"/>
        <v>-1.4672292597579838E-4</v>
      </c>
      <c r="F871" s="3">
        <f>STDEV($E$32:E871)</f>
        <v>1.2820447691629282E-2</v>
      </c>
      <c r="G871" s="14">
        <f t="shared" si="214"/>
        <v>-1.14444463645054E-2</v>
      </c>
      <c r="H871" s="15">
        <f>yint($B$3:B871,$D$3:D871)</f>
        <v>3.49541395504243E-4</v>
      </c>
      <c r="I871" s="16">
        <f>MyReg($B$3:B871,$D$3:D871)</f>
        <v>0.23519524791977608</v>
      </c>
      <c r="J871" s="17">
        <f>STDEV($D$3:D871)</f>
        <v>1.3101529051503543E-2</v>
      </c>
      <c r="K871" s="4">
        <f t="shared" si="212"/>
        <v>-2.366514743919653E-3</v>
      </c>
      <c r="L871">
        <f t="shared" si="215"/>
        <v>-1.14444463645054E-2</v>
      </c>
      <c r="M871">
        <f>RSQ($D$3:D871,$B$3:B871)</f>
        <v>4.6662995859623774E-2</v>
      </c>
      <c r="N871">
        <v>839</v>
      </c>
      <c r="O871" t="str">
        <f t="shared" si="213"/>
        <v/>
      </c>
      <c r="P871" t="str">
        <f t="shared" si="217"/>
        <v/>
      </c>
      <c r="Q871">
        <f t="shared" si="218"/>
        <v>0</v>
      </c>
      <c r="R871">
        <f t="shared" si="219"/>
        <v>0</v>
      </c>
      <c r="S871">
        <f t="shared" si="220"/>
        <v>0</v>
      </c>
      <c r="T871">
        <f t="shared" si="221"/>
        <v>0</v>
      </c>
      <c r="U871">
        <f t="shared" si="216"/>
        <v>0</v>
      </c>
      <c r="V871">
        <f t="shared" si="222"/>
        <v>0</v>
      </c>
      <c r="W871">
        <f t="shared" si="210"/>
        <v>0</v>
      </c>
      <c r="X871">
        <f>SUM($W$34:W871)</f>
        <v>308.60990869999978</v>
      </c>
      <c r="Y871">
        <f t="shared" si="223"/>
        <v>0</v>
      </c>
    </row>
    <row r="872" spans="1:25">
      <c r="A872">
        <v>107.2510803</v>
      </c>
      <c r="B872" s="2">
        <f t="shared" si="208"/>
        <v>-4.7254122096055708E-3</v>
      </c>
      <c r="C872">
        <v>129.52297139999999</v>
      </c>
      <c r="D872" s="3">
        <f t="shared" si="209"/>
        <v>-2.8599939892129554E-3</v>
      </c>
      <c r="E872" s="3">
        <f t="shared" si="211"/>
        <v>-2.0953320588959199E-3</v>
      </c>
      <c r="F872" s="3">
        <f>STDEV($E$32:E872)</f>
        <v>1.2813057843033023E-2</v>
      </c>
      <c r="G872" s="14">
        <f t="shared" si="214"/>
        <v>-0.1635309919431322</v>
      </c>
      <c r="H872" s="15">
        <f>yint($B$3:B872,$D$3:D872)</f>
        <v>3.4711730498130451E-4</v>
      </c>
      <c r="I872" s="16">
        <f>MyReg($B$3:B872,$D$3:D872)</f>
        <v>0.23527666708914269</v>
      </c>
      <c r="J872" s="17">
        <f>STDEV($D$3:D872)</f>
        <v>1.3094451276843985E-2</v>
      </c>
      <c r="K872" s="4">
        <f t="shared" si="212"/>
        <v>-7.6466193031703557E-4</v>
      </c>
      <c r="L872">
        <f t="shared" si="215"/>
        <v>-0.1635309919431322</v>
      </c>
      <c r="M872">
        <f>RSQ($D$3:D872,$B$3:B872)</f>
        <v>4.6700859530302515E-2</v>
      </c>
      <c r="N872">
        <v>840</v>
      </c>
      <c r="O872" t="str">
        <f t="shared" si="213"/>
        <v/>
      </c>
      <c r="P872" t="str">
        <f t="shared" si="217"/>
        <v/>
      </c>
      <c r="Q872">
        <f t="shared" si="218"/>
        <v>0</v>
      </c>
      <c r="R872">
        <f t="shared" si="219"/>
        <v>0</v>
      </c>
      <c r="S872">
        <f t="shared" si="220"/>
        <v>0</v>
      </c>
      <c r="T872">
        <f t="shared" si="221"/>
        <v>0</v>
      </c>
      <c r="U872">
        <f t="shared" si="216"/>
        <v>0</v>
      </c>
      <c r="V872">
        <f t="shared" si="222"/>
        <v>0</v>
      </c>
      <c r="W872">
        <f t="shared" si="210"/>
        <v>0</v>
      </c>
      <c r="X872">
        <f>SUM($W$34:W872)</f>
        <v>308.60990869999978</v>
      </c>
      <c r="Y872">
        <f t="shared" si="223"/>
        <v>0</v>
      </c>
    </row>
    <row r="873" spans="1:25">
      <c r="A873">
        <v>106.8128833</v>
      </c>
      <c r="B873" s="2">
        <f t="shared" si="208"/>
        <v>-4.0857117594926681E-3</v>
      </c>
      <c r="C873">
        <v>128.35339010000001</v>
      </c>
      <c r="D873" s="3">
        <f t="shared" si="209"/>
        <v>-9.0299140558473632E-3</v>
      </c>
      <c r="E873" s="3">
        <f t="shared" si="211"/>
        <v>-8.4048968087590773E-3</v>
      </c>
      <c r="F873" s="3">
        <f>STDEV($E$32:E873)</f>
        <v>1.2808865752566935E-2</v>
      </c>
      <c r="G873" s="14">
        <f t="shared" si="214"/>
        <v>-0.65617807002737227</v>
      </c>
      <c r="H873" s="15">
        <f>yint($B$3:B873,$D$3:D873)</f>
        <v>3.374132255988373E-4</v>
      </c>
      <c r="I873" s="16">
        <f>MyReg($B$3:B873,$D$3:D873)</f>
        <v>0.2355600515506337</v>
      </c>
      <c r="J873" s="17">
        <f>STDEV($D$3:D873)</f>
        <v>1.3090809563665139E-2</v>
      </c>
      <c r="K873" s="4">
        <f t="shared" si="212"/>
        <v>-6.2501724708828588E-4</v>
      </c>
      <c r="L873">
        <f t="shared" si="215"/>
        <v>-0.65617807002737227</v>
      </c>
      <c r="M873">
        <f>RSQ($D$3:D873,$B$3:B873)</f>
        <v>4.6792316466616558E-2</v>
      </c>
      <c r="N873">
        <v>841</v>
      </c>
      <c r="O873" t="str">
        <f t="shared" si="213"/>
        <v/>
      </c>
      <c r="P873" t="str">
        <f t="shared" si="217"/>
        <v/>
      </c>
      <c r="Q873">
        <f t="shared" si="218"/>
        <v>0</v>
      </c>
      <c r="R873">
        <f t="shared" si="219"/>
        <v>0</v>
      </c>
      <c r="S873">
        <f t="shared" si="220"/>
        <v>0</v>
      </c>
      <c r="T873">
        <f t="shared" si="221"/>
        <v>0</v>
      </c>
      <c r="U873">
        <f t="shared" si="216"/>
        <v>0</v>
      </c>
      <c r="V873">
        <f t="shared" si="222"/>
        <v>0</v>
      </c>
      <c r="W873">
        <f t="shared" si="210"/>
        <v>0</v>
      </c>
      <c r="X873">
        <f>SUM($W$34:W873)</f>
        <v>308.60990869999978</v>
      </c>
      <c r="Y873">
        <f t="shared" si="223"/>
        <v>0</v>
      </c>
    </row>
    <row r="874" spans="1:25">
      <c r="A874">
        <v>107.24831880000001</v>
      </c>
      <c r="B874" s="2">
        <f t="shared" si="208"/>
        <v>4.0766196599807654E-3</v>
      </c>
      <c r="C874">
        <v>128.3939785</v>
      </c>
      <c r="D874" s="3">
        <f t="shared" si="209"/>
        <v>3.1622382524035947E-4</v>
      </c>
      <c r="E874" s="3">
        <f t="shared" si="211"/>
        <v>-9.802323851339236E-4</v>
      </c>
      <c r="F874" s="3">
        <f>STDEV($E$32:E874)</f>
        <v>1.2801319993107071E-2</v>
      </c>
      <c r="G874" s="14">
        <f t="shared" si="214"/>
        <v>-7.6572758564096066E-2</v>
      </c>
      <c r="H874" s="15">
        <f>yint($B$3:B874,$D$3:D874)</f>
        <v>3.3629234419649577E-4</v>
      </c>
      <c r="I874" s="16">
        <f>MyReg($B$3:B874,$D$3:D874)</f>
        <v>0.23552942051560374</v>
      </c>
      <c r="J874" s="17">
        <f>STDEV($D$3:D874)</f>
        <v>1.3083292726950156E-2</v>
      </c>
      <c r="K874" s="4">
        <f t="shared" si="212"/>
        <v>1.296456210374283E-3</v>
      </c>
      <c r="L874">
        <f t="shared" si="215"/>
        <v>-7.6572758564096066E-2</v>
      </c>
      <c r="M874">
        <f>RSQ($D$3:D874,$B$3:B874)</f>
        <v>4.6785883569542455E-2</v>
      </c>
      <c r="N874">
        <v>842</v>
      </c>
      <c r="O874" t="str">
        <f t="shared" si="213"/>
        <v/>
      </c>
      <c r="P874" t="str">
        <f t="shared" si="217"/>
        <v/>
      </c>
      <c r="Q874">
        <f t="shared" si="218"/>
        <v>0</v>
      </c>
      <c r="R874">
        <f t="shared" si="219"/>
        <v>0</v>
      </c>
      <c r="S874">
        <f t="shared" si="220"/>
        <v>0</v>
      </c>
      <c r="T874">
        <f t="shared" si="221"/>
        <v>0</v>
      </c>
      <c r="U874">
        <f t="shared" si="216"/>
        <v>0</v>
      </c>
      <c r="V874">
        <f t="shared" si="222"/>
        <v>0</v>
      </c>
      <c r="W874">
        <f t="shared" si="210"/>
        <v>0</v>
      </c>
      <c r="X874">
        <f>SUM($W$34:W874)</f>
        <v>308.60990869999978</v>
      </c>
      <c r="Y874">
        <f t="shared" si="223"/>
        <v>0</v>
      </c>
    </row>
    <row r="875" spans="1:25">
      <c r="A875">
        <v>106.87278790000001</v>
      </c>
      <c r="B875" s="2">
        <f t="shared" si="208"/>
        <v>-3.5015085010358326E-3</v>
      </c>
      <c r="C875">
        <v>127.3489644</v>
      </c>
      <c r="D875" s="3">
        <f t="shared" si="209"/>
        <v>-8.1391207921795421E-3</v>
      </c>
      <c r="E875" s="3">
        <f t="shared" si="211"/>
        <v>-7.6411307941488824E-3</v>
      </c>
      <c r="F875" s="3">
        <f>STDEV($E$32:E875)</f>
        <v>1.2796558527246543E-2</v>
      </c>
      <c r="G875" s="14">
        <f t="shared" si="214"/>
        <v>-0.59712388904245783</v>
      </c>
      <c r="H875" s="15">
        <f>yint($B$3:B875,$D$3:D875)</f>
        <v>3.2749574949178691E-4</v>
      </c>
      <c r="I875" s="16">
        <f>MyReg($B$3:B875,$D$3:D875)</f>
        <v>0.23575146177090453</v>
      </c>
      <c r="J875" s="17">
        <f>STDEV($D$3:D875)</f>
        <v>1.3078961370757069E-2</v>
      </c>
      <c r="K875" s="4">
        <f t="shared" si="212"/>
        <v>-4.9798999803065942E-4</v>
      </c>
      <c r="L875">
        <f t="shared" si="215"/>
        <v>-0.59712388904245783</v>
      </c>
      <c r="M875">
        <f>RSQ($D$3:D875,$B$3:B875)</f>
        <v>4.6856368504563976E-2</v>
      </c>
      <c r="N875">
        <v>843</v>
      </c>
      <c r="O875" t="str">
        <f t="shared" si="213"/>
        <v/>
      </c>
      <c r="P875" t="str">
        <f t="shared" si="217"/>
        <v/>
      </c>
      <c r="Q875">
        <f t="shared" si="218"/>
        <v>0</v>
      </c>
      <c r="R875">
        <f t="shared" si="219"/>
        <v>0</v>
      </c>
      <c r="S875">
        <f t="shared" si="220"/>
        <v>0</v>
      </c>
      <c r="T875">
        <f t="shared" si="221"/>
        <v>0</v>
      </c>
      <c r="U875">
        <f t="shared" si="216"/>
        <v>0</v>
      </c>
      <c r="V875">
        <f t="shared" si="222"/>
        <v>0</v>
      </c>
      <c r="W875">
        <f t="shared" si="210"/>
        <v>0</v>
      </c>
      <c r="X875">
        <f>SUM($W$34:W875)</f>
        <v>308.60990869999978</v>
      </c>
      <c r="Y875">
        <f t="shared" si="223"/>
        <v>0</v>
      </c>
    </row>
    <row r="876" spans="1:25">
      <c r="A876">
        <v>107.4338321</v>
      </c>
      <c r="B876" s="2">
        <f t="shared" si="208"/>
        <v>5.2496450314832455E-3</v>
      </c>
      <c r="C876">
        <v>127.5906402</v>
      </c>
      <c r="D876" s="3">
        <f t="shared" si="209"/>
        <v>1.8977445253570973E-3</v>
      </c>
      <c r="E876" s="3">
        <f t="shared" si="211"/>
        <v>3.3218802598610061E-4</v>
      </c>
      <c r="F876" s="3">
        <f>STDEV($E$32:E876)</f>
        <v>1.2788976559852694E-2</v>
      </c>
      <c r="G876" s="14">
        <f t="shared" si="214"/>
        <v>2.5974558983000186E-2</v>
      </c>
      <c r="H876" s="15">
        <f>yint($B$3:B876,$D$3:D876)</f>
        <v>3.2787426592466811E-4</v>
      </c>
      <c r="I876" s="16">
        <f>MyReg($B$3:B876,$D$3:D876)</f>
        <v>0.23576493763362727</v>
      </c>
      <c r="J876" s="17">
        <f>STDEV($D$3:D876)</f>
        <v>1.3071571574364364E-2</v>
      </c>
      <c r="K876" s="4">
        <f t="shared" si="212"/>
        <v>1.5655564993709967E-3</v>
      </c>
      <c r="L876">
        <f t="shared" si="215"/>
        <v>2.5974558983000186E-2</v>
      </c>
      <c r="M876">
        <f>RSQ($D$3:D876,$B$3:B876)</f>
        <v>4.6870672558440858E-2</v>
      </c>
      <c r="N876">
        <v>844</v>
      </c>
      <c r="O876" t="str">
        <f t="shared" si="213"/>
        <v/>
      </c>
      <c r="P876" t="str">
        <f t="shared" si="217"/>
        <v/>
      </c>
      <c r="Q876">
        <f t="shared" si="218"/>
        <v>0</v>
      </c>
      <c r="R876">
        <f t="shared" si="219"/>
        <v>0</v>
      </c>
      <c r="S876">
        <f t="shared" si="220"/>
        <v>0</v>
      </c>
      <c r="T876">
        <f t="shared" si="221"/>
        <v>0</v>
      </c>
      <c r="U876">
        <f t="shared" si="216"/>
        <v>0</v>
      </c>
      <c r="V876">
        <f t="shared" si="222"/>
        <v>0</v>
      </c>
      <c r="W876">
        <f t="shared" si="210"/>
        <v>0</v>
      </c>
      <c r="X876">
        <f>SUM($W$34:W876)</f>
        <v>308.60990869999978</v>
      </c>
      <c r="Y876">
        <f t="shared" si="223"/>
        <v>0</v>
      </c>
    </row>
    <row r="877" spans="1:25">
      <c r="A877">
        <v>107.2270154</v>
      </c>
      <c r="B877" s="2">
        <f t="shared" si="208"/>
        <v>-1.9250611837758741E-3</v>
      </c>
      <c r="C877">
        <v>129.05137479999999</v>
      </c>
      <c r="D877" s="3">
        <f t="shared" si="209"/>
        <v>1.1448603108427659E-2</v>
      </c>
      <c r="E877" s="3">
        <f t="shared" si="211"/>
        <v>1.1560965820952266E-2</v>
      </c>
      <c r="F877" s="3">
        <f>STDEV($E$32:E877)</f>
        <v>1.2787402457660921E-2</v>
      </c>
      <c r="G877" s="14">
        <f t="shared" si="214"/>
        <v>0.9040902450071947</v>
      </c>
      <c r="H877" s="15">
        <f>yint($B$3:B877,$D$3:D877)</f>
        <v>3.4113134640084854E-4</v>
      </c>
      <c r="I877" s="16">
        <f>MyReg($B$3:B877,$D$3:D877)</f>
        <v>0.23557384188483724</v>
      </c>
      <c r="J877" s="17">
        <f>STDEV($D$3:D877)</f>
        <v>1.3069464448412088E-2</v>
      </c>
      <c r="K877" s="4">
        <f t="shared" si="212"/>
        <v>-1.1236271252460683E-4</v>
      </c>
      <c r="L877">
        <f t="shared" si="215"/>
        <v>0.9040902450071947</v>
      </c>
      <c r="M877">
        <f>RSQ($D$3:D877,$B$3:B877)</f>
        <v>4.675785973082499E-2</v>
      </c>
      <c r="N877">
        <v>845</v>
      </c>
      <c r="O877" t="str">
        <f t="shared" si="213"/>
        <v/>
      </c>
      <c r="P877" t="str">
        <f t="shared" si="217"/>
        <v/>
      </c>
      <c r="Q877">
        <f t="shared" si="218"/>
        <v>0</v>
      </c>
      <c r="R877">
        <f t="shared" si="219"/>
        <v>0</v>
      </c>
      <c r="S877">
        <f t="shared" si="220"/>
        <v>0</v>
      </c>
      <c r="T877">
        <f t="shared" si="221"/>
        <v>0</v>
      </c>
      <c r="U877">
        <f t="shared" si="216"/>
        <v>0</v>
      </c>
      <c r="V877">
        <f t="shared" si="222"/>
        <v>0</v>
      </c>
      <c r="W877">
        <f t="shared" si="210"/>
        <v>0</v>
      </c>
      <c r="X877">
        <f>SUM($W$34:W877)</f>
        <v>308.60990869999978</v>
      </c>
      <c r="Y877">
        <f t="shared" si="223"/>
        <v>0</v>
      </c>
    </row>
    <row r="878" spans="1:25">
      <c r="A878">
        <v>107.8226694</v>
      </c>
      <c r="B878" s="2">
        <f t="shared" si="208"/>
        <v>5.5550739501418235E-3</v>
      </c>
      <c r="C878">
        <v>129.68673810000001</v>
      </c>
      <c r="D878" s="3">
        <f t="shared" si="209"/>
        <v>4.9233361596084518E-3</v>
      </c>
      <c r="E878" s="3">
        <f t="shared" si="211"/>
        <v>3.2690797899855841E-3</v>
      </c>
      <c r="F878" s="3">
        <f>STDEV($E$32:E878)</f>
        <v>1.2780281658182383E-2</v>
      </c>
      <c r="G878" s="14">
        <f t="shared" si="214"/>
        <v>0.25579090331648557</v>
      </c>
      <c r="H878" s="15">
        <f>yint($B$3:B878,$D$3:D878)</f>
        <v>3.4484614312456732E-4</v>
      </c>
      <c r="I878" s="16">
        <f>MyReg($B$3:B878,$D$3:D878)</f>
        <v>0.23571427459842736</v>
      </c>
      <c r="J878" s="17">
        <f>STDEV($D$3:D878)</f>
        <v>1.3062897266181815E-2</v>
      </c>
      <c r="K878" s="4">
        <f t="shared" si="212"/>
        <v>1.6542563696228677E-3</v>
      </c>
      <c r="L878">
        <f t="shared" si="215"/>
        <v>0.25579090331648557</v>
      </c>
      <c r="M878">
        <f>RSQ($D$3:D878,$B$3:B878)</f>
        <v>4.6818002870886256E-2</v>
      </c>
      <c r="N878">
        <v>846</v>
      </c>
      <c r="O878" t="str">
        <f t="shared" si="213"/>
        <v/>
      </c>
      <c r="P878" t="str">
        <f t="shared" si="217"/>
        <v/>
      </c>
      <c r="Q878">
        <f t="shared" si="218"/>
        <v>0</v>
      </c>
      <c r="R878">
        <f t="shared" si="219"/>
        <v>0</v>
      </c>
      <c r="S878">
        <f t="shared" si="220"/>
        <v>0</v>
      </c>
      <c r="T878">
        <f t="shared" si="221"/>
        <v>0</v>
      </c>
      <c r="U878">
        <f t="shared" si="216"/>
        <v>0</v>
      </c>
      <c r="V878">
        <f t="shared" si="222"/>
        <v>0</v>
      </c>
      <c r="W878">
        <f t="shared" si="210"/>
        <v>0</v>
      </c>
      <c r="X878">
        <f>SUM($W$34:W878)</f>
        <v>308.60990869999978</v>
      </c>
      <c r="Y878">
        <f t="shared" si="223"/>
        <v>0</v>
      </c>
    </row>
    <row r="879" spans="1:25">
      <c r="A879">
        <v>107.0645777</v>
      </c>
      <c r="B879" s="2">
        <f t="shared" si="208"/>
        <v>-7.0309119985485563E-3</v>
      </c>
      <c r="C879">
        <v>129.20317969999999</v>
      </c>
      <c r="D879" s="3">
        <f t="shared" si="209"/>
        <v>-3.7286649898400134E-3</v>
      </c>
      <c r="E879" s="3">
        <f t="shared" si="211"/>
        <v>-2.4124799202094099E-3</v>
      </c>
      <c r="F879" s="3">
        <f>STDEV($E$32:E879)</f>
        <v>1.2773047602875398E-2</v>
      </c>
      <c r="G879" s="14">
        <f t="shared" si="214"/>
        <v>-0.18887269469396839</v>
      </c>
      <c r="H879" s="15">
        <f>yint($B$3:B879,$D$3:D879)</f>
        <v>3.4207041847678814E-4</v>
      </c>
      <c r="I879" s="16">
        <f>MyReg($B$3:B879,$D$3:D879)</f>
        <v>0.23585211825289776</v>
      </c>
      <c r="J879" s="17">
        <f>STDEV($D$3:D879)</f>
        <v>1.3056177049436601E-2</v>
      </c>
      <c r="K879" s="4">
        <f t="shared" si="212"/>
        <v>-1.3161850696306035E-3</v>
      </c>
      <c r="L879">
        <f t="shared" si="215"/>
        <v>-0.18887269469396839</v>
      </c>
      <c r="M879">
        <f>RSQ($D$3:D879,$B$3:B879)</f>
        <v>4.6886707000043451E-2</v>
      </c>
      <c r="N879">
        <v>847</v>
      </c>
      <c r="O879" t="str">
        <f t="shared" si="213"/>
        <v/>
      </c>
      <c r="P879" t="str">
        <f t="shared" si="217"/>
        <v/>
      </c>
      <c r="Q879">
        <f t="shared" si="218"/>
        <v>0</v>
      </c>
      <c r="R879">
        <f t="shared" si="219"/>
        <v>0</v>
      </c>
      <c r="S879">
        <f t="shared" si="220"/>
        <v>0</v>
      </c>
      <c r="T879">
        <f t="shared" si="221"/>
        <v>0</v>
      </c>
      <c r="U879">
        <f t="shared" si="216"/>
        <v>0</v>
      </c>
      <c r="V879">
        <f t="shared" si="222"/>
        <v>0</v>
      </c>
      <c r="W879">
        <f t="shared" si="210"/>
        <v>0</v>
      </c>
      <c r="X879">
        <f>SUM($W$34:W879)</f>
        <v>308.60990869999978</v>
      </c>
      <c r="Y879">
        <f t="shared" si="223"/>
        <v>0</v>
      </c>
    </row>
    <row r="880" spans="1:25">
      <c r="A880">
        <v>105.9196458</v>
      </c>
      <c r="B880" s="2">
        <f t="shared" si="208"/>
        <v>-1.0693844076125312E-2</v>
      </c>
      <c r="C880">
        <v>132.11772360000001</v>
      </c>
      <c r="D880" s="3">
        <f t="shared" si="209"/>
        <v>2.2557834155222518E-2</v>
      </c>
      <c r="E880" s="3">
        <f t="shared" si="211"/>
        <v>2.4686718725949543E-2</v>
      </c>
      <c r="F880" s="3">
        <f>STDEV($E$32:E880)</f>
        <v>1.2793176126712734E-2</v>
      </c>
      <c r="G880" s="14">
        <f t="shared" si="214"/>
        <v>1.9296786412877214</v>
      </c>
      <c r="H880" s="15">
        <f>yint($B$3:B880,$D$3:D880)</f>
        <v>3.7053765112955462E-4</v>
      </c>
      <c r="I880" s="16">
        <f>MyReg($B$3:B880,$D$3:D880)</f>
        <v>0.23372532870913085</v>
      </c>
      <c r="J880" s="17">
        <f>STDEV($D$3:D880)</f>
        <v>1.3070184472409884E-2</v>
      </c>
      <c r="K880" s="4">
        <f t="shared" si="212"/>
        <v>-2.1288845707270257E-3</v>
      </c>
      <c r="L880">
        <f t="shared" si="215"/>
        <v>1.9296786412877214</v>
      </c>
      <c r="M880">
        <f>RSQ($D$3:D880,$B$3:B880)</f>
        <v>4.5936713879248477E-2</v>
      </c>
      <c r="N880">
        <v>848</v>
      </c>
      <c r="O880" t="str">
        <f t="shared" si="213"/>
        <v>sellY</v>
      </c>
      <c r="P880" t="str">
        <f t="shared" si="217"/>
        <v/>
      </c>
      <c r="Q880">
        <f t="shared" si="218"/>
        <v>10</v>
      </c>
      <c r="R880">
        <f t="shared" si="219"/>
        <v>0</v>
      </c>
      <c r="S880">
        <f t="shared" si="220"/>
        <v>-10</v>
      </c>
      <c r="T880">
        <f t="shared" si="221"/>
        <v>0</v>
      </c>
      <c r="U880">
        <f t="shared" si="216"/>
        <v>20</v>
      </c>
      <c r="V880">
        <f t="shared" si="222"/>
        <v>10</v>
      </c>
      <c r="W880">
        <f t="shared" si="210"/>
        <v>261.9807780000001</v>
      </c>
      <c r="X880">
        <f>SUM($W$34:W880)</f>
        <v>570.59068669999988</v>
      </c>
      <c r="Y880">
        <f t="shared" si="223"/>
        <v>0</v>
      </c>
    </row>
    <row r="881" spans="1:25">
      <c r="A881">
        <v>105.4387478</v>
      </c>
      <c r="B881" s="2">
        <f t="shared" si="208"/>
        <v>-4.5402153336883255E-3</v>
      </c>
      <c r="C881">
        <v>130.251126</v>
      </c>
      <c r="D881" s="3">
        <f t="shared" si="209"/>
        <v>-1.4128290657287754E-2</v>
      </c>
      <c r="E881" s="3">
        <f t="shared" si="211"/>
        <v>-1.3420049607485596E-2</v>
      </c>
      <c r="F881" s="3">
        <f>STDEV($E$32:E881)</f>
        <v>1.2794191041628983E-2</v>
      </c>
      <c r="G881" s="14">
        <f t="shared" si="214"/>
        <v>-1.0489174003905548</v>
      </c>
      <c r="H881" s="15">
        <f>yint($B$3:B881,$D$3:D881)</f>
        <v>3.5518446783253468E-4</v>
      </c>
      <c r="I881" s="16">
        <f>MyReg($B$3:B881,$D$3:D881)</f>
        <v>0.2342235862127709</v>
      </c>
      <c r="J881" s="17">
        <f>STDEV($D$3:D881)</f>
        <v>1.3071930551585148E-2</v>
      </c>
      <c r="K881" s="4">
        <f t="shared" si="212"/>
        <v>-7.0824104980215716E-4</v>
      </c>
      <c r="L881">
        <f t="shared" si="215"/>
        <v>-1.0489174003905548</v>
      </c>
      <c r="M881">
        <f>RSQ($D$3:D881,$B$3:B881)</f>
        <v>4.6075917887468697E-2</v>
      </c>
      <c r="N881">
        <v>849</v>
      </c>
      <c r="O881" t="str">
        <f t="shared" si="213"/>
        <v/>
      </c>
      <c r="P881" t="str">
        <f t="shared" si="217"/>
        <v>close</v>
      </c>
      <c r="Q881">
        <f t="shared" si="218"/>
        <v>0</v>
      </c>
      <c r="R881">
        <f t="shared" si="219"/>
        <v>0</v>
      </c>
      <c r="S881">
        <f t="shared" si="220"/>
        <v>0</v>
      </c>
      <c r="T881">
        <f t="shared" si="221"/>
        <v>0</v>
      </c>
      <c r="U881">
        <f t="shared" si="216"/>
        <v>0</v>
      </c>
      <c r="V881">
        <f t="shared" si="222"/>
        <v>-10</v>
      </c>
      <c r="W881">
        <f t="shared" si="210"/>
        <v>-248.12378199999998</v>
      </c>
      <c r="X881">
        <f>SUM($W$34:W881)</f>
        <v>322.46690469999987</v>
      </c>
      <c r="Y881">
        <f t="shared" si="223"/>
        <v>322.46690469999987</v>
      </c>
    </row>
    <row r="882" spans="1:25">
      <c r="A882">
        <v>104.3581605</v>
      </c>
      <c r="B882" s="2">
        <f t="shared" si="208"/>
        <v>-1.0248483812134241E-2</v>
      </c>
      <c r="C882">
        <v>130.3006637</v>
      </c>
      <c r="D882" s="3">
        <f t="shared" si="209"/>
        <v>3.8032454322123793E-4</v>
      </c>
      <c r="E882" s="3">
        <f t="shared" si="211"/>
        <v>2.420752612471334E-3</v>
      </c>
      <c r="F882" s="3">
        <f>STDEV($E$32:E882)</f>
        <v>1.2786889526341518E-2</v>
      </c>
      <c r="G882" s="14">
        <f t="shared" si="214"/>
        <v>0.18931520503751004</v>
      </c>
      <c r="H882" s="15">
        <f>yint($B$3:B882,$D$3:D882)</f>
        <v>3.579647635738791E-4</v>
      </c>
      <c r="I882" s="16">
        <f>MyReg($B$3:B882,$D$3:D882)</f>
        <v>0.23402416169934032</v>
      </c>
      <c r="J882" s="17">
        <f>STDEV($D$3:D882)</f>
        <v>1.3064492754104561E-2</v>
      </c>
      <c r="K882" s="4">
        <f t="shared" si="212"/>
        <v>-2.0404280692500961E-3</v>
      </c>
      <c r="L882">
        <f t="shared" si="215"/>
        <v>0.18931520503751004</v>
      </c>
      <c r="M882">
        <f>RSQ($D$3:D882,$B$3:B882)</f>
        <v>4.6036780745923433E-2</v>
      </c>
      <c r="N882">
        <v>850</v>
      </c>
      <c r="O882" t="str">
        <f t="shared" si="213"/>
        <v/>
      </c>
      <c r="P882" t="str">
        <f t="shared" si="217"/>
        <v/>
      </c>
      <c r="Q882">
        <f t="shared" si="218"/>
        <v>0</v>
      </c>
      <c r="R882">
        <f t="shared" si="219"/>
        <v>0</v>
      </c>
      <c r="S882">
        <f t="shared" si="220"/>
        <v>0</v>
      </c>
      <c r="T882">
        <f t="shared" si="221"/>
        <v>0</v>
      </c>
      <c r="U882">
        <f t="shared" si="216"/>
        <v>0</v>
      </c>
      <c r="V882">
        <f t="shared" si="222"/>
        <v>0</v>
      </c>
      <c r="W882">
        <f t="shared" si="210"/>
        <v>0</v>
      </c>
      <c r="X882">
        <f>SUM($W$34:W882)</f>
        <v>322.46690469999987</v>
      </c>
      <c r="Y882">
        <f t="shared" si="223"/>
        <v>0</v>
      </c>
    </row>
    <row r="883" spans="1:25">
      <c r="A883">
        <v>105.2151353</v>
      </c>
      <c r="B883" s="2">
        <f t="shared" si="208"/>
        <v>8.2118618792634164E-3</v>
      </c>
      <c r="C883">
        <v>132.3983149</v>
      </c>
      <c r="D883" s="3">
        <f t="shared" si="209"/>
        <v>1.6098545782004342E-2</v>
      </c>
      <c r="E883" s="3">
        <f t="shared" si="211"/>
        <v>1.3795966992514244E-2</v>
      </c>
      <c r="F883" s="3">
        <f>STDEV($E$32:E883)</f>
        <v>1.2787857592458098E-2</v>
      </c>
      <c r="G883" s="14">
        <f t="shared" si="214"/>
        <v>1.078833330193691</v>
      </c>
      <c r="H883" s="15">
        <f>yint($B$3:B883,$D$3:D883)</f>
        <v>3.735356535494912E-4</v>
      </c>
      <c r="I883" s="16">
        <f>MyReg($B$3:B883,$D$3:D883)</f>
        <v>0.2349093499504446</v>
      </c>
      <c r="J883" s="17">
        <f>STDEV($D$3:D883)</f>
        <v>1.306779415507173E-2</v>
      </c>
      <c r="K883" s="4">
        <f t="shared" si="212"/>
        <v>2.302578789490097E-3</v>
      </c>
      <c r="L883">
        <f t="shared" si="215"/>
        <v>1.078833330193691</v>
      </c>
      <c r="M883">
        <f>RSQ($D$3:D883,$B$3:B883)</f>
        <v>4.6333601647366648E-2</v>
      </c>
      <c r="N883">
        <v>851</v>
      </c>
      <c r="O883" t="str">
        <f t="shared" si="213"/>
        <v/>
      </c>
      <c r="P883" t="str">
        <f t="shared" si="217"/>
        <v/>
      </c>
      <c r="Q883">
        <f t="shared" si="218"/>
        <v>0</v>
      </c>
      <c r="R883">
        <f t="shared" si="219"/>
        <v>0</v>
      </c>
      <c r="S883">
        <f t="shared" si="220"/>
        <v>0</v>
      </c>
      <c r="T883">
        <f t="shared" si="221"/>
        <v>0</v>
      </c>
      <c r="U883">
        <f t="shared" si="216"/>
        <v>0</v>
      </c>
      <c r="V883">
        <f t="shared" si="222"/>
        <v>0</v>
      </c>
      <c r="W883">
        <f t="shared" si="210"/>
        <v>0</v>
      </c>
      <c r="X883">
        <f>SUM($W$34:W883)</f>
        <v>322.46690469999987</v>
      </c>
      <c r="Y883">
        <f t="shared" si="223"/>
        <v>0</v>
      </c>
    </row>
    <row r="884" spans="1:25">
      <c r="A884">
        <v>105.4761178</v>
      </c>
      <c r="B884" s="2">
        <f t="shared" si="208"/>
        <v>2.4804653746427034E-3</v>
      </c>
      <c r="C884">
        <v>131.3937813</v>
      </c>
      <c r="D884" s="3">
        <f t="shared" si="209"/>
        <v>-7.5872083474681894E-3</v>
      </c>
      <c r="E884" s="3">
        <f t="shared" si="211"/>
        <v>-8.5333686582926508E-3</v>
      </c>
      <c r="F884" s="3">
        <f>STDEV($E$32:E884)</f>
        <v>1.2783863030682786E-2</v>
      </c>
      <c r="G884" s="14">
        <f t="shared" si="214"/>
        <v>-0.66751095797972448</v>
      </c>
      <c r="H884" s="15">
        <f>yint($B$3:B884,$D$3:D884)</f>
        <v>3.638702138576837E-4</v>
      </c>
      <c r="I884" s="16">
        <f>MyReg($B$3:B884,$D$3:D884)</f>
        <v>0.23475034278624157</v>
      </c>
      <c r="J884" s="17">
        <f>STDEV($D$3:D884)</f>
        <v>1.3063147096935365E-2</v>
      </c>
      <c r="K884" s="4">
        <f t="shared" si="212"/>
        <v>9.4616031082446147E-4</v>
      </c>
      <c r="L884">
        <f t="shared" si="215"/>
        <v>-0.66751095797972448</v>
      </c>
      <c r="M884">
        <f>RSQ($D$3:D884,$B$3:B884)</f>
        <v>4.625328983324517E-2</v>
      </c>
      <c r="N884">
        <v>852</v>
      </c>
      <c r="O884" t="str">
        <f t="shared" si="213"/>
        <v/>
      </c>
      <c r="P884" t="str">
        <f t="shared" si="217"/>
        <v/>
      </c>
      <c r="Q884">
        <f t="shared" si="218"/>
        <v>0</v>
      </c>
      <c r="R884">
        <f t="shared" si="219"/>
        <v>0</v>
      </c>
      <c r="S884">
        <f t="shared" si="220"/>
        <v>0</v>
      </c>
      <c r="T884">
        <f t="shared" si="221"/>
        <v>0</v>
      </c>
      <c r="U884">
        <f t="shared" si="216"/>
        <v>0</v>
      </c>
      <c r="V884">
        <f t="shared" si="222"/>
        <v>0</v>
      </c>
      <c r="W884">
        <f t="shared" si="210"/>
        <v>0</v>
      </c>
      <c r="X884">
        <f>SUM($W$34:W884)</f>
        <v>322.46690469999987</v>
      </c>
      <c r="Y884">
        <f t="shared" si="223"/>
        <v>0</v>
      </c>
    </row>
    <row r="885" spans="1:25">
      <c r="A885">
        <v>103.5208813</v>
      </c>
      <c r="B885" s="2">
        <f t="shared" si="208"/>
        <v>-1.8537243698212774E-2</v>
      </c>
      <c r="C885">
        <v>131.21213220000001</v>
      </c>
      <c r="D885" s="3">
        <f t="shared" si="209"/>
        <v>-1.3824786698637093E-3</v>
      </c>
      <c r="E885" s="3">
        <f t="shared" si="211"/>
        <v>2.5951647650895712E-3</v>
      </c>
      <c r="F885" s="3">
        <f>STDEV($E$32:E885)</f>
        <v>1.2776628519430677E-2</v>
      </c>
      <c r="G885" s="14">
        <f t="shared" si="214"/>
        <v>0.20311812002226162</v>
      </c>
      <c r="H885" s="15">
        <f>yint($B$3:B885,$D$3:D885)</f>
        <v>3.6686325645155892E-4</v>
      </c>
      <c r="I885" s="16">
        <f>MyReg($B$3:B885,$D$3:D885)</f>
        <v>0.2343663794970611</v>
      </c>
      <c r="J885" s="17">
        <f>STDEV($D$3:D885)</f>
        <v>1.3055876591695095E-2</v>
      </c>
      <c r="K885" s="4">
        <f t="shared" si="212"/>
        <v>-3.9776434349532803E-3</v>
      </c>
      <c r="L885">
        <f t="shared" si="215"/>
        <v>0.20311812002226162</v>
      </c>
      <c r="M885">
        <f>RSQ($D$3:D885,$B$3:B885)</f>
        <v>4.622833523320001E-2</v>
      </c>
      <c r="N885">
        <v>853</v>
      </c>
      <c r="O885" t="str">
        <f t="shared" si="213"/>
        <v/>
      </c>
      <c r="P885" t="str">
        <f t="shared" si="217"/>
        <v/>
      </c>
      <c r="Q885">
        <f t="shared" si="218"/>
        <v>0</v>
      </c>
      <c r="R885">
        <f t="shared" si="219"/>
        <v>0</v>
      </c>
      <c r="S885">
        <f t="shared" si="220"/>
        <v>0</v>
      </c>
      <c r="T885">
        <f t="shared" si="221"/>
        <v>0</v>
      </c>
      <c r="U885">
        <f t="shared" si="216"/>
        <v>0</v>
      </c>
      <c r="V885">
        <f t="shared" si="222"/>
        <v>0</v>
      </c>
      <c r="W885">
        <f t="shared" si="210"/>
        <v>0</v>
      </c>
      <c r="X885">
        <f>SUM($W$34:W885)</f>
        <v>322.46690469999987</v>
      </c>
      <c r="Y885">
        <f t="shared" si="223"/>
        <v>0</v>
      </c>
    </row>
    <row r="886" spans="1:25">
      <c r="A886">
        <v>102.0399937</v>
      </c>
      <c r="B886" s="2">
        <f t="shared" si="208"/>
        <v>-1.4305206653993223E-2</v>
      </c>
      <c r="C886">
        <v>130.8262909</v>
      </c>
      <c r="D886" s="3">
        <f t="shared" si="209"/>
        <v>-2.9405916475154252E-3</v>
      </c>
      <c r="E886" s="3">
        <f t="shared" si="211"/>
        <v>4.5079493630757316E-5</v>
      </c>
      <c r="F886" s="3">
        <f>STDEV($E$32:E886)</f>
        <v>1.2769147122731589E-2</v>
      </c>
      <c r="G886" s="14">
        <f t="shared" si="214"/>
        <v>3.5303449163419042E-3</v>
      </c>
      <c r="H886" s="15">
        <f>yint($B$3:B886,$D$3:D886)</f>
        <v>3.6691487841351367E-4</v>
      </c>
      <c r="I886" s="16">
        <f>MyReg($B$3:B886,$D$3:D886)</f>
        <v>0.23436124347241355</v>
      </c>
      <c r="J886" s="17">
        <f>STDEV($D$3:D886)</f>
        <v>1.3048963240745188E-2</v>
      </c>
      <c r="K886" s="4">
        <f t="shared" si="212"/>
        <v>-2.9856711411461825E-3</v>
      </c>
      <c r="L886">
        <f t="shared" si="215"/>
        <v>3.5303449163419042E-3</v>
      </c>
      <c r="M886">
        <f>RSQ($D$3:D886,$B$3:B886)</f>
        <v>4.629872995758124E-2</v>
      </c>
      <c r="N886">
        <v>854</v>
      </c>
      <c r="O886" t="str">
        <f t="shared" si="213"/>
        <v/>
      </c>
      <c r="P886" t="str">
        <f t="shared" si="217"/>
        <v/>
      </c>
      <c r="Q886">
        <f t="shared" si="218"/>
        <v>0</v>
      </c>
      <c r="R886">
        <f t="shared" si="219"/>
        <v>0</v>
      </c>
      <c r="S886">
        <f t="shared" si="220"/>
        <v>0</v>
      </c>
      <c r="T886">
        <f t="shared" si="221"/>
        <v>0</v>
      </c>
      <c r="U886">
        <f t="shared" si="216"/>
        <v>0</v>
      </c>
      <c r="V886">
        <f t="shared" si="222"/>
        <v>0</v>
      </c>
      <c r="W886">
        <f t="shared" si="210"/>
        <v>0</v>
      </c>
      <c r="X886">
        <f>SUM($W$34:W886)</f>
        <v>322.46690469999987</v>
      </c>
      <c r="Y886">
        <f t="shared" si="223"/>
        <v>0</v>
      </c>
    </row>
    <row r="887" spans="1:25">
      <c r="A887">
        <v>103.2110448</v>
      </c>
      <c r="B887" s="2">
        <f t="shared" si="208"/>
        <v>1.1476393299698916E-2</v>
      </c>
      <c r="C887">
        <v>131.32948089999999</v>
      </c>
      <c r="D887" s="3">
        <f t="shared" si="209"/>
        <v>3.8462452503878895E-3</v>
      </c>
      <c r="E887" s="3">
        <f t="shared" si="211"/>
        <v>7.8801168327094061E-4</v>
      </c>
      <c r="F887" s="3">
        <f>STDEV($E$32:E887)</f>
        <v>1.2761692866188858E-2</v>
      </c>
      <c r="G887" s="14">
        <f t="shared" si="214"/>
        <v>6.1748209389893567E-2</v>
      </c>
      <c r="H887" s="15">
        <f>yint($B$3:B887,$D$3:D887)</f>
        <v>3.6779960408404259E-4</v>
      </c>
      <c r="I887" s="16">
        <f>MyReg($B$3:B887,$D$3:D887)</f>
        <v>0.2344320112402814</v>
      </c>
      <c r="J887" s="17">
        <f>STDEV($D$3:D887)</f>
        <v>1.3042098279269233E-2</v>
      </c>
      <c r="K887" s="4">
        <f t="shared" si="212"/>
        <v>3.0582335671169489E-3</v>
      </c>
      <c r="L887">
        <f t="shared" si="215"/>
        <v>6.1748209389893567E-2</v>
      </c>
      <c r="M887">
        <f>RSQ($D$3:D887,$B$3:B887)</f>
        <v>4.6370312430746546E-2</v>
      </c>
      <c r="N887">
        <v>855</v>
      </c>
      <c r="O887" t="str">
        <f t="shared" si="213"/>
        <v/>
      </c>
      <c r="P887" t="str">
        <f t="shared" si="217"/>
        <v/>
      </c>
      <c r="Q887">
        <f t="shared" si="218"/>
        <v>0</v>
      </c>
      <c r="R887">
        <f t="shared" si="219"/>
        <v>0</v>
      </c>
      <c r="S887">
        <f t="shared" si="220"/>
        <v>0</v>
      </c>
      <c r="T887">
        <f t="shared" si="221"/>
        <v>0</v>
      </c>
      <c r="U887">
        <f t="shared" si="216"/>
        <v>0</v>
      </c>
      <c r="V887">
        <f t="shared" si="222"/>
        <v>0</v>
      </c>
      <c r="W887">
        <f t="shared" si="210"/>
        <v>0</v>
      </c>
      <c r="X887">
        <f>SUM($W$34:W887)</f>
        <v>322.46690469999987</v>
      </c>
      <c r="Y887">
        <f t="shared" si="223"/>
        <v>0</v>
      </c>
    </row>
    <row r="888" spans="1:25">
      <c r="A888">
        <v>103.5439892</v>
      </c>
      <c r="B888" s="2">
        <f t="shared" si="208"/>
        <v>3.2258601842968882E-3</v>
      </c>
      <c r="C888">
        <v>130.3762117</v>
      </c>
      <c r="D888" s="3">
        <f t="shared" si="209"/>
        <v>-7.2586078424071053E-3</v>
      </c>
      <c r="E888" s="3">
        <f t="shared" si="211"/>
        <v>-8.3725500506675599E-3</v>
      </c>
      <c r="F888" s="3">
        <f>STDEV($E$32:E888)</f>
        <v>1.2757606417184708E-2</v>
      </c>
      <c r="G888" s="14">
        <f t="shared" si="214"/>
        <v>-0.65627906810086223</v>
      </c>
      <c r="H888" s="15">
        <f>yint($B$3:B888,$D$3:D888)</f>
        <v>3.5836119825224786E-4</v>
      </c>
      <c r="I888" s="16">
        <f>MyReg($B$3:B888,$D$3:D888)</f>
        <v>0.23422621156561202</v>
      </c>
      <c r="J888" s="17">
        <f>STDEV($D$3:D888)</f>
        <v>1.3037262294925456E-2</v>
      </c>
      <c r="K888" s="4">
        <f t="shared" si="212"/>
        <v>1.113942208260455E-3</v>
      </c>
      <c r="L888">
        <f t="shared" si="215"/>
        <v>-0.65627906810086223</v>
      </c>
      <c r="M888">
        <f>RSQ($D$3:D888,$B$3:B888)</f>
        <v>4.6274481301208051E-2</v>
      </c>
      <c r="N888">
        <v>856</v>
      </c>
      <c r="O888" t="str">
        <f t="shared" si="213"/>
        <v/>
      </c>
      <c r="P888" t="str">
        <f t="shared" si="217"/>
        <v/>
      </c>
      <c r="Q888">
        <f t="shared" si="218"/>
        <v>0</v>
      </c>
      <c r="R888">
        <f t="shared" si="219"/>
        <v>0</v>
      </c>
      <c r="S888">
        <f t="shared" si="220"/>
        <v>0</v>
      </c>
      <c r="T888">
        <f t="shared" si="221"/>
        <v>0</v>
      </c>
      <c r="U888">
        <f t="shared" si="216"/>
        <v>0</v>
      </c>
      <c r="V888">
        <f t="shared" si="222"/>
        <v>0</v>
      </c>
      <c r="W888">
        <f t="shared" si="210"/>
        <v>0</v>
      </c>
      <c r="X888">
        <f>SUM($W$34:W888)</f>
        <v>322.46690469999987</v>
      </c>
      <c r="Y888">
        <f t="shared" si="223"/>
        <v>0</v>
      </c>
    </row>
    <row r="889" spans="1:25">
      <c r="A889">
        <v>102.7262563</v>
      </c>
      <c r="B889" s="2">
        <f t="shared" si="208"/>
        <v>-7.8974444225874563E-3</v>
      </c>
      <c r="C889">
        <v>130.12171839999999</v>
      </c>
      <c r="D889" s="3">
        <f t="shared" si="209"/>
        <v>-1.9519918295034118E-3</v>
      </c>
      <c r="E889" s="3">
        <f t="shared" si="211"/>
        <v>-4.5981313846207416E-4</v>
      </c>
      <c r="F889" s="3">
        <f>STDEV($E$32:E889)</f>
        <v>1.2750181034689199E-2</v>
      </c>
      <c r="G889" s="14">
        <f t="shared" si="214"/>
        <v>-3.6063263510617491E-2</v>
      </c>
      <c r="H889" s="15">
        <f>yint($B$3:B889,$D$3:D889)</f>
        <v>3.5783900262966243E-4</v>
      </c>
      <c r="I889" s="16">
        <f>MyReg($B$3:B889,$D$3:D889)</f>
        <v>0.23425523431095888</v>
      </c>
      <c r="J889" s="17">
        <f>STDEV($D$3:D889)</f>
        <v>1.3030138986923441E-2</v>
      </c>
      <c r="K889" s="4">
        <f t="shared" si="212"/>
        <v>-1.4921786910413377E-3</v>
      </c>
      <c r="L889">
        <f t="shared" si="215"/>
        <v>-3.6063263510617491E-2</v>
      </c>
      <c r="M889">
        <f>RSQ($D$3:D889,$B$3:B889)</f>
        <v>4.630764126256532E-2</v>
      </c>
      <c r="N889">
        <v>857</v>
      </c>
      <c r="O889" t="str">
        <f t="shared" si="213"/>
        <v/>
      </c>
      <c r="P889" t="str">
        <f t="shared" si="217"/>
        <v/>
      </c>
      <c r="Q889">
        <f t="shared" si="218"/>
        <v>0</v>
      </c>
      <c r="R889">
        <f t="shared" si="219"/>
        <v>0</v>
      </c>
      <c r="S889">
        <f t="shared" si="220"/>
        <v>0</v>
      </c>
      <c r="T889">
        <f t="shared" si="221"/>
        <v>0</v>
      </c>
      <c r="U889">
        <f t="shared" si="216"/>
        <v>0</v>
      </c>
      <c r="V889">
        <f t="shared" si="222"/>
        <v>0</v>
      </c>
      <c r="W889">
        <f t="shared" si="210"/>
        <v>0</v>
      </c>
      <c r="X889">
        <f>SUM($W$34:W889)</f>
        <v>322.46690469999987</v>
      </c>
      <c r="Y889">
        <f t="shared" si="223"/>
        <v>0</v>
      </c>
    </row>
    <row r="890" spans="1:25">
      <c r="A890">
        <v>102.15935140000001</v>
      </c>
      <c r="B890" s="2">
        <f t="shared" si="208"/>
        <v>-5.5185978776878418E-3</v>
      </c>
      <c r="C890">
        <v>133.04991820000001</v>
      </c>
      <c r="D890" s="3">
        <f t="shared" si="209"/>
        <v>2.2503543881879876E-2</v>
      </c>
      <c r="E890" s="3">
        <f t="shared" si="211"/>
        <v>2.3406252502427241E-2</v>
      </c>
      <c r="F890" s="3">
        <f>STDEV($E$32:E890)</f>
        <v>1.2767323538176674E-2</v>
      </c>
      <c r="G890" s="14">
        <f t="shared" si="214"/>
        <v>1.8332935977096678</v>
      </c>
      <c r="H890" s="15">
        <f>yint($B$3:B890,$D$3:D890)</f>
        <v>3.8433270379242563E-4</v>
      </c>
      <c r="I890" s="16">
        <f>MyReg($B$3:B890,$D$3:D890)</f>
        <v>0.23321889959466116</v>
      </c>
      <c r="J890" s="17">
        <f>STDEV($D$3:D890)</f>
        <v>1.3043933700538635E-2</v>
      </c>
      <c r="K890" s="4">
        <f t="shared" si="212"/>
        <v>-9.0270862054736534E-4</v>
      </c>
      <c r="L890">
        <f t="shared" si="215"/>
        <v>1.8332935977096678</v>
      </c>
      <c r="M890">
        <f>RSQ($D$3:D890,$B$3:B890)</f>
        <v>4.576152718769292E-2</v>
      </c>
      <c r="N890">
        <v>858</v>
      </c>
      <c r="O890" t="str">
        <f t="shared" si="213"/>
        <v>sellY</v>
      </c>
      <c r="P890" t="str">
        <f t="shared" si="217"/>
        <v/>
      </c>
      <c r="Q890">
        <f t="shared" si="218"/>
        <v>10</v>
      </c>
      <c r="R890">
        <f t="shared" si="219"/>
        <v>0</v>
      </c>
      <c r="S890">
        <f t="shared" si="220"/>
        <v>-10</v>
      </c>
      <c r="T890">
        <f t="shared" si="221"/>
        <v>0</v>
      </c>
      <c r="U890">
        <f t="shared" si="216"/>
        <v>20</v>
      </c>
      <c r="V890">
        <f t="shared" si="222"/>
        <v>10</v>
      </c>
      <c r="W890">
        <f t="shared" si="210"/>
        <v>308.90566799999999</v>
      </c>
      <c r="X890">
        <f>SUM($W$34:W890)</f>
        <v>631.37257269999986</v>
      </c>
      <c r="Y890">
        <f t="shared" si="223"/>
        <v>0</v>
      </c>
    </row>
    <row r="891" spans="1:25">
      <c r="A891">
        <v>102.4156572</v>
      </c>
      <c r="B891" s="2">
        <f t="shared" si="208"/>
        <v>2.5088824125012277E-3</v>
      </c>
      <c r="C891">
        <v>130.9532553</v>
      </c>
      <c r="D891" s="3">
        <f t="shared" si="209"/>
        <v>-1.5758468162665976E-2</v>
      </c>
      <c r="E891" s="3">
        <f t="shared" si="211"/>
        <v>-1.6708337576458978E-2</v>
      </c>
      <c r="F891" s="3">
        <f>STDEV($E$32:E891)</f>
        <v>1.2772951897662317E-2</v>
      </c>
      <c r="G891" s="14">
        <f t="shared" si="214"/>
        <v>-1.3081030689168185</v>
      </c>
      <c r="H891" s="15">
        <f>yint($B$3:B891,$D$3:D891)</f>
        <v>3.6554735523964735E-4</v>
      </c>
      <c r="I891" s="16">
        <f>MyReg($B$3:B891,$D$3:D891)</f>
        <v>0.2329013331361412</v>
      </c>
      <c r="J891" s="17">
        <f>STDEV($D$3:D891)</f>
        <v>1.3047855747786247E-2</v>
      </c>
      <c r="K891" s="4">
        <f t="shared" si="212"/>
        <v>9.4986941379300149E-4</v>
      </c>
      <c r="L891">
        <f t="shared" si="215"/>
        <v>-1.3081030689168185</v>
      </c>
      <c r="M891">
        <f>RSQ($D$3:D891,$B$3:B891)</f>
        <v>4.5560281486370834E-2</v>
      </c>
      <c r="N891">
        <v>859</v>
      </c>
      <c r="O891" t="str">
        <f t="shared" si="213"/>
        <v/>
      </c>
      <c r="P891" t="str">
        <f t="shared" si="217"/>
        <v>close</v>
      </c>
      <c r="Q891">
        <f t="shared" si="218"/>
        <v>0</v>
      </c>
      <c r="R891">
        <f t="shared" si="219"/>
        <v>0</v>
      </c>
      <c r="S891">
        <f t="shared" si="220"/>
        <v>0</v>
      </c>
      <c r="T891">
        <f t="shared" si="221"/>
        <v>0</v>
      </c>
      <c r="U891">
        <f t="shared" si="216"/>
        <v>0</v>
      </c>
      <c r="V891">
        <f t="shared" si="222"/>
        <v>-10</v>
      </c>
      <c r="W891">
        <f t="shared" si="210"/>
        <v>-285.37598099999997</v>
      </c>
      <c r="X891">
        <f>SUM($W$34:W891)</f>
        <v>345.9965916999999</v>
      </c>
      <c r="Y891">
        <f t="shared" si="223"/>
        <v>345.9965916999999</v>
      </c>
    </row>
    <row r="892" spans="1:25">
      <c r="A892">
        <v>101.47539810000001</v>
      </c>
      <c r="B892" s="2">
        <f t="shared" si="208"/>
        <v>-9.1808140054584503E-3</v>
      </c>
      <c r="C892">
        <v>130.1749149</v>
      </c>
      <c r="D892" s="3">
        <f t="shared" si="209"/>
        <v>-5.9436506424899128E-3</v>
      </c>
      <c r="E892" s="3">
        <f t="shared" si="211"/>
        <v>-4.1634677220838273E-3</v>
      </c>
      <c r="F892" s="3">
        <f>STDEV($E$32:E892)</f>
        <v>1.2766392782740823E-2</v>
      </c>
      <c r="G892" s="14">
        <f t="shared" si="214"/>
        <v>-0.32612718353084935</v>
      </c>
      <c r="H892" s="15">
        <f>yint($B$3:B892,$D$3:D892)</f>
        <v>3.6083413940782636E-4</v>
      </c>
      <c r="I892" s="16">
        <f>MyReg($B$3:B892,$D$3:D892)</f>
        <v>0.23320558052270424</v>
      </c>
      <c r="J892" s="17">
        <f>STDEV($D$3:D892)</f>
        <v>1.3042242411351766E-2</v>
      </c>
      <c r="K892" s="4">
        <f t="shared" si="212"/>
        <v>-1.7801829204060851E-3</v>
      </c>
      <c r="L892">
        <f t="shared" si="215"/>
        <v>-0.32612718353084935</v>
      </c>
      <c r="M892">
        <f>RSQ($D$3:D892,$B$3:B892)</f>
        <v>4.5698226147010509E-2</v>
      </c>
      <c r="N892">
        <v>860</v>
      </c>
      <c r="O892" t="str">
        <f t="shared" si="213"/>
        <v/>
      </c>
      <c r="P892" t="str">
        <f t="shared" si="217"/>
        <v/>
      </c>
      <c r="Q892">
        <f t="shared" si="218"/>
        <v>0</v>
      </c>
      <c r="R892">
        <f t="shared" si="219"/>
        <v>0</v>
      </c>
      <c r="S892">
        <f t="shared" si="220"/>
        <v>0</v>
      </c>
      <c r="T892">
        <f t="shared" si="221"/>
        <v>0</v>
      </c>
      <c r="U892">
        <f t="shared" si="216"/>
        <v>0</v>
      </c>
      <c r="V892">
        <f t="shared" si="222"/>
        <v>0</v>
      </c>
      <c r="W892">
        <f t="shared" si="210"/>
        <v>0</v>
      </c>
      <c r="X892">
        <f>SUM($W$34:W892)</f>
        <v>345.9965916999999</v>
      </c>
      <c r="Y892">
        <f t="shared" si="223"/>
        <v>0</v>
      </c>
    </row>
    <row r="893" spans="1:25">
      <c r="A893">
        <v>100.8291394</v>
      </c>
      <c r="B893" s="2">
        <f t="shared" si="208"/>
        <v>-6.368624436074069E-3</v>
      </c>
      <c r="C893">
        <v>129.9239092</v>
      </c>
      <c r="D893" s="3">
        <f t="shared" si="209"/>
        <v>-1.9282186601990814E-3</v>
      </c>
      <c r="E893" s="3">
        <f t="shared" si="211"/>
        <v>-8.0268880731250588E-4</v>
      </c>
      <c r="F893" s="3">
        <f>STDEV($E$32:E893)</f>
        <v>1.2759022874654897E-2</v>
      </c>
      <c r="G893" s="14">
        <f t="shared" si="214"/>
        <v>-6.2911463926207348E-2</v>
      </c>
      <c r="H893" s="15">
        <f>yint($B$3:B893,$D$3:D893)</f>
        <v>3.5992865880936522E-4</v>
      </c>
      <c r="I893" s="16">
        <f>MyReg($B$3:B893,$D$3:D893)</f>
        <v>0.2332463668734798</v>
      </c>
      <c r="J893" s="17">
        <f>STDEV($D$3:D893)</f>
        <v>1.3035142880919686E-2</v>
      </c>
      <c r="K893" s="4">
        <f t="shared" si="212"/>
        <v>-1.1255298528865755E-3</v>
      </c>
      <c r="L893">
        <f t="shared" si="215"/>
        <v>-6.2911463926207348E-2</v>
      </c>
      <c r="M893">
        <f>RSQ($D$3:D893,$B$3:B893)</f>
        <v>4.572758163560519E-2</v>
      </c>
      <c r="N893">
        <v>861</v>
      </c>
      <c r="O893" t="str">
        <f t="shared" si="213"/>
        <v/>
      </c>
      <c r="P893" t="str">
        <f t="shared" si="217"/>
        <v/>
      </c>
      <c r="Q893">
        <f t="shared" si="218"/>
        <v>0</v>
      </c>
      <c r="R893">
        <f t="shared" si="219"/>
        <v>0</v>
      </c>
      <c r="S893">
        <f t="shared" si="220"/>
        <v>0</v>
      </c>
      <c r="T893">
        <f t="shared" si="221"/>
        <v>0</v>
      </c>
      <c r="U893">
        <f t="shared" si="216"/>
        <v>0</v>
      </c>
      <c r="V893">
        <f t="shared" si="222"/>
        <v>0</v>
      </c>
      <c r="W893">
        <f t="shared" si="210"/>
        <v>0</v>
      </c>
      <c r="X893">
        <f>SUM($W$34:W893)</f>
        <v>345.9965916999999</v>
      </c>
      <c r="Y893">
        <f t="shared" si="223"/>
        <v>0</v>
      </c>
    </row>
    <row r="894" spans="1:25">
      <c r="A894">
        <v>100.70152210000001</v>
      </c>
      <c r="B894" s="2">
        <f t="shared" si="208"/>
        <v>-1.2656787587338779E-3</v>
      </c>
      <c r="C894">
        <v>128.67441969999999</v>
      </c>
      <c r="D894" s="3">
        <f t="shared" si="209"/>
        <v>-9.6170867063166375E-3</v>
      </c>
      <c r="E894" s="3">
        <f t="shared" si="211"/>
        <v>-9.6708086111361828E-3</v>
      </c>
      <c r="F894" s="3">
        <f>STDEV($E$32:E894)</f>
        <v>1.2756047341749047E-2</v>
      </c>
      <c r="G894" s="14">
        <f t="shared" si="214"/>
        <v>-0.75813520850497007</v>
      </c>
      <c r="H894" s="15">
        <f>yint($B$3:B894,$D$3:D894)</f>
        <v>3.4906652087318436E-4</v>
      </c>
      <c r="I894" s="16">
        <f>MyReg($B$3:B894,$D$3:D894)</f>
        <v>0.23334879724859089</v>
      </c>
      <c r="J894" s="17">
        <f>STDEV($D$3:D894)</f>
        <v>1.3032124245469134E-2</v>
      </c>
      <c r="K894" s="4">
        <f t="shared" si="212"/>
        <v>5.3721904819544494E-5</v>
      </c>
      <c r="L894">
        <f t="shared" si="215"/>
        <v>-0.75813520850497007</v>
      </c>
      <c r="M894">
        <f>RSQ($D$3:D894,$B$3:B894)</f>
        <v>4.5738218872285089E-2</v>
      </c>
      <c r="N894">
        <v>862</v>
      </c>
      <c r="O894" t="str">
        <f t="shared" si="213"/>
        <v/>
      </c>
      <c r="P894" t="str">
        <f t="shared" si="217"/>
        <v/>
      </c>
      <c r="Q894">
        <f t="shared" si="218"/>
        <v>0</v>
      </c>
      <c r="R894">
        <f t="shared" si="219"/>
        <v>0</v>
      </c>
      <c r="S894">
        <f t="shared" si="220"/>
        <v>0</v>
      </c>
      <c r="T894">
        <f t="shared" si="221"/>
        <v>0</v>
      </c>
      <c r="U894">
        <f t="shared" si="216"/>
        <v>0</v>
      </c>
      <c r="V894">
        <f t="shared" si="222"/>
        <v>0</v>
      </c>
      <c r="W894">
        <f t="shared" si="210"/>
        <v>0</v>
      </c>
      <c r="X894">
        <f>SUM($W$34:W894)</f>
        <v>345.9965916999999</v>
      </c>
      <c r="Y894">
        <f t="shared" si="223"/>
        <v>0</v>
      </c>
    </row>
    <row r="895" spans="1:25">
      <c r="A895">
        <v>100.2247824</v>
      </c>
      <c r="B895" s="2">
        <f t="shared" si="208"/>
        <v>-4.7341856414701618E-3</v>
      </c>
      <c r="C895">
        <v>127.8798287</v>
      </c>
      <c r="D895" s="3">
        <f t="shared" si="209"/>
        <v>-6.1752056224737171E-3</v>
      </c>
      <c r="E895" s="3">
        <f t="shared" si="211"/>
        <v>-5.4125012758437594E-3</v>
      </c>
      <c r="F895" s="3">
        <f>STDEV($E$32:E895)</f>
        <v>1.2750079412781166E-2</v>
      </c>
      <c r="G895" s="14">
        <f t="shared" si="214"/>
        <v>-0.42450725996404864</v>
      </c>
      <c r="H895" s="15">
        <f>yint($B$3:B895,$D$3:D895)</f>
        <v>3.4298248347193022E-4</v>
      </c>
      <c r="I895" s="16">
        <f>MyReg($B$3:B895,$D$3:D895)</f>
        <v>0.23355375429648881</v>
      </c>
      <c r="J895" s="17">
        <f>STDEV($D$3:D895)</f>
        <v>1.3026657263309784E-2</v>
      </c>
      <c r="K895" s="4">
        <f t="shared" si="212"/>
        <v>-7.6270434662995728E-4</v>
      </c>
      <c r="L895">
        <f t="shared" si="215"/>
        <v>-0.42450725996404864</v>
      </c>
      <c r="M895">
        <f>RSQ($D$3:D895,$B$3:B895)</f>
        <v>4.5813996832164985E-2</v>
      </c>
      <c r="N895">
        <v>863</v>
      </c>
      <c r="O895" t="str">
        <f t="shared" si="213"/>
        <v/>
      </c>
      <c r="P895" t="str">
        <f t="shared" si="217"/>
        <v/>
      </c>
      <c r="Q895">
        <f t="shared" si="218"/>
        <v>0</v>
      </c>
      <c r="R895">
        <f t="shared" si="219"/>
        <v>0</v>
      </c>
      <c r="S895">
        <f t="shared" si="220"/>
        <v>0</v>
      </c>
      <c r="T895">
        <f t="shared" si="221"/>
        <v>0</v>
      </c>
      <c r="U895">
        <f t="shared" si="216"/>
        <v>0</v>
      </c>
      <c r="V895">
        <f t="shared" si="222"/>
        <v>0</v>
      </c>
      <c r="W895">
        <f t="shared" si="210"/>
        <v>0</v>
      </c>
      <c r="X895">
        <f>SUM($W$34:W895)</f>
        <v>345.9965916999999</v>
      </c>
      <c r="Y895">
        <f t="shared" si="223"/>
        <v>0</v>
      </c>
    </row>
    <row r="896" spans="1:25">
      <c r="A896">
        <v>101.2804304</v>
      </c>
      <c r="B896" s="2">
        <f t="shared" si="208"/>
        <v>1.0532804110133994E-2</v>
      </c>
      <c r="C896">
        <v>128.088505</v>
      </c>
      <c r="D896" s="3">
        <f t="shared" si="209"/>
        <v>1.6318156047075887E-3</v>
      </c>
      <c r="E896" s="3">
        <f t="shared" si="211"/>
        <v>-1.1688282077125154E-3</v>
      </c>
      <c r="F896" s="3">
        <f>STDEV($E$32:E896)</f>
        <v>1.2742781720661907E-2</v>
      </c>
      <c r="G896" s="14">
        <f t="shared" si="214"/>
        <v>-9.1724729602588068E-2</v>
      </c>
      <c r="H896" s="15">
        <f>yint($B$3:B896,$D$3:D896)</f>
        <v>3.4168069259134096E-4</v>
      </c>
      <c r="I896" s="16">
        <f>MyReg($B$3:B896,$D$3:D896)</f>
        <v>0.23345759534850793</v>
      </c>
      <c r="J896" s="17">
        <f>STDEV($D$3:D896)</f>
        <v>1.3019430922545294E-2</v>
      </c>
      <c r="K896" s="4">
        <f t="shared" si="212"/>
        <v>2.8006438124201041E-3</v>
      </c>
      <c r="L896">
        <f t="shared" si="215"/>
        <v>-9.1724729602588068E-2</v>
      </c>
      <c r="M896">
        <f>RSQ($D$3:D896,$B$3:B896)</f>
        <v>4.5815135398345884E-2</v>
      </c>
      <c r="N896">
        <v>864</v>
      </c>
      <c r="O896" t="str">
        <f t="shared" si="213"/>
        <v/>
      </c>
      <c r="P896" t="str">
        <f t="shared" si="217"/>
        <v/>
      </c>
      <c r="Q896">
        <f t="shared" si="218"/>
        <v>0</v>
      </c>
      <c r="R896">
        <f t="shared" si="219"/>
        <v>0</v>
      </c>
      <c r="S896">
        <f t="shared" si="220"/>
        <v>0</v>
      </c>
      <c r="T896">
        <f t="shared" si="221"/>
        <v>0</v>
      </c>
      <c r="U896">
        <f t="shared" si="216"/>
        <v>0</v>
      </c>
      <c r="V896">
        <f t="shared" si="222"/>
        <v>0</v>
      </c>
      <c r="W896">
        <f t="shared" si="210"/>
        <v>0</v>
      </c>
      <c r="X896">
        <f>SUM($W$34:W896)</f>
        <v>345.9965916999999</v>
      </c>
      <c r="Y896">
        <f t="shared" si="223"/>
        <v>0</v>
      </c>
    </row>
    <row r="897" spans="1:25">
      <c r="A897">
        <v>99.868379469999994</v>
      </c>
      <c r="B897" s="2">
        <f t="shared" si="208"/>
        <v>-1.3941991798644712E-2</v>
      </c>
      <c r="C897">
        <v>129.93388039999999</v>
      </c>
      <c r="D897" s="3">
        <f t="shared" si="209"/>
        <v>1.4407033636624884E-2</v>
      </c>
      <c r="E897" s="3">
        <f t="shared" si="211"/>
        <v>1.7274181445961701E-2</v>
      </c>
      <c r="F897" s="3">
        <f>STDEV($E$32:E897)</f>
        <v>1.2748651431392548E-2</v>
      </c>
      <c r="G897" s="14">
        <f t="shared" si="214"/>
        <v>1.354981076933784</v>
      </c>
      <c r="H897" s="15">
        <f>yint($B$3:B897,$D$3:D897)</f>
        <v>3.6116568041081356E-4</v>
      </c>
      <c r="I897" s="16">
        <f>MyReg($B$3:B897,$D$3:D897)</f>
        <v>0.23155324837168895</v>
      </c>
      <c r="J897" s="17">
        <f>STDEV($D$3:D897)</f>
        <v>1.302061425234651E-2</v>
      </c>
      <c r="K897" s="4">
        <f t="shared" si="212"/>
        <v>-2.8671478093368155E-3</v>
      </c>
      <c r="L897">
        <f t="shared" si="215"/>
        <v>1.354981076933784</v>
      </c>
      <c r="M897">
        <f>RSQ($D$3:D897,$B$3:B897)</f>
        <v>4.5081674951547933E-2</v>
      </c>
      <c r="N897">
        <v>865</v>
      </c>
      <c r="O897" t="str">
        <f t="shared" si="213"/>
        <v/>
      </c>
      <c r="P897" t="str">
        <f t="shared" si="217"/>
        <v/>
      </c>
      <c r="Q897">
        <f t="shared" si="218"/>
        <v>0</v>
      </c>
      <c r="R897">
        <f t="shared" si="219"/>
        <v>0</v>
      </c>
      <c r="S897">
        <f t="shared" si="220"/>
        <v>0</v>
      </c>
      <c r="T897">
        <f t="shared" si="221"/>
        <v>0</v>
      </c>
      <c r="U897">
        <f t="shared" si="216"/>
        <v>0</v>
      </c>
      <c r="V897">
        <f t="shared" si="222"/>
        <v>0</v>
      </c>
      <c r="W897">
        <f t="shared" si="210"/>
        <v>0</v>
      </c>
      <c r="X897">
        <f>SUM($W$34:W897)</f>
        <v>345.9965916999999</v>
      </c>
      <c r="Y897">
        <f t="shared" si="223"/>
        <v>0</v>
      </c>
    </row>
    <row r="898" spans="1:25">
      <c r="A898">
        <v>98.721120459999995</v>
      </c>
      <c r="B898" s="2">
        <f t="shared" si="208"/>
        <v>-1.1487710285162187E-2</v>
      </c>
      <c r="C898">
        <v>126.9149523</v>
      </c>
      <c r="D898" s="3">
        <f t="shared" si="209"/>
        <v>-2.3234341118007561E-2</v>
      </c>
      <c r="E898" s="3">
        <f t="shared" si="211"/>
        <v>-2.0890252925168433E-2</v>
      </c>
      <c r="F898" s="3">
        <f>STDEV($E$32:E898)</f>
        <v>1.2761408695350793E-2</v>
      </c>
      <c r="G898" s="14">
        <f t="shared" si="214"/>
        <v>-1.6369864349520538</v>
      </c>
      <c r="H898" s="15">
        <f>yint($B$3:B898,$D$3:D898)</f>
        <v>3.3769250841975791E-4</v>
      </c>
      <c r="I898" s="16">
        <f>MyReg($B$3:B898,$D$3:D898)</f>
        <v>0.23344780070948867</v>
      </c>
      <c r="J898" s="17">
        <f>STDEV($D$3:D898)</f>
        <v>1.3037223267521079E-2</v>
      </c>
      <c r="K898" s="4">
        <f t="shared" si="212"/>
        <v>-2.3440881928391277E-3</v>
      </c>
      <c r="L898">
        <f t="shared" si="215"/>
        <v>-1.6369864349520538</v>
      </c>
      <c r="M898">
        <f>RSQ($D$3:D898,$B$3:B898)</f>
        <v>4.5702456610471558E-2</v>
      </c>
      <c r="N898">
        <v>866</v>
      </c>
      <c r="O898" t="str">
        <f t="shared" si="213"/>
        <v>buyY</v>
      </c>
      <c r="P898" t="str">
        <f t="shared" si="217"/>
        <v/>
      </c>
      <c r="Q898">
        <f t="shared" si="218"/>
        <v>-10</v>
      </c>
      <c r="R898">
        <f t="shared" si="219"/>
        <v>0</v>
      </c>
      <c r="S898">
        <f t="shared" si="220"/>
        <v>10</v>
      </c>
      <c r="T898">
        <f t="shared" si="221"/>
        <v>0</v>
      </c>
      <c r="U898">
        <f t="shared" si="216"/>
        <v>20</v>
      </c>
      <c r="V898">
        <f t="shared" si="222"/>
        <v>-10</v>
      </c>
      <c r="W898">
        <f t="shared" si="210"/>
        <v>-281.93831840000001</v>
      </c>
      <c r="X898">
        <f>SUM($W$34:W898)</f>
        <v>64.058273299999883</v>
      </c>
      <c r="Y898">
        <f t="shared" si="223"/>
        <v>0</v>
      </c>
    </row>
    <row r="899" spans="1:25">
      <c r="A899">
        <v>100.65653450000001</v>
      </c>
      <c r="B899" s="2">
        <f t="shared" si="208"/>
        <v>1.9604862981515758E-2</v>
      </c>
      <c r="C899">
        <v>127.10928149999999</v>
      </c>
      <c r="D899" s="3">
        <f t="shared" si="209"/>
        <v>1.5311765594068505E-3</v>
      </c>
      <c r="E899" s="3">
        <f t="shared" si="211"/>
        <v>-3.3693750516149623E-3</v>
      </c>
      <c r="F899" s="3">
        <f>STDEV($E$32:E899)</f>
        <v>1.2754615192702072E-2</v>
      </c>
      <c r="G899" s="14">
        <f t="shared" si="214"/>
        <v>-0.26416908708800946</v>
      </c>
      <c r="H899" s="15">
        <f>yint($B$3:B899,$D$3:D899)</f>
        <v>3.3396138691253773E-4</v>
      </c>
      <c r="I899" s="16">
        <f>MyReg($B$3:B899,$D$3:D899)</f>
        <v>0.23293150420968703</v>
      </c>
      <c r="J899" s="17">
        <f>STDEV($D$3:D899)</f>
        <v>1.3030005588108507E-2</v>
      </c>
      <c r="K899" s="4">
        <f t="shared" si="212"/>
        <v>4.9005516110218125E-3</v>
      </c>
      <c r="L899">
        <f t="shared" si="215"/>
        <v>-0.26416908708800946</v>
      </c>
      <c r="M899">
        <f>RSQ($D$3:D899,$B$3:B899)</f>
        <v>4.5636250056530547E-2</v>
      </c>
      <c r="N899">
        <v>867</v>
      </c>
      <c r="O899" t="str">
        <f t="shared" si="213"/>
        <v/>
      </c>
      <c r="P899" t="str">
        <f t="shared" si="217"/>
        <v>close</v>
      </c>
      <c r="Q899">
        <f t="shared" si="218"/>
        <v>0</v>
      </c>
      <c r="R899">
        <f t="shared" si="219"/>
        <v>0</v>
      </c>
      <c r="S899">
        <f t="shared" si="220"/>
        <v>0</v>
      </c>
      <c r="T899">
        <f t="shared" si="221"/>
        <v>0</v>
      </c>
      <c r="U899">
        <f t="shared" si="216"/>
        <v>0</v>
      </c>
      <c r="V899">
        <f t="shared" si="222"/>
        <v>10</v>
      </c>
      <c r="W899">
        <f t="shared" si="210"/>
        <v>264.52746999999988</v>
      </c>
      <c r="X899">
        <f>SUM($W$34:W899)</f>
        <v>328.58574329999976</v>
      </c>
      <c r="Y899">
        <f t="shared" si="223"/>
        <v>328.58574329999976</v>
      </c>
    </row>
    <row r="900" spans="1:25">
      <c r="A900">
        <v>102.5650359</v>
      </c>
      <c r="B900" s="2">
        <f t="shared" ref="B900:B963" si="224">(A900-A899)/A899</f>
        <v>1.8960531568866911E-2</v>
      </c>
      <c r="C900">
        <v>127.681084</v>
      </c>
      <c r="D900" s="3">
        <f t="shared" ref="D900:D963" si="225">(C900-C899)/C899</f>
        <v>4.4985109918979759E-3</v>
      </c>
      <c r="E900" s="3">
        <f t="shared" si="211"/>
        <v>-2.5097642182012048E-4</v>
      </c>
      <c r="F900" s="3">
        <f>STDEV($E$32:E900)</f>
        <v>1.2747274071924993E-2</v>
      </c>
      <c r="G900" s="14">
        <f t="shared" si="214"/>
        <v>-1.9688634637022438E-2</v>
      </c>
      <c r="H900" s="15">
        <f>yint($B$3:B900,$D$3:D900)</f>
        <v>3.3368450350922872E-4</v>
      </c>
      <c r="I900" s="16">
        <f>MyReg($B$3:B900,$D$3:D900)</f>
        <v>0.2328944678671136</v>
      </c>
      <c r="J900" s="17">
        <f>STDEV($D$3:D900)</f>
        <v>1.3023475459774161E-2</v>
      </c>
      <c r="K900" s="4">
        <f t="shared" si="212"/>
        <v>4.7494874137180964E-3</v>
      </c>
      <c r="L900">
        <f t="shared" si="215"/>
        <v>-1.9688634637022438E-2</v>
      </c>
      <c r="M900">
        <f>RSQ($D$3:D900,$B$3:B900)</f>
        <v>4.5743553287579501E-2</v>
      </c>
      <c r="N900">
        <v>868</v>
      </c>
      <c r="O900" t="str">
        <f t="shared" si="213"/>
        <v/>
      </c>
      <c r="P900" t="str">
        <f t="shared" si="217"/>
        <v/>
      </c>
      <c r="Q900">
        <f t="shared" si="218"/>
        <v>0</v>
      </c>
      <c r="R900">
        <f t="shared" si="219"/>
        <v>0</v>
      </c>
      <c r="S900">
        <f t="shared" si="220"/>
        <v>0</v>
      </c>
      <c r="T900">
        <f t="shared" si="221"/>
        <v>0</v>
      </c>
      <c r="U900">
        <f t="shared" si="216"/>
        <v>0</v>
      </c>
      <c r="V900">
        <f t="shared" si="222"/>
        <v>0</v>
      </c>
      <c r="W900">
        <f t="shared" si="210"/>
        <v>0</v>
      </c>
      <c r="X900">
        <f>SUM($W$34:W900)</f>
        <v>328.58574329999976</v>
      </c>
      <c r="Y900">
        <f t="shared" si="223"/>
        <v>0</v>
      </c>
    </row>
    <row r="901" spans="1:25">
      <c r="A901">
        <v>102.3432263</v>
      </c>
      <c r="B901" s="2">
        <f t="shared" si="224"/>
        <v>-2.1626239200682644E-3</v>
      </c>
      <c r="C901">
        <v>128.4384781</v>
      </c>
      <c r="D901" s="3">
        <f t="shared" si="225"/>
        <v>5.9319209727260701E-3</v>
      </c>
      <c r="E901" s="3">
        <f t="shared" si="211"/>
        <v>6.0948693498148136E-3</v>
      </c>
      <c r="F901" s="3">
        <f>STDEV($E$32:E901)</f>
        <v>1.2741519493743261E-2</v>
      </c>
      <c r="G901" s="14">
        <f t="shared" si="214"/>
        <v>0.47834713534815892</v>
      </c>
      <c r="H901" s="15">
        <f>yint($B$3:B901,$D$3:D901)</f>
        <v>3.4048237170276137E-4</v>
      </c>
      <c r="I901" s="16">
        <f>MyReg($B$3:B901,$D$3:D901)</f>
        <v>0.2327870066172272</v>
      </c>
      <c r="J901" s="17">
        <f>STDEV($D$3:D901)</f>
        <v>1.3017550059455121E-2</v>
      </c>
      <c r="K901" s="4">
        <f t="shared" si="212"/>
        <v>-1.6294837708874358E-4</v>
      </c>
      <c r="L901">
        <f t="shared" si="215"/>
        <v>0.47834713534815892</v>
      </c>
      <c r="M901">
        <f>RSQ($D$3:D901,$B$3:B901)</f>
        <v>4.56938458433181E-2</v>
      </c>
      <c r="N901">
        <v>869</v>
      </c>
      <c r="O901" t="str">
        <f t="shared" si="213"/>
        <v/>
      </c>
      <c r="P901" t="str">
        <f t="shared" si="217"/>
        <v/>
      </c>
      <c r="Q901">
        <f t="shared" si="218"/>
        <v>0</v>
      </c>
      <c r="R901">
        <f t="shared" si="219"/>
        <v>0</v>
      </c>
      <c r="S901">
        <f t="shared" si="220"/>
        <v>0</v>
      </c>
      <c r="T901">
        <f t="shared" si="221"/>
        <v>0</v>
      </c>
      <c r="U901">
        <f t="shared" si="216"/>
        <v>0</v>
      </c>
      <c r="V901">
        <f t="shared" si="222"/>
        <v>0</v>
      </c>
      <c r="W901">
        <f t="shared" si="210"/>
        <v>0</v>
      </c>
      <c r="X901">
        <f>SUM($W$34:W901)</f>
        <v>328.58574329999976</v>
      </c>
      <c r="Y901">
        <f t="shared" si="223"/>
        <v>0</v>
      </c>
    </row>
    <row r="902" spans="1:25">
      <c r="A902">
        <v>102.98673650000001</v>
      </c>
      <c r="B902" s="2">
        <f t="shared" si="224"/>
        <v>6.2877654268361539E-3</v>
      </c>
      <c r="C902">
        <v>129.33054870000001</v>
      </c>
      <c r="D902" s="3">
        <f t="shared" si="225"/>
        <v>6.9455089564784472E-3</v>
      </c>
      <c r="E902" s="3">
        <f t="shared" si="211"/>
        <v>5.1340722179957082E-3</v>
      </c>
      <c r="F902" s="3">
        <f>STDEV($E$32:E902)</f>
        <v>1.2735301180250905E-2</v>
      </c>
      <c r="G902" s="14">
        <f t="shared" si="214"/>
        <v>0.40313708685251204</v>
      </c>
      <c r="H902" s="15">
        <f>yint($B$3:B902,$D$3:D902)</f>
        <v>3.4616918193786507E-4</v>
      </c>
      <c r="I902" s="16">
        <f>MyReg($B$3:B902,$D$3:D902)</f>
        <v>0.23303470423548545</v>
      </c>
      <c r="J902" s="17">
        <f>STDEV($D$3:D902)</f>
        <v>1.3012158061646774E-2</v>
      </c>
      <c r="K902" s="4">
        <f t="shared" si="212"/>
        <v>1.8114367384827392E-3</v>
      </c>
      <c r="L902">
        <f t="shared" si="215"/>
        <v>0.40313708685251204</v>
      </c>
      <c r="M902">
        <f>RSQ($D$3:D902,$B$3:B902)</f>
        <v>4.5791776353905064E-2</v>
      </c>
      <c r="N902">
        <v>870</v>
      </c>
      <c r="O902" t="str">
        <f t="shared" si="213"/>
        <v/>
      </c>
      <c r="P902" t="str">
        <f t="shared" si="217"/>
        <v/>
      </c>
      <c r="Q902">
        <f t="shared" si="218"/>
        <v>0</v>
      </c>
      <c r="R902">
        <f t="shared" si="219"/>
        <v>0</v>
      </c>
      <c r="S902">
        <f t="shared" si="220"/>
        <v>0</v>
      </c>
      <c r="T902">
        <f t="shared" si="221"/>
        <v>0</v>
      </c>
      <c r="U902">
        <f t="shared" si="216"/>
        <v>0</v>
      </c>
      <c r="V902">
        <f t="shared" si="222"/>
        <v>0</v>
      </c>
      <c r="W902">
        <f t="shared" si="210"/>
        <v>0</v>
      </c>
      <c r="X902">
        <f>SUM($W$34:W902)</f>
        <v>328.58574329999976</v>
      </c>
      <c r="Y902">
        <f t="shared" si="223"/>
        <v>0</v>
      </c>
    </row>
    <row r="903" spans="1:25">
      <c r="A903">
        <v>104.9738546</v>
      </c>
      <c r="B903" s="2">
        <f t="shared" si="224"/>
        <v>1.9294893376876635E-2</v>
      </c>
      <c r="C903">
        <v>129.2790344</v>
      </c>
      <c r="D903" s="3">
        <f t="shared" si="225"/>
        <v>-3.9831501928830836E-4</v>
      </c>
      <c r="E903" s="3">
        <f t="shared" si="211"/>
        <v>-5.220085567875182E-3</v>
      </c>
      <c r="F903" s="3">
        <f>STDEV($E$32:E903)</f>
        <v>1.2729304556706624E-2</v>
      </c>
      <c r="G903" s="14">
        <f t="shared" si="214"/>
        <v>-0.41008411297103436</v>
      </c>
      <c r="H903" s="15">
        <f>yint($B$3:B903,$D$3:D903)</f>
        <v>3.4045026767269451E-4</v>
      </c>
      <c r="I903" s="16">
        <f>MyReg($B$3:B903,$D$3:D903)</f>
        <v>0.23225421324611609</v>
      </c>
      <c r="J903" s="17">
        <f>STDEV($D$3:D903)</f>
        <v>1.3004952291786819E-2</v>
      </c>
      <c r="K903" s="4">
        <f t="shared" si="212"/>
        <v>4.8217705485868734E-3</v>
      </c>
      <c r="L903">
        <f t="shared" si="215"/>
        <v>-0.41008411297103436</v>
      </c>
      <c r="M903">
        <f>RSQ($D$3:D903,$B$3:B903)</f>
        <v>4.5615746724020544E-2</v>
      </c>
      <c r="N903">
        <v>871</v>
      </c>
      <c r="O903" t="str">
        <f t="shared" si="213"/>
        <v/>
      </c>
      <c r="P903" t="str">
        <f t="shared" si="217"/>
        <v/>
      </c>
      <c r="Q903">
        <f t="shared" si="218"/>
        <v>0</v>
      </c>
      <c r="R903">
        <f t="shared" si="219"/>
        <v>0</v>
      </c>
      <c r="S903">
        <f t="shared" si="220"/>
        <v>0</v>
      </c>
      <c r="T903">
        <f t="shared" si="221"/>
        <v>0</v>
      </c>
      <c r="U903">
        <f t="shared" si="216"/>
        <v>0</v>
      </c>
      <c r="V903">
        <f t="shared" si="222"/>
        <v>0</v>
      </c>
      <c r="W903">
        <f t="shared" si="210"/>
        <v>0</v>
      </c>
      <c r="X903">
        <f>SUM($W$34:W903)</f>
        <v>328.58574329999976</v>
      </c>
      <c r="Y903">
        <f t="shared" si="223"/>
        <v>0</v>
      </c>
    </row>
    <row r="904" spans="1:25">
      <c r="A904">
        <v>106.9712524</v>
      </c>
      <c r="B904" s="2">
        <f t="shared" si="224"/>
        <v>1.9027574128920303E-2</v>
      </c>
      <c r="C904">
        <v>126.7282793</v>
      </c>
      <c r="D904" s="3">
        <f t="shared" si="225"/>
        <v>-1.9730616892664567E-2</v>
      </c>
      <c r="E904" s="3">
        <f t="shared" si="211"/>
        <v>-2.4395509610308064E-2</v>
      </c>
      <c r="F904" s="3">
        <f>STDEV($E$32:E904)</f>
        <v>1.2749162342085474E-2</v>
      </c>
      <c r="G904" s="14">
        <f t="shared" si="214"/>
        <v>-1.9134990170905228</v>
      </c>
      <c r="H904" s="15">
        <f>yint($B$3:B904,$D$3:D904)</f>
        <v>3.1382315020619407E-4</v>
      </c>
      <c r="I904" s="16">
        <f>MyReg($B$3:B904,$D$3:D904)</f>
        <v>0.22867179693832038</v>
      </c>
      <c r="J904" s="17">
        <f>STDEV($D$3:D904)</f>
        <v>1.3014952328193196E-2</v>
      </c>
      <c r="K904" s="4">
        <f t="shared" si="212"/>
        <v>4.6648927176434962E-3</v>
      </c>
      <c r="L904">
        <f t="shared" si="215"/>
        <v>-1.9134990170905228</v>
      </c>
      <c r="M904">
        <f>RSQ($D$3:D904,$B$3:B904)</f>
        <v>4.4224747926915338E-2</v>
      </c>
      <c r="N904">
        <v>872</v>
      </c>
      <c r="O904" t="str">
        <f t="shared" si="213"/>
        <v>buyY</v>
      </c>
      <c r="P904" t="str">
        <f t="shared" si="217"/>
        <v/>
      </c>
      <c r="Q904">
        <f t="shared" si="218"/>
        <v>-10</v>
      </c>
      <c r="R904">
        <f t="shared" si="219"/>
        <v>0</v>
      </c>
      <c r="S904">
        <f t="shared" si="220"/>
        <v>10</v>
      </c>
      <c r="T904">
        <f t="shared" si="221"/>
        <v>0</v>
      </c>
      <c r="U904">
        <f t="shared" si="216"/>
        <v>20</v>
      </c>
      <c r="V904">
        <f t="shared" si="222"/>
        <v>-10</v>
      </c>
      <c r="W904">
        <f t="shared" si="210"/>
        <v>-197.570269</v>
      </c>
      <c r="X904">
        <f>SUM($W$34:W904)</f>
        <v>131.01547429999977</v>
      </c>
      <c r="Y904">
        <f t="shared" si="223"/>
        <v>0</v>
      </c>
    </row>
    <row r="905" spans="1:25">
      <c r="A905">
        <v>106.8150169</v>
      </c>
      <c r="B905" s="2">
        <f t="shared" si="224"/>
        <v>-1.4605372611304864E-3</v>
      </c>
      <c r="C905">
        <v>125.9246009</v>
      </c>
      <c r="D905" s="3">
        <f t="shared" si="225"/>
        <v>-6.3417447505735641E-3</v>
      </c>
      <c r="E905" s="3">
        <f t="shared" si="211"/>
        <v>-6.3144574110423641E-3</v>
      </c>
      <c r="F905" s="3">
        <f>STDEV($E$32:E905)</f>
        <v>1.2743734988780559E-2</v>
      </c>
      <c r="G905" s="14">
        <f t="shared" si="214"/>
        <v>-0.49549503474464446</v>
      </c>
      <c r="H905" s="15">
        <f>yint($B$3:B905,$D$3:D905)</f>
        <v>3.0681114573166468E-4</v>
      </c>
      <c r="I905" s="16">
        <f>MyReg($B$3:B905,$D$3:D905)</f>
        <v>0.22875040175576591</v>
      </c>
      <c r="J905" s="17">
        <f>STDEV($D$3:D905)</f>
        <v>1.3009640296223429E-2</v>
      </c>
      <c r="K905" s="4">
        <f t="shared" si="212"/>
        <v>-2.7287339531200056E-5</v>
      </c>
      <c r="L905">
        <f t="shared" si="215"/>
        <v>-0.49549503474464446</v>
      </c>
      <c r="M905">
        <f>RSQ($D$3:D905,$B$3:B905)</f>
        <v>4.4243085224841695E-2</v>
      </c>
      <c r="N905">
        <v>873</v>
      </c>
      <c r="O905" t="str">
        <f t="shared" si="213"/>
        <v/>
      </c>
      <c r="P905" t="str">
        <f t="shared" si="217"/>
        <v>close</v>
      </c>
      <c r="Q905">
        <f t="shared" si="218"/>
        <v>0</v>
      </c>
      <c r="R905">
        <f t="shared" si="219"/>
        <v>0</v>
      </c>
      <c r="S905">
        <f t="shared" si="220"/>
        <v>0</v>
      </c>
      <c r="T905">
        <f t="shared" si="221"/>
        <v>0</v>
      </c>
      <c r="U905">
        <f t="shared" si="216"/>
        <v>0</v>
      </c>
      <c r="V905">
        <f t="shared" si="222"/>
        <v>10</v>
      </c>
      <c r="W905">
        <f t="shared" si="210"/>
        <v>191.09583999999998</v>
      </c>
      <c r="X905">
        <f>SUM($W$34:W905)</f>
        <v>322.11131429999978</v>
      </c>
      <c r="Y905">
        <f t="shared" si="223"/>
        <v>322.11131429999978</v>
      </c>
    </row>
    <row r="906" spans="1:25">
      <c r="A906">
        <v>106.86728290000001</v>
      </c>
      <c r="B906" s="2">
        <f t="shared" si="224"/>
        <v>4.8931322127612775E-4</v>
      </c>
      <c r="C906">
        <v>125.92312509999999</v>
      </c>
      <c r="D906" s="3">
        <f t="shared" si="225"/>
        <v>-1.171971155326946E-5</v>
      </c>
      <c r="E906" s="3">
        <f t="shared" si="211"/>
        <v>-4.2998488341306553E-4</v>
      </c>
      <c r="F906" s="3">
        <f>STDEV($E$32:E906)</f>
        <v>1.273645719470474E-2</v>
      </c>
      <c r="G906" s="14">
        <f t="shared" si="214"/>
        <v>-3.3760163979653181E-2</v>
      </c>
      <c r="H906" s="15">
        <f>yint($B$3:B906,$D$3:D906)</f>
        <v>3.0633513796457631E-4</v>
      </c>
      <c r="I906" s="16">
        <f>MyReg($B$3:B906,$D$3:D906)</f>
        <v>0.22874925309254154</v>
      </c>
      <c r="J906" s="17">
        <f>STDEV($D$3:D906)</f>
        <v>1.300243999285512E-2</v>
      </c>
      <c r="K906" s="4">
        <f t="shared" si="212"/>
        <v>4.1826517185979606E-4</v>
      </c>
      <c r="L906">
        <f t="shared" si="215"/>
        <v>-3.3760163979653181E-2</v>
      </c>
      <c r="M906">
        <f>RSQ($D$3:D906,$B$3:B906)</f>
        <v>4.4242645821935815E-2</v>
      </c>
      <c r="N906">
        <v>874</v>
      </c>
      <c r="O906" t="str">
        <f t="shared" si="213"/>
        <v/>
      </c>
      <c r="P906" t="str">
        <f t="shared" si="217"/>
        <v/>
      </c>
      <c r="Q906">
        <f t="shared" si="218"/>
        <v>0</v>
      </c>
      <c r="R906">
        <f t="shared" si="219"/>
        <v>0</v>
      </c>
      <c r="S906">
        <f t="shared" si="220"/>
        <v>0</v>
      </c>
      <c r="T906">
        <f t="shared" si="221"/>
        <v>0</v>
      </c>
      <c r="U906">
        <f t="shared" si="216"/>
        <v>0</v>
      </c>
      <c r="V906">
        <f t="shared" si="222"/>
        <v>0</v>
      </c>
      <c r="W906">
        <f t="shared" si="210"/>
        <v>0</v>
      </c>
      <c r="X906">
        <f>SUM($W$34:W906)</f>
        <v>322.11131429999978</v>
      </c>
      <c r="Y906">
        <f t="shared" si="223"/>
        <v>0</v>
      </c>
    </row>
    <row r="907" spans="1:25">
      <c r="A907">
        <v>105.8655002</v>
      </c>
      <c r="B907" s="2">
        <f t="shared" si="224"/>
        <v>-9.3740822524459137E-3</v>
      </c>
      <c r="C907">
        <v>124.36613389999999</v>
      </c>
      <c r="D907" s="3">
        <f t="shared" si="225"/>
        <v>-1.236461689434357E-2</v>
      </c>
      <c r="E907" s="3">
        <f t="shared" si="211"/>
        <v>-1.0507638168862339E-2</v>
      </c>
      <c r="F907" s="3">
        <f>STDEV($E$32:E907)</f>
        <v>1.2734262505976502E-2</v>
      </c>
      <c r="G907" s="14">
        <f t="shared" si="214"/>
        <v>-0.82514697368071743</v>
      </c>
      <c r="H907" s="15">
        <f>yint($B$3:B907,$D$3:D907)</f>
        <v>2.9459938738673753E-4</v>
      </c>
      <c r="I907" s="16">
        <f>MyReg($B$3:B907,$D$3:D907)</f>
        <v>0.22952413419527778</v>
      </c>
      <c r="J907" s="17">
        <f>STDEV($D$3:D907)</f>
        <v>1.3002106156781313E-2</v>
      </c>
      <c r="K907" s="4">
        <f t="shared" si="212"/>
        <v>-1.8569787254812304E-3</v>
      </c>
      <c r="L907">
        <f t="shared" si="215"/>
        <v>-0.82514697368071743</v>
      </c>
      <c r="M907">
        <f>RSQ($D$3:D907,$B$3:B907)</f>
        <v>4.4527106753706136E-2</v>
      </c>
      <c r="N907">
        <v>875</v>
      </c>
      <c r="O907" t="str">
        <f t="shared" si="213"/>
        <v/>
      </c>
      <c r="P907" t="str">
        <f t="shared" si="217"/>
        <v/>
      </c>
      <c r="Q907">
        <f t="shared" si="218"/>
        <v>0</v>
      </c>
      <c r="R907">
        <f t="shared" si="219"/>
        <v>0</v>
      </c>
      <c r="S907">
        <f t="shared" si="220"/>
        <v>0</v>
      </c>
      <c r="T907">
        <f t="shared" si="221"/>
        <v>0</v>
      </c>
      <c r="U907">
        <f t="shared" si="216"/>
        <v>0</v>
      </c>
      <c r="V907">
        <f t="shared" si="222"/>
        <v>0</v>
      </c>
      <c r="W907">
        <f t="shared" si="210"/>
        <v>0</v>
      </c>
      <c r="X907">
        <f>SUM($W$34:W907)</f>
        <v>322.11131429999978</v>
      </c>
      <c r="Y907">
        <f t="shared" si="223"/>
        <v>0</v>
      </c>
    </row>
    <row r="908" spans="1:25">
      <c r="A908">
        <v>105.6090215</v>
      </c>
      <c r="B908" s="2">
        <f t="shared" si="224"/>
        <v>-2.4226844393637728E-3</v>
      </c>
      <c r="C908">
        <v>125.7713282</v>
      </c>
      <c r="D908" s="3">
        <f t="shared" si="225"/>
        <v>1.1298850064197462E-2</v>
      </c>
      <c r="E908" s="3">
        <f t="shared" si="211"/>
        <v>1.1546971648898431E-2</v>
      </c>
      <c r="F908" s="3">
        <f>STDEV($E$32:E908)</f>
        <v>1.2732829021089808E-2</v>
      </c>
      <c r="G908" s="14">
        <f t="shared" si="214"/>
        <v>0.90686615125144598</v>
      </c>
      <c r="H908" s="15">
        <f>yint($B$3:B908,$D$3:D908)</f>
        <v>3.0738918244453402E-4</v>
      </c>
      <c r="I908" s="16">
        <f>MyReg($B$3:B908,$D$3:D908)</f>
        <v>0.22929555253650219</v>
      </c>
      <c r="J908" s="17">
        <f>STDEV($D$3:D908)</f>
        <v>1.3000033574873083E-2</v>
      </c>
      <c r="K908" s="4">
        <f t="shared" si="212"/>
        <v>-2.4812158470096833E-4</v>
      </c>
      <c r="L908">
        <f t="shared" si="215"/>
        <v>0.90686615125144598</v>
      </c>
      <c r="M908">
        <f>RSQ($D$3:D908,$B$3:B908)</f>
        <v>4.44057592953487E-2</v>
      </c>
      <c r="N908">
        <v>876</v>
      </c>
      <c r="O908" t="str">
        <f t="shared" si="213"/>
        <v/>
      </c>
      <c r="P908" t="str">
        <f t="shared" si="217"/>
        <v/>
      </c>
      <c r="Q908">
        <f t="shared" si="218"/>
        <v>0</v>
      </c>
      <c r="R908">
        <f t="shared" si="219"/>
        <v>0</v>
      </c>
      <c r="S908">
        <f t="shared" si="220"/>
        <v>0</v>
      </c>
      <c r="T908">
        <f t="shared" si="221"/>
        <v>0</v>
      </c>
      <c r="U908">
        <f t="shared" si="216"/>
        <v>0</v>
      </c>
      <c r="V908">
        <f t="shared" si="222"/>
        <v>0</v>
      </c>
      <c r="W908">
        <f t="shared" ref="W908:W971" si="226">IF(ABS(V908)&gt;0,V908*(C908-A908),0)</f>
        <v>0</v>
      </c>
      <c r="X908">
        <f>SUM($W$34:W908)</f>
        <v>322.11131429999978</v>
      </c>
      <c r="Y908">
        <f t="shared" si="223"/>
        <v>0</v>
      </c>
    </row>
    <row r="909" spans="1:25">
      <c r="A909">
        <v>105.3615844</v>
      </c>
      <c r="B909" s="2">
        <f t="shared" si="224"/>
        <v>-2.3429541954424708E-3</v>
      </c>
      <c r="C909">
        <v>125.8218244</v>
      </c>
      <c r="D909" s="3">
        <f t="shared" si="225"/>
        <v>4.0149214230845477E-4</v>
      </c>
      <c r="E909" s="3">
        <f t="shared" si="211"/>
        <v>6.3060601246074091E-4</v>
      </c>
      <c r="F909" s="3">
        <f>STDEV($E$32:E909)</f>
        <v>1.2725578247505453E-2</v>
      </c>
      <c r="G909" s="14">
        <f t="shared" si="214"/>
        <v>4.9554212798491593E-2</v>
      </c>
      <c r="H909" s="15">
        <f>yint($B$3:B909,$D$3:D909)</f>
        <v>3.0808680441124704E-4</v>
      </c>
      <c r="I909" s="16">
        <f>MyReg($B$3:B909,$D$3:D909)</f>
        <v>0.22928347280902855</v>
      </c>
      <c r="J909" s="17">
        <f>STDEV($D$3:D909)</f>
        <v>1.2992857356102892E-2</v>
      </c>
      <c r="K909" s="4">
        <f t="shared" si="212"/>
        <v>-2.2911387015228608E-4</v>
      </c>
      <c r="L909">
        <f t="shared" si="215"/>
        <v>4.9554212798491593E-2</v>
      </c>
      <c r="M909">
        <f>RSQ($D$3:D909,$B$3:B909)</f>
        <v>4.4403181788864141E-2</v>
      </c>
      <c r="N909">
        <v>877</v>
      </c>
      <c r="O909" t="str">
        <f t="shared" si="213"/>
        <v/>
      </c>
      <c r="P909" t="str">
        <f t="shared" si="217"/>
        <v/>
      </c>
      <c r="Q909">
        <f t="shared" si="218"/>
        <v>0</v>
      </c>
      <c r="R909">
        <f t="shared" si="219"/>
        <v>0</v>
      </c>
      <c r="S909">
        <f t="shared" si="220"/>
        <v>0</v>
      </c>
      <c r="T909">
        <f t="shared" si="221"/>
        <v>0</v>
      </c>
      <c r="U909">
        <f t="shared" si="216"/>
        <v>0</v>
      </c>
      <c r="V909">
        <f t="shared" si="222"/>
        <v>0</v>
      </c>
      <c r="W909">
        <f t="shared" si="226"/>
        <v>0</v>
      </c>
      <c r="X909">
        <f>SUM($W$34:W909)</f>
        <v>322.11131429999978</v>
      </c>
      <c r="Y909">
        <f t="shared" si="223"/>
        <v>0</v>
      </c>
    </row>
    <row r="910" spans="1:25">
      <c r="A910">
        <v>106.2073781</v>
      </c>
      <c r="B910" s="2">
        <f t="shared" si="224"/>
        <v>8.0275339898932038E-3</v>
      </c>
      <c r="C910">
        <v>128.3649695</v>
      </c>
      <c r="D910" s="3">
        <f t="shared" si="225"/>
        <v>2.0212273285078863E-2</v>
      </c>
      <c r="E910" s="3">
        <f t="shared" si="211"/>
        <v>1.803501122348742E-2</v>
      </c>
      <c r="F910" s="3">
        <f>STDEV($E$32:E910)</f>
        <v>1.2732636684953683E-2</v>
      </c>
      <c r="G910" s="14">
        <f t="shared" si="214"/>
        <v>1.4164396322404784</v>
      </c>
      <c r="H910" s="15">
        <f>yint($B$3:B910,$D$3:D910)</f>
        <v>3.2782901797089731E-4</v>
      </c>
      <c r="I910" s="16">
        <f>MyReg($B$3:B910,$D$3:D910)</f>
        <v>0.23038619904307014</v>
      </c>
      <c r="J910" s="17">
        <f>STDEV($D$3:D910)</f>
        <v>1.3002432177218054E-2</v>
      </c>
      <c r="K910" s="4">
        <f t="shared" si="212"/>
        <v>2.1772620615914439E-3</v>
      </c>
      <c r="L910">
        <f t="shared" si="215"/>
        <v>1.4164396322404784</v>
      </c>
      <c r="M910">
        <f>RSQ($D$3:D910,$B$3:B910)</f>
        <v>4.473753284875303E-2</v>
      </c>
      <c r="N910">
        <v>878</v>
      </c>
      <c r="O910" t="str">
        <f t="shared" si="213"/>
        <v/>
      </c>
      <c r="P910" t="str">
        <f t="shared" si="217"/>
        <v/>
      </c>
      <c r="Q910">
        <f t="shared" si="218"/>
        <v>0</v>
      </c>
      <c r="R910">
        <f t="shared" si="219"/>
        <v>0</v>
      </c>
      <c r="S910">
        <f t="shared" si="220"/>
        <v>0</v>
      </c>
      <c r="T910">
        <f t="shared" si="221"/>
        <v>0</v>
      </c>
      <c r="U910">
        <f t="shared" si="216"/>
        <v>0</v>
      </c>
      <c r="V910">
        <f t="shared" si="222"/>
        <v>0</v>
      </c>
      <c r="W910">
        <f t="shared" si="226"/>
        <v>0</v>
      </c>
      <c r="X910">
        <f>SUM($W$34:W910)</f>
        <v>322.11131429999978</v>
      </c>
      <c r="Y910">
        <f t="shared" si="223"/>
        <v>0</v>
      </c>
    </row>
    <row r="911" spans="1:25">
      <c r="A911">
        <v>108.33141670000001</v>
      </c>
      <c r="B911" s="2">
        <f t="shared" si="224"/>
        <v>1.9998974063742618E-2</v>
      </c>
      <c r="C911">
        <v>129.8354018</v>
      </c>
      <c r="D911" s="3">
        <f t="shared" si="225"/>
        <v>1.1455090167726787E-2</v>
      </c>
      <c r="E911" s="3">
        <f t="shared" si="211"/>
        <v>6.4928057788232983E-3</v>
      </c>
      <c r="F911" s="3">
        <f>STDEV($E$32:E911)</f>
        <v>1.2727179815021257E-2</v>
      </c>
      <c r="G911" s="14">
        <f t="shared" si="214"/>
        <v>0.51015274972073255</v>
      </c>
      <c r="H911" s="15">
        <f>yint($B$3:B911,$D$3:D911)</f>
        <v>3.3484249210715799E-4</v>
      </c>
      <c r="I911" s="16">
        <f>MyReg($B$3:B911,$D$3:D911)</f>
        <v>0.23138396409972387</v>
      </c>
      <c r="J911" s="17">
        <f>STDEV($D$3:D911)</f>
        <v>1.3000480230595086E-2</v>
      </c>
      <c r="K911" s="4">
        <f t="shared" si="212"/>
        <v>4.9622843889034884E-3</v>
      </c>
      <c r="L911">
        <f t="shared" si="215"/>
        <v>0.51015274972073255</v>
      </c>
      <c r="M911">
        <f>RSQ($D$3:D911,$B$3:B911)</f>
        <v>4.5227182275423133E-2</v>
      </c>
      <c r="N911">
        <v>879</v>
      </c>
      <c r="O911" t="str">
        <f t="shared" si="213"/>
        <v/>
      </c>
      <c r="P911" t="str">
        <f t="shared" si="217"/>
        <v/>
      </c>
      <c r="Q911">
        <f t="shared" si="218"/>
        <v>0</v>
      </c>
      <c r="R911">
        <f t="shared" si="219"/>
        <v>0</v>
      </c>
      <c r="S911">
        <f t="shared" si="220"/>
        <v>0</v>
      </c>
      <c r="T911">
        <f t="shared" si="221"/>
        <v>0</v>
      </c>
      <c r="U911">
        <f t="shared" si="216"/>
        <v>0</v>
      </c>
      <c r="V911">
        <f t="shared" si="222"/>
        <v>0</v>
      </c>
      <c r="W911">
        <f t="shared" si="226"/>
        <v>0</v>
      </c>
      <c r="X911">
        <f>SUM($W$34:W911)</f>
        <v>322.11131429999978</v>
      </c>
      <c r="Y911">
        <f t="shared" si="223"/>
        <v>0</v>
      </c>
    </row>
    <row r="912" spans="1:25">
      <c r="A912">
        <v>109.3613474</v>
      </c>
      <c r="B912" s="2">
        <f t="shared" si="224"/>
        <v>9.507220817135259E-3</v>
      </c>
      <c r="C912">
        <v>132.6183293</v>
      </c>
      <c r="D912" s="3">
        <f t="shared" si="225"/>
        <v>2.1434273406315284E-2</v>
      </c>
      <c r="E912" s="3">
        <f t="shared" si="211"/>
        <v>1.8866141049126133E-2</v>
      </c>
      <c r="F912" s="3">
        <f>STDEV($E$32:E912)</f>
        <v>1.2735529736831964E-2</v>
      </c>
      <c r="G912" s="14">
        <f t="shared" si="214"/>
        <v>1.4813785872262581</v>
      </c>
      <c r="H912" s="15">
        <f>yint($B$3:B912,$D$3:D912)</f>
        <v>3.5538054706981277E-4</v>
      </c>
      <c r="I912" s="16">
        <f>MyReg($B$3:B912,$D$3:D912)</f>
        <v>0.2327443374546643</v>
      </c>
      <c r="J912" s="17">
        <f>STDEV($D$3:D912)</f>
        <v>1.3012073661068569E-2</v>
      </c>
      <c r="K912" s="4">
        <f t="shared" si="212"/>
        <v>2.568132357189151E-3</v>
      </c>
      <c r="L912">
        <f t="shared" si="215"/>
        <v>1.4813785872262581</v>
      </c>
      <c r="M912">
        <f>RSQ($D$3:D912,$B$3:B912)</f>
        <v>4.5659516340538317E-2</v>
      </c>
      <c r="N912">
        <v>880</v>
      </c>
      <c r="O912" t="str">
        <f t="shared" si="213"/>
        <v/>
      </c>
      <c r="P912" t="str">
        <f t="shared" si="217"/>
        <v/>
      </c>
      <c r="Q912">
        <f t="shared" si="218"/>
        <v>0</v>
      </c>
      <c r="R912">
        <f t="shared" si="219"/>
        <v>0</v>
      </c>
      <c r="S912">
        <f t="shared" si="220"/>
        <v>0</v>
      </c>
      <c r="T912">
        <f t="shared" si="221"/>
        <v>0</v>
      </c>
      <c r="U912">
        <f t="shared" si="216"/>
        <v>0</v>
      </c>
      <c r="V912">
        <f t="shared" si="222"/>
        <v>0</v>
      </c>
      <c r="W912">
        <f t="shared" si="226"/>
        <v>0</v>
      </c>
      <c r="X912">
        <f>SUM($W$34:W912)</f>
        <v>322.11131429999978</v>
      </c>
      <c r="Y912">
        <f t="shared" si="223"/>
        <v>0</v>
      </c>
    </row>
    <row r="913" spans="1:25">
      <c r="A913">
        <v>108.7250918</v>
      </c>
      <c r="B913" s="2">
        <f t="shared" si="224"/>
        <v>-5.8179202718930505E-3</v>
      </c>
      <c r="C913">
        <v>134.18872909999999</v>
      </c>
      <c r="D913" s="3">
        <f t="shared" si="225"/>
        <v>1.1841498896035255E-2</v>
      </c>
      <c r="E913" s="3">
        <f t="shared" si="211"/>
        <v>1.2822572027915015E-2</v>
      </c>
      <c r="F913" s="3">
        <f>STDEV($E$32:E913)</f>
        <v>1.2735401814764317E-2</v>
      </c>
      <c r="G913" s="14">
        <f t="shared" si="214"/>
        <v>1.0068447163598435</v>
      </c>
      <c r="H913" s="15">
        <f>yint($B$3:B913,$D$3:D913)</f>
        <v>3.695716725246381E-4</v>
      </c>
      <c r="I913" s="16">
        <f>MyReg($B$3:B913,$D$3:D913)</f>
        <v>0.23215251177117291</v>
      </c>
      <c r="J913" s="17">
        <f>STDEV($D$3:D913)</f>
        <v>1.3010450708346858E-2</v>
      </c>
      <c r="K913" s="4">
        <f t="shared" si="212"/>
        <v>-9.8107313187975869E-4</v>
      </c>
      <c r="L913">
        <f t="shared" si="215"/>
        <v>1.0068447163598435</v>
      </c>
      <c r="M913">
        <f>RSQ($D$3:D913,$B$3:B913)</f>
        <v>4.5401535205468531E-2</v>
      </c>
      <c r="N913">
        <v>881</v>
      </c>
      <c r="O913" t="str">
        <f t="shared" si="213"/>
        <v/>
      </c>
      <c r="P913" t="str">
        <f t="shared" si="217"/>
        <v/>
      </c>
      <c r="Q913">
        <f t="shared" si="218"/>
        <v>0</v>
      </c>
      <c r="R913">
        <f t="shared" si="219"/>
        <v>0</v>
      </c>
      <c r="S913">
        <f t="shared" si="220"/>
        <v>0</v>
      </c>
      <c r="T913">
        <f t="shared" si="221"/>
        <v>0</v>
      </c>
      <c r="U913">
        <f t="shared" si="216"/>
        <v>0</v>
      </c>
      <c r="V913">
        <f t="shared" si="222"/>
        <v>0</v>
      </c>
      <c r="W913">
        <f t="shared" si="226"/>
        <v>0</v>
      </c>
      <c r="X913">
        <f>SUM($W$34:W913)</f>
        <v>322.11131429999978</v>
      </c>
      <c r="Y913">
        <f t="shared" si="223"/>
        <v>0</v>
      </c>
    </row>
    <row r="914" spans="1:25">
      <c r="A914">
        <v>105.7095367</v>
      </c>
      <c r="B914" s="2">
        <f t="shared" si="224"/>
        <v>-2.7735594885007035E-2</v>
      </c>
      <c r="C914">
        <v>134.0559447</v>
      </c>
      <c r="D914" s="3">
        <f t="shared" si="225"/>
        <v>-9.8953467173116985E-4</v>
      </c>
      <c r="E914" s="3">
        <f t="shared" si="211"/>
        <v>5.0439903665087391E-3</v>
      </c>
      <c r="F914" s="3">
        <f>STDEV($E$32:E914)</f>
        <v>1.2729220798929627E-2</v>
      </c>
      <c r="G914" s="14">
        <f t="shared" si="214"/>
        <v>0.39625287723290004</v>
      </c>
      <c r="H914" s="15">
        <f>yint($B$3:B914,$D$3:D914)</f>
        <v>3.7528525350408561E-4</v>
      </c>
      <c r="I914" s="16">
        <f>MyReg($B$3:B914,$D$3:D914)</f>
        <v>0.23106806680423464</v>
      </c>
      <c r="J914" s="17">
        <f>STDEV($D$3:D914)</f>
        <v>1.3003390274017477E-2</v>
      </c>
      <c r="K914" s="4">
        <f t="shared" si="212"/>
        <v>-6.0335250382399092E-3</v>
      </c>
      <c r="L914">
        <f t="shared" si="215"/>
        <v>0.39625287723290004</v>
      </c>
      <c r="M914">
        <f>RSQ($D$3:D914,$B$3:B914)</f>
        <v>4.5247279003128471E-2</v>
      </c>
      <c r="N914">
        <v>882</v>
      </c>
      <c r="O914" t="str">
        <f t="shared" si="213"/>
        <v/>
      </c>
      <c r="P914" t="str">
        <f t="shared" si="217"/>
        <v/>
      </c>
      <c r="Q914">
        <f t="shared" si="218"/>
        <v>0</v>
      </c>
      <c r="R914">
        <f t="shared" si="219"/>
        <v>0</v>
      </c>
      <c r="S914">
        <f t="shared" si="220"/>
        <v>0</v>
      </c>
      <c r="T914">
        <f t="shared" si="221"/>
        <v>0</v>
      </c>
      <c r="U914">
        <f t="shared" si="216"/>
        <v>0</v>
      </c>
      <c r="V914">
        <f t="shared" si="222"/>
        <v>0</v>
      </c>
      <c r="W914">
        <f t="shared" si="226"/>
        <v>0</v>
      </c>
      <c r="X914">
        <f>SUM($W$34:W914)</f>
        <v>322.11131429999978</v>
      </c>
      <c r="Y914">
        <f t="shared" si="223"/>
        <v>0</v>
      </c>
    </row>
    <row r="915" spans="1:25">
      <c r="A915">
        <v>105.2376189</v>
      </c>
      <c r="B915" s="2">
        <f t="shared" si="224"/>
        <v>-4.4642878469828727E-3</v>
      </c>
      <c r="C915">
        <v>133.06971050000001</v>
      </c>
      <c r="D915" s="3">
        <f t="shared" si="225"/>
        <v>-7.3568852333035272E-3</v>
      </c>
      <c r="E915" s="3">
        <f t="shared" si="211"/>
        <v>-6.6921949488754282E-3</v>
      </c>
      <c r="F915" s="3">
        <f>STDEV($E$32:E915)</f>
        <v>1.2724130459594371E-2</v>
      </c>
      <c r="G915" s="14">
        <f t="shared" si="214"/>
        <v>-0.52594516930854907</v>
      </c>
      <c r="H915" s="15">
        <f>yint($B$3:B915,$D$3:D915)</f>
        <v>3.6791610584229969E-4</v>
      </c>
      <c r="I915" s="16">
        <f>MyReg($B$3:B915,$D$3:D915)</f>
        <v>0.2313037209211927</v>
      </c>
      <c r="J915" s="17">
        <f>STDEV($D$3:D915)</f>
        <v>1.2998798325654034E-2</v>
      </c>
      <c r="K915" s="4">
        <f t="shared" si="212"/>
        <v>-6.6469028442809892E-4</v>
      </c>
      <c r="L915">
        <f t="shared" si="215"/>
        <v>-0.52594516930854907</v>
      </c>
      <c r="M915">
        <f>RSQ($D$3:D915,$B$3:B915)</f>
        <v>4.5329234080943338E-2</v>
      </c>
      <c r="N915">
        <v>883</v>
      </c>
      <c r="O915" t="str">
        <f t="shared" si="213"/>
        <v/>
      </c>
      <c r="P915" t="str">
        <f t="shared" si="217"/>
        <v/>
      </c>
      <c r="Q915">
        <f t="shared" si="218"/>
        <v>0</v>
      </c>
      <c r="R915">
        <f t="shared" si="219"/>
        <v>0</v>
      </c>
      <c r="S915">
        <f t="shared" si="220"/>
        <v>0</v>
      </c>
      <c r="T915">
        <f t="shared" si="221"/>
        <v>0</v>
      </c>
      <c r="U915">
        <f t="shared" si="216"/>
        <v>0</v>
      </c>
      <c r="V915">
        <f t="shared" si="222"/>
        <v>0</v>
      </c>
      <c r="W915">
        <f t="shared" si="226"/>
        <v>0</v>
      </c>
      <c r="X915">
        <f>SUM($W$34:W915)</f>
        <v>322.11131429999978</v>
      </c>
      <c r="Y915">
        <f t="shared" si="223"/>
        <v>0</v>
      </c>
    </row>
    <row r="916" spans="1:25">
      <c r="A916">
        <v>104.8382993</v>
      </c>
      <c r="B916" s="2">
        <f t="shared" si="224"/>
        <v>-3.7944568128194158E-3</v>
      </c>
      <c r="C916">
        <v>130.37647430000001</v>
      </c>
      <c r="D916" s="3">
        <f t="shared" si="225"/>
        <v>-2.0239288038430059E-2</v>
      </c>
      <c r="E916" s="3">
        <f t="shared" si="211"/>
        <v>-1.970562730391166E-2</v>
      </c>
      <c r="F916" s="3">
        <f>STDEV($E$32:E916)</f>
        <v>1.2734531685302425E-2</v>
      </c>
      <c r="G916" s="14">
        <f t="shared" si="214"/>
        <v>-1.5474167241387395</v>
      </c>
      <c r="H916" s="15">
        <f>yint($B$3:B916,$D$3:D916)</f>
        <v>3.4625729788958284E-4</v>
      </c>
      <c r="I916" s="16">
        <f>MyReg($B$3:B916,$D$3:D916)</f>
        <v>0.2318956508966491</v>
      </c>
      <c r="J916" s="17">
        <f>STDEV($D$3:D916)</f>
        <v>1.3009597676556151E-2</v>
      </c>
      <c r="K916" s="4">
        <f t="shared" si="212"/>
        <v>-5.3366073451840013E-4</v>
      </c>
      <c r="L916">
        <f t="shared" si="215"/>
        <v>-1.5474167241387395</v>
      </c>
      <c r="M916">
        <f>RSQ($D$3:D916,$B$3:B916)</f>
        <v>4.5441451406668679E-2</v>
      </c>
      <c r="N916">
        <v>884</v>
      </c>
      <c r="O916" t="str">
        <f t="shared" si="213"/>
        <v>buyY</v>
      </c>
      <c r="P916" t="str">
        <f t="shared" si="217"/>
        <v/>
      </c>
      <c r="Q916">
        <f t="shared" si="218"/>
        <v>-10</v>
      </c>
      <c r="R916">
        <f t="shared" si="219"/>
        <v>0</v>
      </c>
      <c r="S916">
        <f t="shared" si="220"/>
        <v>10</v>
      </c>
      <c r="T916">
        <f t="shared" si="221"/>
        <v>0</v>
      </c>
      <c r="U916">
        <f t="shared" si="216"/>
        <v>20</v>
      </c>
      <c r="V916">
        <f t="shared" si="222"/>
        <v>-10</v>
      </c>
      <c r="W916">
        <f t="shared" si="226"/>
        <v>-255.3817500000001</v>
      </c>
      <c r="X916">
        <f>SUM($W$34:W916)</f>
        <v>66.72956429999968</v>
      </c>
      <c r="Y916">
        <f t="shared" si="223"/>
        <v>0</v>
      </c>
    </row>
    <row r="917" spans="1:25">
      <c r="A917">
        <v>106.1119353</v>
      </c>
      <c r="B917" s="2">
        <f t="shared" si="224"/>
        <v>1.214857555401031E-2</v>
      </c>
      <c r="C917">
        <v>131.1313662</v>
      </c>
      <c r="D917" s="3">
        <f t="shared" si="225"/>
        <v>5.7900929140249791E-3</v>
      </c>
      <c r="E917" s="3">
        <f t="shared" si="211"/>
        <v>2.6208637559222534E-3</v>
      </c>
      <c r="F917" s="3">
        <f>STDEV($E$32:E917)</f>
        <v>1.27275986138085E-2</v>
      </c>
      <c r="G917" s="14">
        <f t="shared" si="214"/>
        <v>0.2059197367427042</v>
      </c>
      <c r="H917" s="15">
        <f>yint($B$3:B917,$D$3:D917)</f>
        <v>3.4909504314255713E-4</v>
      </c>
      <c r="I917" s="16">
        <f>MyReg($B$3:B917,$D$3:D917)</f>
        <v>0.23213701906222475</v>
      </c>
      <c r="J917" s="17">
        <f>STDEV($D$3:D917)</f>
        <v>1.3003711259977183E-2</v>
      </c>
      <c r="K917" s="4">
        <f t="shared" si="212"/>
        <v>3.1692291581027258E-3</v>
      </c>
      <c r="L917">
        <f t="shared" si="215"/>
        <v>0.2059197367427042</v>
      </c>
      <c r="M917">
        <f>RSQ($D$3:D917,$B$3:B917)</f>
        <v>4.5577831050595201E-2</v>
      </c>
      <c r="N917">
        <v>885</v>
      </c>
      <c r="O917" t="str">
        <f t="shared" si="213"/>
        <v/>
      </c>
      <c r="P917" t="str">
        <f t="shared" si="217"/>
        <v>close</v>
      </c>
      <c r="Q917">
        <f t="shared" si="218"/>
        <v>0</v>
      </c>
      <c r="R917">
        <f t="shared" si="219"/>
        <v>0</v>
      </c>
      <c r="S917">
        <f t="shared" si="220"/>
        <v>0</v>
      </c>
      <c r="T917">
        <f t="shared" si="221"/>
        <v>0</v>
      </c>
      <c r="U917">
        <f t="shared" si="216"/>
        <v>0</v>
      </c>
      <c r="V917">
        <f t="shared" si="222"/>
        <v>10</v>
      </c>
      <c r="W917">
        <f t="shared" si="226"/>
        <v>250.19430900000003</v>
      </c>
      <c r="X917">
        <f>SUM($W$34:W917)</f>
        <v>316.92387329999974</v>
      </c>
      <c r="Y917">
        <f t="shared" si="223"/>
        <v>316.92387329999974</v>
      </c>
    </row>
    <row r="918" spans="1:25">
      <c r="A918">
        <v>107.3852455</v>
      </c>
      <c r="B918" s="2">
        <f t="shared" si="224"/>
        <v>1.1999688785244475E-2</v>
      </c>
      <c r="C918">
        <v>133.89028049999999</v>
      </c>
      <c r="D918" s="3">
        <f t="shared" si="225"/>
        <v>2.1039316373720404E-2</v>
      </c>
      <c r="E918" s="3">
        <f t="shared" si="211"/>
        <v>1.7865888518771963E-2</v>
      </c>
      <c r="F918" s="3">
        <f>STDEV($E$32:E918)</f>
        <v>1.2734259231065423E-2</v>
      </c>
      <c r="G918" s="14">
        <f t="shared" si="214"/>
        <v>1.4029782333304359</v>
      </c>
      <c r="H918" s="15">
        <f>yint($B$3:B918,$D$3:D918)</f>
        <v>3.6839964679793633E-4</v>
      </c>
      <c r="I918" s="16">
        <f>MyReg($B$3:B918,$D$3:D918)</f>
        <v>0.23375841310149076</v>
      </c>
      <c r="J918" s="17">
        <f>STDEV($D$3:D918)</f>
        <v>1.3014515572234963E-2</v>
      </c>
      <c r="K918" s="4">
        <f t="shared" si="212"/>
        <v>3.1734278549484405E-3</v>
      </c>
      <c r="L918">
        <f t="shared" si="215"/>
        <v>1.4029782333304359</v>
      </c>
      <c r="M918">
        <f>RSQ($D$3:D918,$B$3:B918)</f>
        <v>4.6139182068803707E-2</v>
      </c>
      <c r="N918">
        <v>886</v>
      </c>
      <c r="O918" t="str">
        <f t="shared" si="213"/>
        <v/>
      </c>
      <c r="P918" t="str">
        <f t="shared" si="217"/>
        <v/>
      </c>
      <c r="Q918">
        <f t="shared" si="218"/>
        <v>0</v>
      </c>
      <c r="R918">
        <f t="shared" si="219"/>
        <v>0</v>
      </c>
      <c r="S918">
        <f t="shared" si="220"/>
        <v>0</v>
      </c>
      <c r="T918">
        <f t="shared" si="221"/>
        <v>0</v>
      </c>
      <c r="U918">
        <f t="shared" si="216"/>
        <v>0</v>
      </c>
      <c r="V918">
        <f t="shared" si="222"/>
        <v>0</v>
      </c>
      <c r="W918">
        <f t="shared" si="226"/>
        <v>0</v>
      </c>
      <c r="X918">
        <f>SUM($W$34:W918)</f>
        <v>316.92387329999974</v>
      </c>
      <c r="Y918">
        <f t="shared" si="223"/>
        <v>0</v>
      </c>
    </row>
    <row r="919" spans="1:25">
      <c r="A919">
        <v>107.8462827</v>
      </c>
      <c r="B919" s="2">
        <f t="shared" si="224"/>
        <v>4.2933011686415237E-3</v>
      </c>
      <c r="C919">
        <v>133.29029030000001</v>
      </c>
      <c r="D919" s="3">
        <f t="shared" si="225"/>
        <v>-4.4812080291368071E-3</v>
      </c>
      <c r="E919" s="3">
        <f t="shared" si="211"/>
        <v>-5.8460535954930597E-3</v>
      </c>
      <c r="F919" s="3">
        <f>STDEV($E$32:E919)</f>
        <v>1.2728698873365545E-2</v>
      </c>
      <c r="G919" s="14">
        <f t="shared" si="214"/>
        <v>-0.45928131803995831</v>
      </c>
      <c r="H919" s="15">
        <f>yint($B$3:B919,$D$3:D919)</f>
        <v>3.6204511878641394E-4</v>
      </c>
      <c r="I919" s="16">
        <f>MyReg($B$3:B919,$D$3:D919)</f>
        <v>0.23357328269778524</v>
      </c>
      <c r="J919" s="17">
        <f>STDEV($D$3:D919)</f>
        <v>1.300840971223729E-2</v>
      </c>
      <c r="K919" s="4">
        <f t="shared" si="212"/>
        <v>1.3648455663562522E-3</v>
      </c>
      <c r="L919">
        <f t="shared" si="215"/>
        <v>-0.45928131803995831</v>
      </c>
      <c r="M919">
        <f>RSQ($D$3:D919,$B$3:B919)</f>
        <v>4.6065084120313002E-2</v>
      </c>
      <c r="N919">
        <v>887</v>
      </c>
      <c r="O919" t="str">
        <f t="shared" si="213"/>
        <v/>
      </c>
      <c r="P919" t="str">
        <f t="shared" si="217"/>
        <v/>
      </c>
      <c r="Q919">
        <f t="shared" si="218"/>
        <v>0</v>
      </c>
      <c r="R919">
        <f t="shared" si="219"/>
        <v>0</v>
      </c>
      <c r="S919">
        <f t="shared" si="220"/>
        <v>0</v>
      </c>
      <c r="T919">
        <f t="shared" si="221"/>
        <v>0</v>
      </c>
      <c r="U919">
        <f t="shared" si="216"/>
        <v>0</v>
      </c>
      <c r="V919">
        <f t="shared" si="222"/>
        <v>0</v>
      </c>
      <c r="W919">
        <f t="shared" si="226"/>
        <v>0</v>
      </c>
      <c r="X919">
        <f>SUM($W$34:W919)</f>
        <v>316.92387329999974</v>
      </c>
      <c r="Y919">
        <f t="shared" si="223"/>
        <v>0</v>
      </c>
    </row>
    <row r="920" spans="1:25">
      <c r="A920">
        <v>107.8751954</v>
      </c>
      <c r="B920" s="2">
        <f t="shared" si="224"/>
        <v>2.6809176242467041E-4</v>
      </c>
      <c r="C920">
        <v>133.51527809999999</v>
      </c>
      <c r="D920" s="3">
        <f t="shared" si="225"/>
        <v>1.6879534097614583E-3</v>
      </c>
      <c r="E920" s="3">
        <f t="shared" si="211"/>
        <v>1.261912959987991E-3</v>
      </c>
      <c r="F920" s="3">
        <f>STDEV($E$32:E920)</f>
        <v>1.2721579795510541E-2</v>
      </c>
      <c r="G920" s="14">
        <f t="shared" si="214"/>
        <v>9.9194673953412721E-2</v>
      </c>
      <c r="H920" s="15">
        <f>yint($B$3:B920,$D$3:D920)</f>
        <v>3.6342108118956327E-4</v>
      </c>
      <c r="I920" s="16">
        <f>MyReg($B$3:B920,$D$3:D920)</f>
        <v>0.23357438519394716</v>
      </c>
      <c r="J920" s="17">
        <f>STDEV($D$3:D920)</f>
        <v>1.3001384573908713E-2</v>
      </c>
      <c r="K920" s="4">
        <f t="shared" si="212"/>
        <v>4.2604044977346742E-4</v>
      </c>
      <c r="L920">
        <f t="shared" si="215"/>
        <v>9.9194673953412721E-2</v>
      </c>
      <c r="M920">
        <f>RSQ($D$3:D920,$B$3:B920)</f>
        <v>4.6065029579279937E-2</v>
      </c>
      <c r="N920">
        <v>888</v>
      </c>
      <c r="O920" t="str">
        <f t="shared" si="213"/>
        <v/>
      </c>
      <c r="P920" t="str">
        <f t="shared" si="217"/>
        <v/>
      </c>
      <c r="Q920">
        <f t="shared" si="218"/>
        <v>0</v>
      </c>
      <c r="R920">
        <f t="shared" si="219"/>
        <v>0</v>
      </c>
      <c r="S920">
        <f t="shared" si="220"/>
        <v>0</v>
      </c>
      <c r="T920">
        <f t="shared" si="221"/>
        <v>0</v>
      </c>
      <c r="U920">
        <f t="shared" si="216"/>
        <v>0</v>
      </c>
      <c r="V920">
        <f t="shared" si="222"/>
        <v>0</v>
      </c>
      <c r="W920">
        <f t="shared" si="226"/>
        <v>0</v>
      </c>
      <c r="X920">
        <f>SUM($W$34:W920)</f>
        <v>316.92387329999974</v>
      </c>
      <c r="Y920">
        <f t="shared" si="223"/>
        <v>0</v>
      </c>
    </row>
    <row r="921" spans="1:25">
      <c r="A921">
        <v>108.30192270000001</v>
      </c>
      <c r="B921" s="2">
        <f t="shared" si="224"/>
        <v>3.9557499610333056E-3</v>
      </c>
      <c r="C921">
        <v>133.50113619999999</v>
      </c>
      <c r="D921" s="3">
        <f t="shared" si="225"/>
        <v>-1.0591971346834567E-4</v>
      </c>
      <c r="E921" s="3">
        <f t="shared" si="211"/>
        <v>-1.391633027496829E-3</v>
      </c>
      <c r="F921" s="3">
        <f>STDEV($E$32:E921)</f>
        <v>1.2714534672309397E-2</v>
      </c>
      <c r="G921" s="14">
        <f t="shared" si="214"/>
        <v>-0.10945213988268283</v>
      </c>
      <c r="H921" s="15">
        <f>yint($B$3:B921,$D$3:D921)</f>
        <v>3.6191136137110564E-4</v>
      </c>
      <c r="I921" s="16">
        <f>MyReg($B$3:B921,$D$3:D921)</f>
        <v>0.23353395987042255</v>
      </c>
      <c r="J921" s="17">
        <f>STDEV($D$3:D921)</f>
        <v>1.299431196998725E-2</v>
      </c>
      <c r="K921" s="4">
        <f t="shared" si="212"/>
        <v>1.2857133140284833E-3</v>
      </c>
      <c r="L921">
        <f t="shared" si="215"/>
        <v>-0.10945213988268283</v>
      </c>
      <c r="M921">
        <f>RSQ($D$3:D921,$B$3:B921)</f>
        <v>4.6054090132966831E-2</v>
      </c>
      <c r="N921">
        <v>889</v>
      </c>
      <c r="O921" t="str">
        <f t="shared" si="213"/>
        <v/>
      </c>
      <c r="P921" t="str">
        <f t="shared" si="217"/>
        <v/>
      </c>
      <c r="Q921">
        <f t="shared" si="218"/>
        <v>0</v>
      </c>
      <c r="R921">
        <f t="shared" si="219"/>
        <v>0</v>
      </c>
      <c r="S921">
        <f t="shared" si="220"/>
        <v>0</v>
      </c>
      <c r="T921">
        <f t="shared" si="221"/>
        <v>0</v>
      </c>
      <c r="U921">
        <f t="shared" si="216"/>
        <v>0</v>
      </c>
      <c r="V921">
        <f t="shared" si="222"/>
        <v>0</v>
      </c>
      <c r="W921">
        <f t="shared" si="226"/>
        <v>0</v>
      </c>
      <c r="X921">
        <f>SUM($W$34:W921)</f>
        <v>316.92387329999974</v>
      </c>
      <c r="Y921">
        <f t="shared" si="223"/>
        <v>0</v>
      </c>
    </row>
    <row r="922" spans="1:25">
      <c r="A922">
        <v>107.88353050000001</v>
      </c>
      <c r="B922" s="2">
        <f t="shared" si="224"/>
        <v>-3.8632019595714853E-3</v>
      </c>
      <c r="C922">
        <v>134.80304709999999</v>
      </c>
      <c r="D922" s="3">
        <f t="shared" si="225"/>
        <v>9.7520585746145565E-3</v>
      </c>
      <c r="E922" s="3">
        <f t="shared" si="211"/>
        <v>1.0279880180172044E-2</v>
      </c>
      <c r="F922" s="3">
        <f>STDEV($E$32:E922)</f>
        <v>1.2711877693605909E-2</v>
      </c>
      <c r="G922" s="14">
        <f t="shared" si="214"/>
        <v>0.8086830622468022</v>
      </c>
      <c r="H922" s="15">
        <f>yint($B$3:B922,$D$3:D922)</f>
        <v>3.73147203594067E-4</v>
      </c>
      <c r="I922" s="16">
        <f>MyReg($B$3:B922,$D$3:D922)</f>
        <v>0.23321814872228203</v>
      </c>
      <c r="J922" s="17">
        <f>STDEV($D$3:D922)</f>
        <v>1.2990900638061803E-2</v>
      </c>
      <c r="K922" s="4">
        <f t="shared" si="212"/>
        <v>-5.2782160555748712E-4</v>
      </c>
      <c r="L922">
        <f t="shared" si="215"/>
        <v>0.8086830622468022</v>
      </c>
      <c r="M922">
        <f>RSQ($D$3:D922,$B$3:B922)</f>
        <v>4.5909400620663489E-2</v>
      </c>
      <c r="N922">
        <v>890</v>
      </c>
      <c r="O922" t="str">
        <f t="shared" si="213"/>
        <v/>
      </c>
      <c r="P922" t="str">
        <f t="shared" si="217"/>
        <v/>
      </c>
      <c r="Q922">
        <f t="shared" si="218"/>
        <v>0</v>
      </c>
      <c r="R922">
        <f t="shared" si="219"/>
        <v>0</v>
      </c>
      <c r="S922">
        <f t="shared" si="220"/>
        <v>0</v>
      </c>
      <c r="T922">
        <f t="shared" si="221"/>
        <v>0</v>
      </c>
      <c r="U922">
        <f t="shared" si="216"/>
        <v>0</v>
      </c>
      <c r="V922">
        <f t="shared" si="222"/>
        <v>0</v>
      </c>
      <c r="W922">
        <f t="shared" si="226"/>
        <v>0</v>
      </c>
      <c r="X922">
        <f>SUM($W$34:W922)</f>
        <v>316.92387329999974</v>
      </c>
      <c r="Y922">
        <f t="shared" si="223"/>
        <v>0</v>
      </c>
    </row>
    <row r="923" spans="1:25">
      <c r="A923">
        <v>107.63595119999999</v>
      </c>
      <c r="B923" s="2">
        <f t="shared" si="224"/>
        <v>-2.2948757688274982E-3</v>
      </c>
      <c r="C923">
        <v>134.32234410000001</v>
      </c>
      <c r="D923" s="3">
        <f t="shared" si="225"/>
        <v>-3.5659653868460447E-3</v>
      </c>
      <c r="E923" s="3">
        <f t="shared" si="211"/>
        <v>-3.4000544895007555E-3</v>
      </c>
      <c r="F923" s="3">
        <f>STDEV($E$32:E923)</f>
        <v>1.2705316921200634E-2</v>
      </c>
      <c r="G923" s="14">
        <f t="shared" si="214"/>
        <v>-0.26760879013000294</v>
      </c>
      <c r="H923" s="15">
        <f>yint($B$3:B923,$D$3:D923)</f>
        <v>3.6944172174629188E-4</v>
      </c>
      <c r="I923" s="16">
        <f>MyReg($B$3:B923,$D$3:D923)</f>
        <v>0.23328174290022871</v>
      </c>
      <c r="J923" s="17">
        <f>STDEV($D$3:D923)</f>
        <v>1.298449907619586E-2</v>
      </c>
      <c r="K923" s="4">
        <f t="shared" si="212"/>
        <v>-1.6591089734528929E-4</v>
      </c>
      <c r="L923">
        <f t="shared" si="215"/>
        <v>-0.26760879013000294</v>
      </c>
      <c r="M923">
        <f>RSQ($D$3:D923,$B$3:B923)</f>
        <v>4.5931868413591183E-2</v>
      </c>
      <c r="N923">
        <v>891</v>
      </c>
      <c r="O923" t="str">
        <f t="shared" si="213"/>
        <v/>
      </c>
      <c r="P923" t="str">
        <f t="shared" si="217"/>
        <v/>
      </c>
      <c r="Q923">
        <f t="shared" si="218"/>
        <v>0</v>
      </c>
      <c r="R923">
        <f t="shared" si="219"/>
        <v>0</v>
      </c>
      <c r="S923">
        <f t="shared" si="220"/>
        <v>0</v>
      </c>
      <c r="T923">
        <f t="shared" si="221"/>
        <v>0</v>
      </c>
      <c r="U923">
        <f t="shared" si="216"/>
        <v>0</v>
      </c>
      <c r="V923">
        <f t="shared" si="222"/>
        <v>0</v>
      </c>
      <c r="W923">
        <f t="shared" si="226"/>
        <v>0</v>
      </c>
      <c r="X923">
        <f>SUM($W$34:W923)</f>
        <v>316.92387329999974</v>
      </c>
      <c r="Y923">
        <f t="shared" si="223"/>
        <v>0</v>
      </c>
    </row>
    <row r="924" spans="1:25">
      <c r="A924">
        <v>105.9268131</v>
      </c>
      <c r="B924" s="2">
        <f t="shared" si="224"/>
        <v>-1.587887765142907E-2</v>
      </c>
      <c r="C924">
        <v>133.1735726</v>
      </c>
      <c r="D924" s="3">
        <f t="shared" si="225"/>
        <v>-8.552348514293158E-3</v>
      </c>
      <c r="E924" s="3">
        <f t="shared" si="211"/>
        <v>-5.2016804413411288E-3</v>
      </c>
      <c r="F924" s="3">
        <f>STDEV($E$32:E924)</f>
        <v>1.2699482056289639E-2</v>
      </c>
      <c r="G924" s="14">
        <f t="shared" si="214"/>
        <v>-0.40959784172968738</v>
      </c>
      <c r="H924" s="15">
        <f>yint($B$3:B924,$D$3:D924)</f>
        <v>3.6369769930506704E-4</v>
      </c>
      <c r="I924" s="16">
        <f>MyReg($B$3:B924,$D$3:D924)</f>
        <v>0.23391865935328304</v>
      </c>
      <c r="J924" s="17">
        <f>STDEV($D$3:D924)</f>
        <v>1.2980800153477585E-2</v>
      </c>
      <c r="K924" s="4">
        <f t="shared" si="212"/>
        <v>-3.3506680729520288E-3</v>
      </c>
      <c r="L924">
        <f t="shared" si="215"/>
        <v>-0.40959784172968738</v>
      </c>
      <c r="M924">
        <f>RSQ($D$3:D924,$B$3:B924)</f>
        <v>4.6249673486588337E-2</v>
      </c>
      <c r="N924">
        <v>892</v>
      </c>
      <c r="O924" t="str">
        <f t="shared" si="213"/>
        <v/>
      </c>
      <c r="P924" t="str">
        <f t="shared" si="217"/>
        <v/>
      </c>
      <c r="Q924">
        <f t="shared" si="218"/>
        <v>0</v>
      </c>
      <c r="R924">
        <f t="shared" si="219"/>
        <v>0</v>
      </c>
      <c r="S924">
        <f t="shared" si="220"/>
        <v>0</v>
      </c>
      <c r="T924">
        <f t="shared" si="221"/>
        <v>0</v>
      </c>
      <c r="U924">
        <f t="shared" si="216"/>
        <v>0</v>
      </c>
      <c r="V924">
        <f t="shared" si="222"/>
        <v>0</v>
      </c>
      <c r="W924">
        <f t="shared" si="226"/>
        <v>0</v>
      </c>
      <c r="X924">
        <f>SUM($W$34:W924)</f>
        <v>316.92387329999974</v>
      </c>
      <c r="Y924">
        <f t="shared" si="223"/>
        <v>0</v>
      </c>
    </row>
    <row r="925" spans="1:25">
      <c r="A925">
        <v>104.8464692</v>
      </c>
      <c r="B925" s="2">
        <f t="shared" si="224"/>
        <v>-1.0198965383581454E-2</v>
      </c>
      <c r="C925">
        <v>130.1200465</v>
      </c>
      <c r="D925" s="3">
        <f t="shared" si="225"/>
        <v>-2.2928919307222965E-2</v>
      </c>
      <c r="E925" s="3">
        <f t="shared" si="211"/>
        <v>-2.0867272083749906E-2</v>
      </c>
      <c r="F925" s="3">
        <f>STDEV($E$32:E925)</f>
        <v>1.2711909898703315E-2</v>
      </c>
      <c r="G925" s="14">
        <f t="shared" si="214"/>
        <v>-1.6415528626330558</v>
      </c>
      <c r="H925" s="15">
        <f>yint($B$3:B925,$D$3:D925)</f>
        <v>3.4084549166021189E-4</v>
      </c>
      <c r="I925" s="16">
        <f>MyReg($B$3:B925,$D$3:D925)</f>
        <v>0.23556239527990383</v>
      </c>
      <c r="J925" s="17">
        <f>STDEV($D$3:D925)</f>
        <v>1.299645343614377E-2</v>
      </c>
      <c r="K925" s="4">
        <f t="shared" si="212"/>
        <v>-2.0616472234730584E-3</v>
      </c>
      <c r="L925">
        <f t="shared" si="215"/>
        <v>-1.6415528626330558</v>
      </c>
      <c r="M925">
        <f>RSQ($D$3:D925,$B$3:B925)</f>
        <v>4.6776286075149755E-2</v>
      </c>
      <c r="N925">
        <v>893</v>
      </c>
      <c r="O925" t="str">
        <f t="shared" si="213"/>
        <v>buyY</v>
      </c>
      <c r="P925" t="str">
        <f t="shared" si="217"/>
        <v/>
      </c>
      <c r="Q925">
        <f t="shared" si="218"/>
        <v>-10</v>
      </c>
      <c r="R925">
        <f t="shared" si="219"/>
        <v>0</v>
      </c>
      <c r="S925">
        <f t="shared" si="220"/>
        <v>10</v>
      </c>
      <c r="T925">
        <f t="shared" si="221"/>
        <v>0</v>
      </c>
      <c r="U925">
        <f t="shared" si="216"/>
        <v>20</v>
      </c>
      <c r="V925">
        <f t="shared" si="222"/>
        <v>-10</v>
      </c>
      <c r="W925">
        <f t="shared" si="226"/>
        <v>-252.73577299999999</v>
      </c>
      <c r="X925">
        <f>SUM($W$34:W925)</f>
        <v>64.188100299999746</v>
      </c>
      <c r="Y925">
        <f t="shared" si="223"/>
        <v>0</v>
      </c>
    </row>
    <row r="926" spans="1:25">
      <c r="A926">
        <v>107.258866</v>
      </c>
      <c r="B926" s="2">
        <f t="shared" si="224"/>
        <v>2.3008851117324952E-2</v>
      </c>
      <c r="C926">
        <v>129.12972769999999</v>
      </c>
      <c r="D926" s="3">
        <f t="shared" si="225"/>
        <v>-7.6108088387442391E-3</v>
      </c>
      <c r="E926" s="3">
        <f t="shared" si="211"/>
        <v>-1.3304177949270156E-2</v>
      </c>
      <c r="F926" s="3">
        <f>STDEV($E$32:E926)</f>
        <v>1.2712785671152372E-2</v>
      </c>
      <c r="G926" s="14">
        <f t="shared" si="214"/>
        <v>-1.0465194878145205</v>
      </c>
      <c r="H926" s="15">
        <f>yint($B$3:B926,$D$3:D926)</f>
        <v>3.2671531954701509E-4</v>
      </c>
      <c r="I926" s="16">
        <f>MyReg($B$3:B926,$D$3:D926)</f>
        <v>0.23324301433451314</v>
      </c>
      <c r="J926" s="17">
        <f>STDEV($D$3:D926)</f>
        <v>1.299206410876032E-2</v>
      </c>
      <c r="K926" s="4">
        <f t="shared" si="212"/>
        <v>5.6933691105259168E-3</v>
      </c>
      <c r="L926">
        <f t="shared" si="215"/>
        <v>-1.0465194878145205</v>
      </c>
      <c r="M926">
        <f>RSQ($D$3:D926,$B$3:B926)</f>
        <v>4.6023665315355476E-2</v>
      </c>
      <c r="N926">
        <v>894</v>
      </c>
      <c r="O926" t="str">
        <f t="shared" si="213"/>
        <v/>
      </c>
      <c r="P926" t="str">
        <f t="shared" si="217"/>
        <v>buyhold</v>
      </c>
      <c r="Q926">
        <f t="shared" si="218"/>
        <v>-10</v>
      </c>
      <c r="R926">
        <f t="shared" si="219"/>
        <v>0</v>
      </c>
      <c r="S926">
        <f t="shared" si="220"/>
        <v>10</v>
      </c>
      <c r="T926">
        <f t="shared" si="221"/>
        <v>0</v>
      </c>
      <c r="U926">
        <f t="shared" si="216"/>
        <v>20</v>
      </c>
      <c r="V926">
        <f t="shared" si="222"/>
        <v>0</v>
      </c>
      <c r="W926">
        <f t="shared" si="226"/>
        <v>0</v>
      </c>
      <c r="X926">
        <f>SUM($W$34:W926)</f>
        <v>64.188100299999746</v>
      </c>
      <c r="Y926">
        <f t="shared" si="223"/>
        <v>0</v>
      </c>
    </row>
    <row r="927" spans="1:25">
      <c r="A927">
        <v>106.69205650000001</v>
      </c>
      <c r="B927" s="2">
        <f t="shared" si="224"/>
        <v>-5.2845002109195415E-3</v>
      </c>
      <c r="C927">
        <v>127.98263</v>
      </c>
      <c r="D927" s="3">
        <f t="shared" si="225"/>
        <v>-8.8832968242988815E-3</v>
      </c>
      <c r="E927" s="3">
        <f t="shared" si="211"/>
        <v>-7.9670336861047963E-3</v>
      </c>
      <c r="F927" s="3">
        <f>STDEV($E$32:E927)</f>
        <v>1.2708582422173502E-2</v>
      </c>
      <c r="G927" s="14">
        <f t="shared" si="214"/>
        <v>-0.62690183857203352</v>
      </c>
      <c r="H927" s="15">
        <f>yint($B$3:B927,$D$3:D927)</f>
        <v>3.1804466957994853E-4</v>
      </c>
      <c r="I927" s="16">
        <f>MyReg($B$3:B927,$D$3:D927)</f>
        <v>0.2335713423236396</v>
      </c>
      <c r="J927" s="17">
        <f>STDEV($D$3:D927)</f>
        <v>1.2988588814868456E-2</v>
      </c>
      <c r="K927" s="4">
        <f t="shared" si="212"/>
        <v>-9.1626313819408536E-4</v>
      </c>
      <c r="L927">
        <f t="shared" si="215"/>
        <v>-0.62690183857203352</v>
      </c>
      <c r="M927">
        <f>RSQ($D$3:D927,$B$3:B927)</f>
        <v>4.6138367730763963E-2</v>
      </c>
      <c r="N927">
        <v>895</v>
      </c>
      <c r="O927" t="str">
        <f t="shared" si="213"/>
        <v/>
      </c>
      <c r="P927" t="str">
        <f t="shared" si="217"/>
        <v>buyhold</v>
      </c>
      <c r="Q927">
        <f t="shared" si="218"/>
        <v>-10</v>
      </c>
      <c r="R927">
        <f t="shared" si="219"/>
        <v>0</v>
      </c>
      <c r="S927">
        <f t="shared" si="220"/>
        <v>10</v>
      </c>
      <c r="T927">
        <f t="shared" si="221"/>
        <v>0</v>
      </c>
      <c r="U927">
        <f t="shared" si="216"/>
        <v>20</v>
      </c>
      <c r="V927">
        <f t="shared" si="222"/>
        <v>0</v>
      </c>
      <c r="W927">
        <f t="shared" si="226"/>
        <v>0</v>
      </c>
      <c r="X927">
        <f>SUM($W$34:W927)</f>
        <v>64.188100299999746</v>
      </c>
      <c r="Y927">
        <f t="shared" si="223"/>
        <v>0</v>
      </c>
    </row>
    <row r="928" spans="1:25">
      <c r="A928">
        <v>109.7466836</v>
      </c>
      <c r="B928" s="2">
        <f t="shared" si="224"/>
        <v>2.863031419775839E-2</v>
      </c>
      <c r="C928">
        <v>129.1325823</v>
      </c>
      <c r="D928" s="3">
        <f t="shared" si="225"/>
        <v>8.985221666408914E-3</v>
      </c>
      <c r="E928" s="3">
        <f t="shared" si="211"/>
        <v>1.9657288981353317E-3</v>
      </c>
      <c r="F928" s="3">
        <f>STDEV($E$32:E928)</f>
        <v>1.2701633066279529E-2</v>
      </c>
      <c r="G928" s="14">
        <f t="shared" si="214"/>
        <v>0.15476190249535518</v>
      </c>
      <c r="H928" s="15">
        <f>yint($B$3:B928,$D$3:D928)</f>
        <v>3.2010976003057185E-4</v>
      </c>
      <c r="I928" s="16">
        <f>MyReg($B$3:B928,$D$3:D928)</f>
        <v>0.23399613996438565</v>
      </c>
      <c r="J928" s="17">
        <f>STDEV($D$3:D928)</f>
        <v>1.2984666485941073E-2</v>
      </c>
      <c r="K928" s="4">
        <f t="shared" si="212"/>
        <v>7.0194927682735823E-3</v>
      </c>
      <c r="L928">
        <f t="shared" si="215"/>
        <v>0.15476190249535518</v>
      </c>
      <c r="M928">
        <f>RSQ($D$3:D928,$B$3:B928)</f>
        <v>4.6568876080499852E-2</v>
      </c>
      <c r="N928">
        <v>896</v>
      </c>
      <c r="O928" t="str">
        <f t="shared" si="213"/>
        <v/>
      </c>
      <c r="P928" t="str">
        <f t="shared" si="217"/>
        <v>close</v>
      </c>
      <c r="Q928">
        <f t="shared" si="218"/>
        <v>0</v>
      </c>
      <c r="R928">
        <f t="shared" si="219"/>
        <v>0</v>
      </c>
      <c r="S928">
        <f t="shared" si="220"/>
        <v>0</v>
      </c>
      <c r="T928">
        <f t="shared" si="221"/>
        <v>0</v>
      </c>
      <c r="U928">
        <f t="shared" si="216"/>
        <v>0</v>
      </c>
      <c r="V928">
        <f t="shared" si="222"/>
        <v>10</v>
      </c>
      <c r="W928">
        <f t="shared" si="226"/>
        <v>193.85898699999998</v>
      </c>
      <c r="X928">
        <f>SUM($W$34:W928)</f>
        <v>258.0470872999997</v>
      </c>
      <c r="Y928">
        <f t="shared" si="223"/>
        <v>258.0470872999997</v>
      </c>
    </row>
    <row r="929" spans="1:25">
      <c r="A929">
        <v>107.6837256</v>
      </c>
      <c r="B929" s="2">
        <f t="shared" si="224"/>
        <v>-1.8797451843911527E-2</v>
      </c>
      <c r="C929">
        <v>128.36518860000001</v>
      </c>
      <c r="D929" s="3">
        <f t="shared" si="225"/>
        <v>-5.9426806645683046E-3</v>
      </c>
      <c r="E929" s="3">
        <f t="shared" ref="E929:E992" si="227">D929-K929</f>
        <v>-1.8572152171908093E-3</v>
      </c>
      <c r="F929" s="3">
        <f>STDEV($E$32:E929)</f>
        <v>1.2694728336312256E-2</v>
      </c>
      <c r="G929" s="14">
        <f t="shared" si="214"/>
        <v>-0.1462981458121001</v>
      </c>
      <c r="H929" s="15">
        <f>yint($B$3:B929,$D$3:D929)</f>
        <v>3.1805842776562839E-4</v>
      </c>
      <c r="I929" s="16">
        <f>MyReg($B$3:B929,$D$3:D929)</f>
        <v>0.23426174524657284</v>
      </c>
      <c r="J929" s="17">
        <f>STDEV($D$3:D929)</f>
        <v>1.2979304513567685E-2</v>
      </c>
      <c r="K929" s="4">
        <f t="shared" ref="K929:K992" si="228">H929+B929*I929</f>
        <v>-4.0854654473774952E-3</v>
      </c>
      <c r="L929">
        <f t="shared" si="215"/>
        <v>-0.1462981458121001</v>
      </c>
      <c r="M929">
        <f>RSQ($D$3:D929,$B$3:B929)</f>
        <v>4.678923515185527E-2</v>
      </c>
      <c r="N929">
        <v>897</v>
      </c>
      <c r="O929" t="str">
        <f t="shared" ref="O929:O992" si="229">IF(L929&gt;1.5,"sellY",IF(L929&lt;-1.5,"buyY",""))</f>
        <v/>
      </c>
      <c r="P929" t="str">
        <f t="shared" si="217"/>
        <v/>
      </c>
      <c r="Q929">
        <f t="shared" si="218"/>
        <v>0</v>
      </c>
      <c r="R929">
        <f t="shared" si="219"/>
        <v>0</v>
      </c>
      <c r="S929">
        <f t="shared" si="220"/>
        <v>0</v>
      </c>
      <c r="T929">
        <f t="shared" si="221"/>
        <v>0</v>
      </c>
      <c r="U929">
        <f t="shared" si="216"/>
        <v>0</v>
      </c>
      <c r="V929">
        <f t="shared" si="222"/>
        <v>0</v>
      </c>
      <c r="W929">
        <f t="shared" si="226"/>
        <v>0</v>
      </c>
      <c r="X929">
        <f>SUM($W$34:W929)</f>
        <v>258.0470872999997</v>
      </c>
      <c r="Y929">
        <f t="shared" si="223"/>
        <v>0</v>
      </c>
    </row>
    <row r="930" spans="1:25">
      <c r="A930">
        <v>107.879431</v>
      </c>
      <c r="B930" s="2">
        <f t="shared" si="224"/>
        <v>1.8174092594730419E-3</v>
      </c>
      <c r="C930">
        <v>129.15998970000001</v>
      </c>
      <c r="D930" s="3">
        <f t="shared" si="225"/>
        <v>6.1917183986437948E-3</v>
      </c>
      <c r="E930" s="3">
        <f t="shared" si="227"/>
        <v>5.4419264954306684E-3</v>
      </c>
      <c r="F930" s="3">
        <f>STDEV($E$32:E930)</f>
        <v>1.2688885038650058E-2</v>
      </c>
      <c r="G930" s="14">
        <f t="shared" ref="G930:G993" si="230">E930/F930</f>
        <v>0.42887349667482078</v>
      </c>
      <c r="H930" s="15">
        <f>yint($B$3:B930,$D$3:D930)</f>
        <v>3.2391856593629877E-4</v>
      </c>
      <c r="I930" s="16">
        <f>MyReg($B$3:B930,$D$3:D930)</f>
        <v>0.23432990398668341</v>
      </c>
      <c r="J930" s="17">
        <f>STDEV($D$3:D930)</f>
        <v>1.2973717490625066E-2</v>
      </c>
      <c r="K930" s="4">
        <f t="shared" si="228"/>
        <v>7.4979190321312612E-4</v>
      </c>
      <c r="L930">
        <f t="shared" ref="L930:L993" si="231">(D930-K930)/F930</f>
        <v>0.42887349667482078</v>
      </c>
      <c r="M930">
        <f>RSQ($D$3:D930,$B$3:B930)</f>
        <v>4.6807225604513829E-2</v>
      </c>
      <c r="N930">
        <v>898</v>
      </c>
      <c r="O930" t="str">
        <f t="shared" si="229"/>
        <v/>
      </c>
      <c r="P930" t="str">
        <f t="shared" si="217"/>
        <v/>
      </c>
      <c r="Q930">
        <f t="shared" si="218"/>
        <v>0</v>
      </c>
      <c r="R930">
        <f t="shared" si="219"/>
        <v>0</v>
      </c>
      <c r="S930">
        <f t="shared" si="220"/>
        <v>0</v>
      </c>
      <c r="T930">
        <f t="shared" si="221"/>
        <v>0</v>
      </c>
      <c r="U930">
        <f t="shared" ref="U930:U993" si="232">ABS(Q930)+ABS(S930)</f>
        <v>0</v>
      </c>
      <c r="V930">
        <f t="shared" si="222"/>
        <v>0</v>
      </c>
      <c r="W930">
        <f t="shared" si="226"/>
        <v>0</v>
      </c>
      <c r="X930">
        <f>SUM($W$34:W930)</f>
        <v>258.0470872999997</v>
      </c>
      <c r="Y930">
        <f t="shared" si="223"/>
        <v>0</v>
      </c>
    </row>
    <row r="931" spans="1:25">
      <c r="A931">
        <v>105.91970070000001</v>
      </c>
      <c r="B931" s="2">
        <f t="shared" si="224"/>
        <v>-1.8165931001248883E-2</v>
      </c>
      <c r="C931">
        <v>128.66540760000001</v>
      </c>
      <c r="D931" s="3">
        <f t="shared" si="225"/>
        <v>-3.8292206522218568E-3</v>
      </c>
      <c r="E931" s="3">
        <f t="shared" si="227"/>
        <v>1.0330965255228152E-4</v>
      </c>
      <c r="F931" s="3">
        <f>STDEV($E$32:E931)</f>
        <v>1.2681825979554541E-2</v>
      </c>
      <c r="G931" s="14">
        <f t="shared" si="230"/>
        <v>8.1462758374729223E-3</v>
      </c>
      <c r="H931" s="15">
        <f>yint($B$3:B931,$D$3:D931)</f>
        <v>3.2403207366599391E-4</v>
      </c>
      <c r="I931" s="16">
        <f>MyReg($B$3:B931,$D$3:D931)</f>
        <v>0.23431567466305464</v>
      </c>
      <c r="J931" s="17">
        <f>STDEV($D$3:D931)</f>
        <v>1.2967453823290859E-2</v>
      </c>
      <c r="K931" s="4">
        <f t="shared" si="228"/>
        <v>-3.9325303047741383E-3</v>
      </c>
      <c r="L931">
        <f t="shared" si="231"/>
        <v>8.1462758374729223E-3</v>
      </c>
      <c r="M931">
        <f>RSQ($D$3:D931,$B$3:B931)</f>
        <v>4.6914233343551659E-2</v>
      </c>
      <c r="N931">
        <v>899</v>
      </c>
      <c r="O931" t="str">
        <f t="shared" si="229"/>
        <v/>
      </c>
      <c r="P931" t="str">
        <f t="shared" ref="P931:P994" si="233">IF(AND(OR(O930="sellY",P930="sellhold"),L931&gt;0.5),"sellhold",IF(AND(OR(O930="sellY",P930="sellhold"),L931&lt;0.5,O931&lt;&gt;"buyY"),"close",IF(AND(OR(O930="sellY",P930="sellhold"),L931&lt;0.5,O931="buyY"),"close&amp;buy",IF(AND(OR(O930="buyY",P930="buyhold"),L931&lt;-0.5),"buyhold",IF(AND(OR(O930="buyY",P930="buyhold"),L931&gt;-0.5,O931&lt;&gt;"sellY"),"close",IF(AND(OR(O930="buyY",P930="buyhold"),L931&gt;-0.5,O931="sellY"),"close&amp;sell",""))))))</f>
        <v/>
      </c>
      <c r="Q931">
        <f t="shared" ref="Q931:Q994" si="234">IF(O931="sellY",MAX(10+R931,Q930),IF(O931="buyY",MIN(-10+R931,Q930),IF(P931="sellhold",Q930+R931,IF(P931="buyhold",Q930+R931,0))))</f>
        <v>0</v>
      </c>
      <c r="R931">
        <f t="shared" ref="R931:R994" si="235">IF(AND(L931&gt;2.5,Q930&lt;15),10,IF(AND(L931&gt;2,Q930&lt;15),5,IF(AND(L931&lt;-2.5,Q930&gt;-15),-10,IF(AND(L931&lt;-2,Q930&gt;-15),-5,0))))</f>
        <v>0</v>
      </c>
      <c r="S931">
        <f t="shared" ref="S931:S994" si="236">IF(O931="sellY",MIN(-10+T931,S930),IF(O931="buyY",MAX(10+T931,S930),IF(P931="sellhold",S930+T931,IF(P931="buyhold",S930+T931,0))))</f>
        <v>0</v>
      </c>
      <c r="T931">
        <f t="shared" ref="T931:T994" si="237">IF(AND(L931&gt;2.5,Q930&lt;15),-10,IF(AND(L931&gt;2,Q930&lt;15),-5,IF(AND(L931&lt;-2.5,Q930&gt;-15),10,IF(AND(L931&lt;-2,Q930&gt;-15),5,0))))</f>
        <v>0</v>
      </c>
      <c r="U931">
        <f t="shared" si="232"/>
        <v>0</v>
      </c>
      <c r="V931">
        <f t="shared" ref="V931:V994" si="238">Q931-Q930</f>
        <v>0</v>
      </c>
      <c r="W931">
        <f t="shared" si="226"/>
        <v>0</v>
      </c>
      <c r="X931">
        <f>SUM($W$34:W931)</f>
        <v>258.0470872999997</v>
      </c>
      <c r="Y931">
        <f t="shared" si="223"/>
        <v>0</v>
      </c>
    </row>
    <row r="932" spans="1:25">
      <c r="A932">
        <v>105.46411740000001</v>
      </c>
      <c r="B932" s="2">
        <f t="shared" si="224"/>
        <v>-4.3012140044689593E-3</v>
      </c>
      <c r="C932">
        <v>126.3707836</v>
      </c>
      <c r="D932" s="3">
        <f t="shared" si="225"/>
        <v>-1.7834039799832047E-2</v>
      </c>
      <c r="E932" s="3">
        <f t="shared" si="227"/>
        <v>-1.7129264974575596E-2</v>
      </c>
      <c r="F932" s="3">
        <f>STDEV($E$32:E932)</f>
        <v>1.2687854776471155E-2</v>
      </c>
      <c r="G932" s="14">
        <f t="shared" si="230"/>
        <v>-1.3500520991413585</v>
      </c>
      <c r="H932" s="15">
        <f>yint($B$3:B932,$D$3:D932)</f>
        <v>3.0551752656248073E-4</v>
      </c>
      <c r="I932" s="16">
        <f>MyReg($B$3:B932,$D$3:D932)</f>
        <v>0.23488539532542227</v>
      </c>
      <c r="J932" s="17">
        <f>STDEV($D$3:D932)</f>
        <v>1.2974190124419057E-2</v>
      </c>
      <c r="K932" s="4">
        <f t="shared" si="228"/>
        <v>-7.0477482525645337E-4</v>
      </c>
      <c r="L932">
        <f t="shared" si="231"/>
        <v>-1.3500520991413585</v>
      </c>
      <c r="M932">
        <f>RSQ($D$3:D932,$B$3:B932)</f>
        <v>4.704994518690328E-2</v>
      </c>
      <c r="N932">
        <v>900</v>
      </c>
      <c r="O932" t="str">
        <f t="shared" si="229"/>
        <v/>
      </c>
      <c r="P932" t="str">
        <f t="shared" si="233"/>
        <v/>
      </c>
      <c r="Q932">
        <f t="shared" si="234"/>
        <v>0</v>
      </c>
      <c r="R932">
        <f t="shared" si="235"/>
        <v>0</v>
      </c>
      <c r="S932">
        <f t="shared" si="236"/>
        <v>0</v>
      </c>
      <c r="T932">
        <f t="shared" si="237"/>
        <v>0</v>
      </c>
      <c r="U932">
        <f t="shared" si="232"/>
        <v>0</v>
      </c>
      <c r="V932">
        <f t="shared" si="238"/>
        <v>0</v>
      </c>
      <c r="W932">
        <f t="shared" si="226"/>
        <v>0</v>
      </c>
      <c r="X932">
        <f>SUM($W$34:W932)</f>
        <v>258.0470872999997</v>
      </c>
      <c r="Y932">
        <f t="shared" ref="Y932:Y995" si="239">IF(P932="close",X932,0)</f>
        <v>0</v>
      </c>
    </row>
    <row r="933" spans="1:25">
      <c r="A933">
        <v>105.58224939999999</v>
      </c>
      <c r="B933" s="2">
        <f t="shared" si="224"/>
        <v>1.1201155702270029E-3</v>
      </c>
      <c r="C933">
        <v>125.46629950000001</v>
      </c>
      <c r="D933" s="3">
        <f t="shared" si="225"/>
        <v>-7.1573830139642393E-3</v>
      </c>
      <c r="E933" s="3">
        <f t="shared" si="227"/>
        <v>-7.7176439289139941E-3</v>
      </c>
      <c r="F933" s="3">
        <f>STDEV($E$32:E933)</f>
        <v>1.2683509021519015E-2</v>
      </c>
      <c r="G933" s="14">
        <f t="shared" si="230"/>
        <v>-0.60847860917827501</v>
      </c>
      <c r="H933" s="15">
        <f>yint($B$3:B933,$D$3:D933)</f>
        <v>2.9722637897964936E-4</v>
      </c>
      <c r="I933" s="16">
        <f>MyReg($B$3:B933,$D$3:D933)</f>
        <v>0.2348280328937829</v>
      </c>
      <c r="J933" s="17">
        <f>STDEV($D$3:D933)</f>
        <v>1.2969538112445837E-2</v>
      </c>
      <c r="K933" s="4">
        <f t="shared" si="228"/>
        <v>5.6026091494975434E-4</v>
      </c>
      <c r="L933">
        <f t="shared" si="231"/>
        <v>-0.60847860917827501</v>
      </c>
      <c r="M933">
        <f>RSQ($D$3:D933,$B$3:B933)</f>
        <v>4.7010452509734506E-2</v>
      </c>
      <c r="N933">
        <v>901</v>
      </c>
      <c r="O933" t="str">
        <f t="shared" si="229"/>
        <v/>
      </c>
      <c r="P933" t="str">
        <f t="shared" si="233"/>
        <v/>
      </c>
      <c r="Q933">
        <f t="shared" si="234"/>
        <v>0</v>
      </c>
      <c r="R933">
        <f t="shared" si="235"/>
        <v>0</v>
      </c>
      <c r="S933">
        <f t="shared" si="236"/>
        <v>0</v>
      </c>
      <c r="T933">
        <f t="shared" si="237"/>
        <v>0</v>
      </c>
      <c r="U933">
        <f t="shared" si="232"/>
        <v>0</v>
      </c>
      <c r="V933">
        <f t="shared" si="238"/>
        <v>0</v>
      </c>
      <c r="W933">
        <f t="shared" si="226"/>
        <v>0</v>
      </c>
      <c r="X933">
        <f>SUM($W$34:W933)</f>
        <v>258.0470872999997</v>
      </c>
      <c r="Y933">
        <f t="shared" si="239"/>
        <v>0</v>
      </c>
    </row>
    <row r="934" spans="1:25">
      <c r="A934">
        <v>107.7483701</v>
      </c>
      <c r="B934" s="2">
        <f t="shared" si="224"/>
        <v>2.0515955213206583E-2</v>
      </c>
      <c r="C934">
        <v>125.1935234</v>
      </c>
      <c r="D934" s="3">
        <f t="shared" si="225"/>
        <v>-2.1740985514600397E-3</v>
      </c>
      <c r="E934" s="3">
        <f t="shared" si="227"/>
        <v>-7.2586297948202053E-3</v>
      </c>
      <c r="F934" s="3">
        <f>STDEV($E$32:E934)</f>
        <v>1.2678860063097786E-2</v>
      </c>
      <c r="G934" s="14">
        <f t="shared" si="230"/>
        <v>-0.57249861254851075</v>
      </c>
      <c r="H934" s="15">
        <f>yint($B$3:B934,$D$3:D934)</f>
        <v>2.8957399575743072E-4</v>
      </c>
      <c r="I934" s="16">
        <f>MyReg($B$3:B934,$D$3:D934)</f>
        <v>0.23371844975154321</v>
      </c>
      <c r="J934" s="17">
        <f>STDEV($D$3:D934)</f>
        <v>1.2962829908313059E-2</v>
      </c>
      <c r="K934" s="4">
        <f t="shared" si="228"/>
        <v>5.0845312433601651E-3</v>
      </c>
      <c r="L934">
        <f t="shared" si="231"/>
        <v>-0.57249861254851075</v>
      </c>
      <c r="M934">
        <f>RSQ($D$3:D934,$B$3:B934)</f>
        <v>4.6710339085601869E-2</v>
      </c>
      <c r="N934">
        <v>902</v>
      </c>
      <c r="O934" t="str">
        <f t="shared" si="229"/>
        <v/>
      </c>
      <c r="P934" t="str">
        <f t="shared" si="233"/>
        <v/>
      </c>
      <c r="Q934">
        <f t="shared" si="234"/>
        <v>0</v>
      </c>
      <c r="R934">
        <f t="shared" si="235"/>
        <v>0</v>
      </c>
      <c r="S934">
        <f t="shared" si="236"/>
        <v>0</v>
      </c>
      <c r="T934">
        <f t="shared" si="237"/>
        <v>0</v>
      </c>
      <c r="U934">
        <f t="shared" si="232"/>
        <v>0</v>
      </c>
      <c r="V934">
        <f t="shared" si="238"/>
        <v>0</v>
      </c>
      <c r="W934">
        <f t="shared" si="226"/>
        <v>0</v>
      </c>
      <c r="X934">
        <f>SUM($W$34:W934)</f>
        <v>258.0470872999997</v>
      </c>
      <c r="Y934">
        <f t="shared" si="239"/>
        <v>0</v>
      </c>
    </row>
    <row r="935" spans="1:25">
      <c r="A935">
        <v>107.8096894</v>
      </c>
      <c r="B935" s="2">
        <f t="shared" si="224"/>
        <v>5.6909723964347798E-4</v>
      </c>
      <c r="C935">
        <v>125.3070826</v>
      </c>
      <c r="D935" s="3">
        <f t="shared" si="225"/>
        <v>9.0706928694042502E-4</v>
      </c>
      <c r="E935" s="3">
        <f t="shared" si="227"/>
        <v>4.8396685897333241E-4</v>
      </c>
      <c r="F935" s="3">
        <f>STDEV($E$32:E935)</f>
        <v>1.267184346212266E-2</v>
      </c>
      <c r="G935" s="14">
        <f t="shared" si="230"/>
        <v>3.8192300940266127E-2</v>
      </c>
      <c r="H935" s="15">
        <f>yint($B$3:B935,$D$3:D935)</f>
        <v>2.9009304429287596E-4</v>
      </c>
      <c r="I935" s="16">
        <f>MyReg($B$3:B935,$D$3:D935)</f>
        <v>0.23371995927715791</v>
      </c>
      <c r="J935" s="17">
        <f>STDEV($D$3:D935)</f>
        <v>1.295588774527009E-2</v>
      </c>
      <c r="K935" s="4">
        <f t="shared" si="228"/>
        <v>4.2310242796709261E-4</v>
      </c>
      <c r="L935">
        <f t="shared" si="231"/>
        <v>3.8192300940266127E-2</v>
      </c>
      <c r="M935">
        <f>RSQ($D$3:D935,$B$3:B935)</f>
        <v>4.6710902161475207E-2</v>
      </c>
      <c r="N935">
        <v>903</v>
      </c>
      <c r="O935" t="str">
        <f t="shared" si="229"/>
        <v/>
      </c>
      <c r="P935" t="str">
        <f t="shared" si="233"/>
        <v/>
      </c>
      <c r="Q935">
        <f t="shared" si="234"/>
        <v>0</v>
      </c>
      <c r="R935">
        <f t="shared" si="235"/>
        <v>0</v>
      </c>
      <c r="S935">
        <f t="shared" si="236"/>
        <v>0</v>
      </c>
      <c r="T935">
        <f t="shared" si="237"/>
        <v>0</v>
      </c>
      <c r="U935">
        <f t="shared" si="232"/>
        <v>0</v>
      </c>
      <c r="V935">
        <f t="shared" si="238"/>
        <v>0</v>
      </c>
      <c r="W935">
        <f t="shared" si="226"/>
        <v>0</v>
      </c>
      <c r="X935">
        <f>SUM($W$34:W935)</f>
        <v>258.0470872999997</v>
      </c>
      <c r="Y935">
        <f t="shared" si="239"/>
        <v>0</v>
      </c>
    </row>
    <row r="936" spans="1:25">
      <c r="A936">
        <v>108.2575743</v>
      </c>
      <c r="B936" s="2">
        <f t="shared" si="224"/>
        <v>4.1544030271550465E-3</v>
      </c>
      <c r="C936">
        <v>123.4485055</v>
      </c>
      <c r="D936" s="3">
        <f t="shared" si="225"/>
        <v>-1.4832179166862233E-2</v>
      </c>
      <c r="E936" s="3">
        <f t="shared" si="227"/>
        <v>-1.6074086184053694E-2</v>
      </c>
      <c r="F936" s="3">
        <f>STDEV($E$32:E936)</f>
        <v>1.2676269668605498E-2</v>
      </c>
      <c r="G936" s="14">
        <f t="shared" si="230"/>
        <v>-1.2680454585045118</v>
      </c>
      <c r="H936" s="15">
        <f>yint($B$3:B936,$D$3:D936)</f>
        <v>2.7293788955178434E-4</v>
      </c>
      <c r="I936" s="16">
        <f>MyReg($B$3:B936,$D$3:D936)</f>
        <v>0.23323907702407753</v>
      </c>
      <c r="J936" s="17">
        <f>STDEV($D$3:D936)</f>
        <v>1.2958437984770034E-2</v>
      </c>
      <c r="K936" s="4">
        <f t="shared" si="228"/>
        <v>1.2419070171914611E-3</v>
      </c>
      <c r="L936">
        <f t="shared" si="231"/>
        <v>-1.2680454585045118</v>
      </c>
      <c r="M936">
        <f>RSQ($D$3:D936,$B$3:B936)</f>
        <v>4.6456290735910066E-2</v>
      </c>
      <c r="N936">
        <v>904</v>
      </c>
      <c r="O936" t="str">
        <f t="shared" si="229"/>
        <v/>
      </c>
      <c r="P936" t="str">
        <f t="shared" si="233"/>
        <v/>
      </c>
      <c r="Q936">
        <f t="shared" si="234"/>
        <v>0</v>
      </c>
      <c r="R936">
        <f t="shared" si="235"/>
        <v>0</v>
      </c>
      <c r="S936">
        <f t="shared" si="236"/>
        <v>0</v>
      </c>
      <c r="T936">
        <f t="shared" si="237"/>
        <v>0</v>
      </c>
      <c r="U936">
        <f t="shared" si="232"/>
        <v>0</v>
      </c>
      <c r="V936">
        <f t="shared" si="238"/>
        <v>0</v>
      </c>
      <c r="W936">
        <f t="shared" si="226"/>
        <v>0</v>
      </c>
      <c r="X936">
        <f>SUM($W$34:W936)</f>
        <v>258.0470872999997</v>
      </c>
      <c r="Y936">
        <f t="shared" si="239"/>
        <v>0</v>
      </c>
    </row>
    <row r="937" spans="1:25">
      <c r="A937">
        <v>109.8932786</v>
      </c>
      <c r="B937" s="2">
        <f t="shared" si="224"/>
        <v>1.5109375122956181E-2</v>
      </c>
      <c r="C937">
        <v>123.4142839</v>
      </c>
      <c r="D937" s="3">
        <f t="shared" si="225"/>
        <v>-2.7721356254082057E-4</v>
      </c>
      <c r="E937" s="3">
        <f t="shared" si="227"/>
        <v>-4.0631078626567861E-3</v>
      </c>
      <c r="F937" s="3">
        <f>STDEV($E$32:E937)</f>
        <v>1.2670020445676802E-2</v>
      </c>
      <c r="G937" s="14">
        <f t="shared" si="230"/>
        <v>-0.32068676448293959</v>
      </c>
      <c r="H937" s="15">
        <f>yint($B$3:B937,$D$3:D937)</f>
        <v>2.6865876765735361E-4</v>
      </c>
      <c r="I937" s="16">
        <f>MyReg($B$3:B937,$D$3:D937)</f>
        <v>0.23278497646899754</v>
      </c>
      <c r="J937" s="17">
        <f>STDEV($D$3:D937)</f>
        <v>1.2951513272735617E-2</v>
      </c>
      <c r="K937" s="4">
        <f t="shared" si="228"/>
        <v>3.7858943001159652E-3</v>
      </c>
      <c r="L937">
        <f t="shared" si="231"/>
        <v>-0.32068676448293959</v>
      </c>
      <c r="M937">
        <f>RSQ($D$3:D937,$B$3:B937)</f>
        <v>4.6352721510739284E-2</v>
      </c>
      <c r="N937">
        <v>905</v>
      </c>
      <c r="O937" t="str">
        <f t="shared" si="229"/>
        <v/>
      </c>
      <c r="P937" t="str">
        <f t="shared" si="233"/>
        <v/>
      </c>
      <c r="Q937">
        <f t="shared" si="234"/>
        <v>0</v>
      </c>
      <c r="R937">
        <f t="shared" si="235"/>
        <v>0</v>
      </c>
      <c r="S937">
        <f t="shared" si="236"/>
        <v>0</v>
      </c>
      <c r="T937">
        <f t="shared" si="237"/>
        <v>0</v>
      </c>
      <c r="U937">
        <f t="shared" si="232"/>
        <v>0</v>
      </c>
      <c r="V937">
        <f t="shared" si="238"/>
        <v>0</v>
      </c>
      <c r="W937">
        <f t="shared" si="226"/>
        <v>0</v>
      </c>
      <c r="X937">
        <f>SUM($W$34:W937)</f>
        <v>258.0470872999997</v>
      </c>
      <c r="Y937">
        <f t="shared" si="239"/>
        <v>0</v>
      </c>
    </row>
    <row r="938" spans="1:25">
      <c r="A938">
        <v>109.5421735</v>
      </c>
      <c r="B938" s="2">
        <f t="shared" si="224"/>
        <v>-3.1949642823742093E-3</v>
      </c>
      <c r="C938">
        <v>125.03837230000001</v>
      </c>
      <c r="D938" s="3">
        <f t="shared" si="225"/>
        <v>1.3159646911827239E-2</v>
      </c>
      <c r="E938" s="3">
        <f t="shared" si="227"/>
        <v>1.3619009611127443E-2</v>
      </c>
      <c r="F938" s="3">
        <f>STDEV($E$32:E938)</f>
        <v>1.2670981504214709E-2</v>
      </c>
      <c r="G938" s="14">
        <f t="shared" si="230"/>
        <v>1.0748188375618253</v>
      </c>
      <c r="H938" s="15">
        <f>yint($B$3:B938,$D$3:D938)</f>
        <v>2.8328360901534836E-4</v>
      </c>
      <c r="I938" s="16">
        <f>MyReg($B$3:B938,$D$3:D938)</f>
        <v>0.23244275762722602</v>
      </c>
      <c r="J938" s="17">
        <f>STDEV($D$3:D938)</f>
        <v>1.2951398709593461E-2</v>
      </c>
      <c r="K938" s="4">
        <f t="shared" si="228"/>
        <v>-4.5936269930020411E-4</v>
      </c>
      <c r="L938">
        <f t="shared" si="231"/>
        <v>1.0748188375618253</v>
      </c>
      <c r="M938">
        <f>RSQ($D$3:D938,$B$3:B938)</f>
        <v>4.6171824597656196E-2</v>
      </c>
      <c r="N938">
        <v>906</v>
      </c>
      <c r="O938" t="str">
        <f t="shared" si="229"/>
        <v/>
      </c>
      <c r="P938" t="str">
        <f t="shared" si="233"/>
        <v/>
      </c>
      <c r="Q938">
        <f t="shared" si="234"/>
        <v>0</v>
      </c>
      <c r="R938">
        <f t="shared" si="235"/>
        <v>0</v>
      </c>
      <c r="S938">
        <f t="shared" si="236"/>
        <v>0</v>
      </c>
      <c r="T938">
        <f t="shared" si="237"/>
        <v>0</v>
      </c>
      <c r="U938">
        <f t="shared" si="232"/>
        <v>0</v>
      </c>
      <c r="V938">
        <f t="shared" si="238"/>
        <v>0</v>
      </c>
      <c r="W938">
        <f t="shared" si="226"/>
        <v>0</v>
      </c>
      <c r="X938">
        <f>SUM($W$34:W938)</f>
        <v>258.0470872999997</v>
      </c>
      <c r="Y938">
        <f t="shared" si="239"/>
        <v>0</v>
      </c>
    </row>
    <row r="939" spans="1:25">
      <c r="A939">
        <v>109.088195</v>
      </c>
      <c r="B939" s="2">
        <f t="shared" si="224"/>
        <v>-4.1443262032773631E-3</v>
      </c>
      <c r="C939">
        <v>126.2051125</v>
      </c>
      <c r="D939" s="3">
        <f t="shared" si="225"/>
        <v>9.3310571670005057E-3</v>
      </c>
      <c r="E939" s="3">
        <f t="shared" si="227"/>
        <v>9.9990214651765399E-3</v>
      </c>
      <c r="F939" s="3">
        <f>STDEV($E$32:E939)</f>
        <v>1.2668242828397056E-2</v>
      </c>
      <c r="G939" s="14">
        <f t="shared" si="230"/>
        <v>0.7892982160685138</v>
      </c>
      <c r="H939" s="15">
        <f>yint($B$3:B939,$D$3:D939)</f>
        <v>2.9402069738320244E-4</v>
      </c>
      <c r="I939" s="16">
        <f>MyReg($B$3:B939,$D$3:D939)</f>
        <v>0.23212096451251635</v>
      </c>
      <c r="J939" s="17">
        <f>STDEV($D$3:D939)</f>
        <v>1.2947823366101247E-2</v>
      </c>
      <c r="K939" s="4">
        <f t="shared" si="228"/>
        <v>-6.6796429817603405E-4</v>
      </c>
      <c r="L939">
        <f t="shared" si="231"/>
        <v>0.7892982160685138</v>
      </c>
      <c r="M939">
        <f>RSQ($D$3:D939,$B$3:B939)</f>
        <v>4.6026666853633019E-2</v>
      </c>
      <c r="N939">
        <v>907</v>
      </c>
      <c r="O939" t="str">
        <f t="shared" si="229"/>
        <v/>
      </c>
      <c r="P939" t="str">
        <f t="shared" si="233"/>
        <v/>
      </c>
      <c r="Q939">
        <f t="shared" si="234"/>
        <v>0</v>
      </c>
      <c r="R939">
        <f t="shared" si="235"/>
        <v>0</v>
      </c>
      <c r="S939">
        <f t="shared" si="236"/>
        <v>0</v>
      </c>
      <c r="T939">
        <f t="shared" si="237"/>
        <v>0</v>
      </c>
      <c r="U939">
        <f t="shared" si="232"/>
        <v>0</v>
      </c>
      <c r="V939">
        <f t="shared" si="238"/>
        <v>0</v>
      </c>
      <c r="W939">
        <f t="shared" si="226"/>
        <v>0</v>
      </c>
      <c r="X939">
        <f>SUM($W$34:W939)</f>
        <v>258.0470872999997</v>
      </c>
      <c r="Y939">
        <f t="shared" si="239"/>
        <v>0</v>
      </c>
    </row>
    <row r="940" spans="1:25">
      <c r="A940">
        <v>107.38492890000001</v>
      </c>
      <c r="B940" s="2">
        <f t="shared" si="224"/>
        <v>-1.5613661038208519E-2</v>
      </c>
      <c r="C940">
        <v>126.7116268</v>
      </c>
      <c r="D940" s="3">
        <f t="shared" si="225"/>
        <v>4.0134214055710798E-3</v>
      </c>
      <c r="E940" s="3">
        <f t="shared" si="227"/>
        <v>7.3222454392162344E-3</v>
      </c>
      <c r="F940" s="3">
        <f>STDEV($E$32:E940)</f>
        <v>1.2663515461241627E-2</v>
      </c>
      <c r="G940" s="14">
        <f t="shared" si="230"/>
        <v>0.57821585653896346</v>
      </c>
      <c r="H940" s="15">
        <f>yint($B$3:B940,$D$3:D940)</f>
        <v>3.0197692396946742E-4</v>
      </c>
      <c r="I940" s="16">
        <f>MyReg($B$3:B940,$D$3:D940)</f>
        <v>0.23125908451442329</v>
      </c>
      <c r="J940" s="17">
        <f>STDEV($D$3:D940)</f>
        <v>1.2941470522258487E-2</v>
      </c>
      <c r="K940" s="4">
        <f t="shared" si="228"/>
        <v>-3.3088240336451545E-3</v>
      </c>
      <c r="L940">
        <f t="shared" si="231"/>
        <v>0.57821585653896346</v>
      </c>
      <c r="M940">
        <f>RSQ($D$3:D940,$B$3:B940)</f>
        <v>4.5766309239945027E-2</v>
      </c>
      <c r="N940">
        <v>908</v>
      </c>
      <c r="O940" t="str">
        <f t="shared" si="229"/>
        <v/>
      </c>
      <c r="P940" t="str">
        <f t="shared" si="233"/>
        <v/>
      </c>
      <c r="Q940">
        <f t="shared" si="234"/>
        <v>0</v>
      </c>
      <c r="R940">
        <f t="shared" si="235"/>
        <v>0</v>
      </c>
      <c r="S940">
        <f t="shared" si="236"/>
        <v>0</v>
      </c>
      <c r="T940">
        <f t="shared" si="237"/>
        <v>0</v>
      </c>
      <c r="U940">
        <f t="shared" si="232"/>
        <v>0</v>
      </c>
      <c r="V940">
        <f t="shared" si="238"/>
        <v>0</v>
      </c>
      <c r="W940">
        <f t="shared" si="226"/>
        <v>0</v>
      </c>
      <c r="X940">
        <f>SUM($W$34:W940)</f>
        <v>258.0470872999997</v>
      </c>
      <c r="Y940">
        <f t="shared" si="239"/>
        <v>0</v>
      </c>
    </row>
    <row r="941" spans="1:25">
      <c r="A941">
        <v>104.8217331</v>
      </c>
      <c r="B941" s="2">
        <f t="shared" si="224"/>
        <v>-2.3869232174907204E-2</v>
      </c>
      <c r="C941">
        <v>125.51269000000001</v>
      </c>
      <c r="D941" s="3">
        <f t="shared" si="225"/>
        <v>-9.4619320284821604E-3</v>
      </c>
      <c r="E941" s="3">
        <f t="shared" si="227"/>
        <v>-4.2213008977361327E-3</v>
      </c>
      <c r="F941" s="3">
        <f>STDEV($E$32:E941)</f>
        <v>1.265737080153068E-2</v>
      </c>
      <c r="G941" s="14">
        <f t="shared" si="230"/>
        <v>-0.33350535146095606</v>
      </c>
      <c r="H941" s="15">
        <f>yint($B$3:B941,$D$3:D941)</f>
        <v>2.9736521725163905E-4</v>
      </c>
      <c r="I941" s="16">
        <f>MyReg($B$3:B941,$D$3:D941)</f>
        <v>0.23201401316208015</v>
      </c>
      <c r="J941" s="17">
        <f>STDEV($D$3:D941)</f>
        <v>1.2938521759010654E-2</v>
      </c>
      <c r="K941" s="4">
        <f t="shared" si="228"/>
        <v>-5.2406311307460277E-3</v>
      </c>
      <c r="L941">
        <f t="shared" si="231"/>
        <v>-0.33350535146095606</v>
      </c>
      <c r="M941">
        <f>RSQ($D$3:D941,$B$3:B941)</f>
        <v>4.6234990795838371E-2</v>
      </c>
      <c r="N941">
        <v>909</v>
      </c>
      <c r="O941" t="str">
        <f t="shared" si="229"/>
        <v/>
      </c>
      <c r="P941" t="str">
        <f t="shared" si="233"/>
        <v/>
      </c>
      <c r="Q941">
        <f t="shared" si="234"/>
        <v>0</v>
      </c>
      <c r="R941">
        <f t="shared" si="235"/>
        <v>0</v>
      </c>
      <c r="S941">
        <f t="shared" si="236"/>
        <v>0</v>
      </c>
      <c r="T941">
        <f t="shared" si="237"/>
        <v>0</v>
      </c>
      <c r="U941">
        <f t="shared" si="232"/>
        <v>0</v>
      </c>
      <c r="V941">
        <f t="shared" si="238"/>
        <v>0</v>
      </c>
      <c r="W941">
        <f t="shared" si="226"/>
        <v>0</v>
      </c>
      <c r="X941">
        <f>SUM($W$34:W941)</f>
        <v>258.0470872999997</v>
      </c>
      <c r="Y941">
        <f t="shared" si="239"/>
        <v>0</v>
      </c>
    </row>
    <row r="942" spans="1:25">
      <c r="A942">
        <v>106.7838017</v>
      </c>
      <c r="B942" s="2">
        <f t="shared" si="224"/>
        <v>1.8718146914516096E-2</v>
      </c>
      <c r="C942">
        <v>125.5790696</v>
      </c>
      <c r="D942" s="3">
        <f t="shared" si="225"/>
        <v>5.2886763880202509E-4</v>
      </c>
      <c r="E942" s="3">
        <f t="shared" si="227"/>
        <v>-4.0965035438173189E-3</v>
      </c>
      <c r="F942" s="3">
        <f>STDEV($E$32:E942)</f>
        <v>1.2651188450150914E-2</v>
      </c>
      <c r="G942" s="14">
        <f t="shared" si="230"/>
        <v>-0.3238038513107796</v>
      </c>
      <c r="H942" s="15">
        <f>yint($B$3:B942,$D$3:D942)</f>
        <v>2.9307148561855985E-4</v>
      </c>
      <c r="I942" s="16">
        <f>MyReg($B$3:B942,$D$3:D942)</f>
        <v>0.23144917692899641</v>
      </c>
      <c r="J942" s="17">
        <f>STDEV($D$3:D942)</f>
        <v>1.2931632100513435E-2</v>
      </c>
      <c r="K942" s="4">
        <f t="shared" si="228"/>
        <v>4.6253711826193438E-3</v>
      </c>
      <c r="L942">
        <f t="shared" si="231"/>
        <v>-0.3238038513107796</v>
      </c>
      <c r="M942">
        <f>RSQ($D$3:D942,$B$3:B942)</f>
        <v>4.612798384521398E-2</v>
      </c>
      <c r="N942">
        <v>910</v>
      </c>
      <c r="O942" t="str">
        <f t="shared" si="229"/>
        <v/>
      </c>
      <c r="P942" t="str">
        <f t="shared" si="233"/>
        <v/>
      </c>
      <c r="Q942">
        <f t="shared" si="234"/>
        <v>0</v>
      </c>
      <c r="R942">
        <f t="shared" si="235"/>
        <v>0</v>
      </c>
      <c r="S942">
        <f t="shared" si="236"/>
        <v>0</v>
      </c>
      <c r="T942">
        <f t="shared" si="237"/>
        <v>0</v>
      </c>
      <c r="U942">
        <f t="shared" si="232"/>
        <v>0</v>
      </c>
      <c r="V942">
        <f t="shared" si="238"/>
        <v>0</v>
      </c>
      <c r="W942">
        <f t="shared" si="226"/>
        <v>0</v>
      </c>
      <c r="X942">
        <f>SUM($W$34:W942)</f>
        <v>258.0470872999997</v>
      </c>
      <c r="Y942">
        <f t="shared" si="239"/>
        <v>0</v>
      </c>
    </row>
    <row r="943" spans="1:25">
      <c r="A943">
        <v>108.44354420000001</v>
      </c>
      <c r="B943" s="2">
        <f t="shared" si="224"/>
        <v>1.5543017513676021E-2</v>
      </c>
      <c r="C943">
        <v>125.02362239999999</v>
      </c>
      <c r="D943" s="3">
        <f t="shared" si="225"/>
        <v>-4.423087396404817E-3</v>
      </c>
      <c r="E943" s="3">
        <f t="shared" si="227"/>
        <v>-8.2902151417157104E-3</v>
      </c>
      <c r="F943" s="3">
        <f>STDEV($E$32:E943)</f>
        <v>1.2647311737493318E-2</v>
      </c>
      <c r="G943" s="14">
        <f t="shared" si="230"/>
        <v>-0.65549227486337114</v>
      </c>
      <c r="H943" s="15">
        <f>yint($B$3:B943,$D$3:D943)</f>
        <v>2.8438595936793184E-4</v>
      </c>
      <c r="I943" s="16">
        <f>MyReg($B$3:B943,$D$3:D943)</f>
        <v>0.23050490567810092</v>
      </c>
      <c r="J943" s="17">
        <f>STDEV($D$3:D943)</f>
        <v>1.2925678873023649E-2</v>
      </c>
      <c r="K943" s="4">
        <f t="shared" si="228"/>
        <v>3.8671277453108934E-3</v>
      </c>
      <c r="L943">
        <f t="shared" si="231"/>
        <v>-0.65549227486337114</v>
      </c>
      <c r="M943">
        <f>RSQ($D$3:D943,$B$3:B943)</f>
        <v>4.5825964130112695E-2</v>
      </c>
      <c r="N943">
        <v>911</v>
      </c>
      <c r="O943" t="str">
        <f t="shared" si="229"/>
        <v/>
      </c>
      <c r="P943" t="str">
        <f t="shared" si="233"/>
        <v/>
      </c>
      <c r="Q943">
        <f t="shared" si="234"/>
        <v>0</v>
      </c>
      <c r="R943">
        <f t="shared" si="235"/>
        <v>0</v>
      </c>
      <c r="S943">
        <f t="shared" si="236"/>
        <v>0</v>
      </c>
      <c r="T943">
        <f t="shared" si="237"/>
        <v>0</v>
      </c>
      <c r="U943">
        <f t="shared" si="232"/>
        <v>0</v>
      </c>
      <c r="V943">
        <f t="shared" si="238"/>
        <v>0</v>
      </c>
      <c r="W943">
        <f t="shared" si="226"/>
        <v>0</v>
      </c>
      <c r="X943">
        <f>SUM($W$34:W943)</f>
        <v>258.0470872999997</v>
      </c>
      <c r="Y943">
        <f t="shared" si="239"/>
        <v>0</v>
      </c>
    </row>
    <row r="944" spans="1:25">
      <c r="A944">
        <v>108.4658816</v>
      </c>
      <c r="B944" s="2">
        <f t="shared" si="224"/>
        <v>2.0598183289547854E-4</v>
      </c>
      <c r="C944">
        <v>124.22339839999999</v>
      </c>
      <c r="D944" s="3">
        <f t="shared" si="225"/>
        <v>-6.4005824230541578E-3</v>
      </c>
      <c r="E944" s="3">
        <f t="shared" si="227"/>
        <v>-6.725301119141827E-3</v>
      </c>
      <c r="F944" s="3">
        <f>STDEV($E$32:E944)</f>
        <v>1.2642402339997486E-2</v>
      </c>
      <c r="G944" s="14">
        <f t="shared" si="230"/>
        <v>-0.53196385768111576</v>
      </c>
      <c r="H944" s="15">
        <f>yint($B$3:B944,$D$3:D944)</f>
        <v>2.7723936263458282E-4</v>
      </c>
      <c r="I944" s="16">
        <f>MyReg($B$3:B944,$D$3:D944)</f>
        <v>0.2305025292069266</v>
      </c>
      <c r="J944" s="17">
        <f>STDEV($D$3:D944)</f>
        <v>1.2920665030872431E-2</v>
      </c>
      <c r="K944" s="4">
        <f t="shared" si="228"/>
        <v>3.2471869608766916E-4</v>
      </c>
      <c r="L944">
        <f t="shared" si="231"/>
        <v>-0.53196385768111576</v>
      </c>
      <c r="M944">
        <f>RSQ($D$3:D944,$B$3:B944)</f>
        <v>4.5811855517974474E-2</v>
      </c>
      <c r="N944">
        <v>912</v>
      </c>
      <c r="O944" t="str">
        <f t="shared" si="229"/>
        <v/>
      </c>
      <c r="P944" t="str">
        <f t="shared" si="233"/>
        <v/>
      </c>
      <c r="Q944">
        <f t="shared" si="234"/>
        <v>0</v>
      </c>
      <c r="R944">
        <f t="shared" si="235"/>
        <v>0</v>
      </c>
      <c r="S944">
        <f t="shared" si="236"/>
        <v>0</v>
      </c>
      <c r="T944">
        <f t="shared" si="237"/>
        <v>0</v>
      </c>
      <c r="U944">
        <f t="shared" si="232"/>
        <v>0</v>
      </c>
      <c r="V944">
        <f t="shared" si="238"/>
        <v>0</v>
      </c>
      <c r="W944">
        <f t="shared" si="226"/>
        <v>0</v>
      </c>
      <c r="X944">
        <f>SUM($W$34:W944)</f>
        <v>258.0470872999997</v>
      </c>
      <c r="Y944">
        <f t="shared" si="239"/>
        <v>0</v>
      </c>
    </row>
    <row r="945" spans="1:25">
      <c r="A945">
        <v>108.2216142</v>
      </c>
      <c r="B945" s="2">
        <f t="shared" si="224"/>
        <v>-2.2520206022093332E-3</v>
      </c>
      <c r="C945">
        <v>124.2737151</v>
      </c>
      <c r="D945" s="3">
        <f t="shared" si="225"/>
        <v>4.0505010044879301E-4</v>
      </c>
      <c r="E945" s="3">
        <f t="shared" si="227"/>
        <v>6.4619348938279187E-4</v>
      </c>
      <c r="F945" s="3">
        <f>STDEV($E$32:E945)</f>
        <v>1.2635489508938067E-2</v>
      </c>
      <c r="G945" s="14">
        <f t="shared" si="230"/>
        <v>5.1141151985104244E-2</v>
      </c>
      <c r="H945" s="15">
        <f>yint($B$3:B945,$D$3:D945)</f>
        <v>2.7792716163377101E-4</v>
      </c>
      <c r="I945" s="16">
        <f>MyReg($B$3:B945,$D$3:D945)</f>
        <v>0.23049103105830313</v>
      </c>
      <c r="J945" s="17">
        <f>STDEV($D$3:D945)</f>
        <v>1.2913805450001557E-2</v>
      </c>
      <c r="K945" s="4">
        <f t="shared" si="228"/>
        <v>-2.4114338893399892E-4</v>
      </c>
      <c r="L945">
        <f t="shared" si="231"/>
        <v>5.1141151985104244E-2</v>
      </c>
      <c r="M945">
        <f>RSQ($D$3:D945,$B$3:B945)</f>
        <v>4.5809245151518262E-2</v>
      </c>
      <c r="N945">
        <v>913</v>
      </c>
      <c r="O945" t="str">
        <f t="shared" si="229"/>
        <v/>
      </c>
      <c r="P945" t="str">
        <f t="shared" si="233"/>
        <v/>
      </c>
      <c r="Q945">
        <f t="shared" si="234"/>
        <v>0</v>
      </c>
      <c r="R945">
        <f t="shared" si="235"/>
        <v>0</v>
      </c>
      <c r="S945">
        <f t="shared" si="236"/>
        <v>0</v>
      </c>
      <c r="T945">
        <f t="shared" si="237"/>
        <v>0</v>
      </c>
      <c r="U945">
        <f t="shared" si="232"/>
        <v>0</v>
      </c>
      <c r="V945">
        <f t="shared" si="238"/>
        <v>0</v>
      </c>
      <c r="W945">
        <f t="shared" si="226"/>
        <v>0</v>
      </c>
      <c r="X945">
        <f>SUM($W$34:W945)</f>
        <v>258.0470872999997</v>
      </c>
      <c r="Y945">
        <f t="shared" si="239"/>
        <v>0</v>
      </c>
    </row>
    <row r="946" spans="1:25">
      <c r="A946">
        <v>107.6620558</v>
      </c>
      <c r="B946" s="2">
        <f t="shared" si="224"/>
        <v>-5.1704865440826168E-3</v>
      </c>
      <c r="C946">
        <v>123.2482108</v>
      </c>
      <c r="D946" s="3">
        <f t="shared" si="225"/>
        <v>-8.2519807118891595E-3</v>
      </c>
      <c r="E946" s="3">
        <f t="shared" si="227"/>
        <v>-7.3288504596860883E-3</v>
      </c>
      <c r="F946" s="3">
        <f>STDEV($E$32:E946)</f>
        <v>1.2630967701325973E-2</v>
      </c>
      <c r="G946" s="14">
        <f t="shared" si="230"/>
        <v>-0.58022873884134152</v>
      </c>
      <c r="H946" s="15">
        <f>yint($B$3:B946,$D$3:D946)</f>
        <v>2.7011047379995717E-4</v>
      </c>
      <c r="I946" s="16">
        <f>MyReg($B$3:B946,$D$3:D946)</f>
        <v>0.23077919569651287</v>
      </c>
      <c r="J946" s="17">
        <f>STDEV($D$3:D946)</f>
        <v>1.2909967067498042E-2</v>
      </c>
      <c r="K946" s="4">
        <f t="shared" si="228"/>
        <v>-9.2313025220307145E-4</v>
      </c>
      <c r="L946">
        <f t="shared" si="231"/>
        <v>-0.58022873884134152</v>
      </c>
      <c r="M946">
        <f>RSQ($D$3:D946,$B$3:B946)</f>
        <v>4.5912046147713437E-2</v>
      </c>
      <c r="N946">
        <v>914</v>
      </c>
      <c r="O946" t="str">
        <f t="shared" si="229"/>
        <v/>
      </c>
      <c r="P946" t="str">
        <f t="shared" si="233"/>
        <v/>
      </c>
      <c r="Q946">
        <f t="shared" si="234"/>
        <v>0</v>
      </c>
      <c r="R946">
        <f t="shared" si="235"/>
        <v>0</v>
      </c>
      <c r="S946">
        <f t="shared" si="236"/>
        <v>0</v>
      </c>
      <c r="T946">
        <f t="shared" si="237"/>
        <v>0</v>
      </c>
      <c r="U946">
        <f t="shared" si="232"/>
        <v>0</v>
      </c>
      <c r="V946">
        <f t="shared" si="238"/>
        <v>0</v>
      </c>
      <c r="W946">
        <f t="shared" si="226"/>
        <v>0</v>
      </c>
      <c r="X946">
        <f>SUM($W$34:W946)</f>
        <v>258.0470872999997</v>
      </c>
      <c r="Y946">
        <f t="shared" si="239"/>
        <v>0</v>
      </c>
    </row>
    <row r="947" spans="1:25">
      <c r="A947">
        <v>109.4949976</v>
      </c>
      <c r="B947" s="2">
        <f t="shared" si="224"/>
        <v>1.7024956344926123E-2</v>
      </c>
      <c r="C947">
        <v>121.84426689999999</v>
      </c>
      <c r="D947" s="3">
        <f t="shared" si="225"/>
        <v>-1.1391190921856382E-2</v>
      </c>
      <c r="E947" s="3">
        <f t="shared" si="227"/>
        <v>-1.5541179553300064E-2</v>
      </c>
      <c r="F947" s="3">
        <f>STDEV($E$32:E947)</f>
        <v>1.2634635921886007E-2</v>
      </c>
      <c r="G947" s="14">
        <f t="shared" si="230"/>
        <v>-1.2300456973500342</v>
      </c>
      <c r="H947" s="15">
        <f>yint($B$3:B947,$D$3:D947)</f>
        <v>2.5393765468805846E-4</v>
      </c>
      <c r="I947" s="16">
        <f>MyReg($B$3:B947,$D$3:D947)</f>
        <v>0.2288435222870189</v>
      </c>
      <c r="J947" s="17">
        <f>STDEV($D$3:D947)</f>
        <v>1.2908735465464458E-2</v>
      </c>
      <c r="K947" s="4">
        <f t="shared" si="228"/>
        <v>4.1499886314436832E-3</v>
      </c>
      <c r="L947">
        <f t="shared" si="231"/>
        <v>-1.2300456973500342</v>
      </c>
      <c r="M947">
        <f>RSQ($D$3:D947,$B$3:B947)</f>
        <v>4.5200582177564619E-2</v>
      </c>
      <c r="N947">
        <v>915</v>
      </c>
      <c r="O947" t="str">
        <f t="shared" si="229"/>
        <v/>
      </c>
      <c r="P947" t="str">
        <f t="shared" si="233"/>
        <v/>
      </c>
      <c r="Q947">
        <f t="shared" si="234"/>
        <v>0</v>
      </c>
      <c r="R947">
        <f t="shared" si="235"/>
        <v>0</v>
      </c>
      <c r="S947">
        <f t="shared" si="236"/>
        <v>0</v>
      </c>
      <c r="T947">
        <f t="shared" si="237"/>
        <v>0</v>
      </c>
      <c r="U947">
        <f t="shared" si="232"/>
        <v>0</v>
      </c>
      <c r="V947">
        <f t="shared" si="238"/>
        <v>0</v>
      </c>
      <c r="W947">
        <f t="shared" si="226"/>
        <v>0</v>
      </c>
      <c r="X947">
        <f>SUM($W$34:W947)</f>
        <v>258.0470872999997</v>
      </c>
      <c r="Y947">
        <f t="shared" si="239"/>
        <v>0</v>
      </c>
    </row>
    <row r="948" spans="1:25">
      <c r="A948">
        <v>110.11565109999999</v>
      </c>
      <c r="B948" s="2">
        <f t="shared" si="224"/>
        <v>5.6683274451251172E-3</v>
      </c>
      <c r="C948">
        <v>121.6458542</v>
      </c>
      <c r="D948" s="3">
        <f t="shared" si="225"/>
        <v>-1.6284122761625937E-3</v>
      </c>
      <c r="E948" s="3">
        <f t="shared" si="227"/>
        <v>-3.1754420692046564E-3</v>
      </c>
      <c r="F948" s="3">
        <f>STDEV($E$32:E948)</f>
        <v>1.26281955028201E-2</v>
      </c>
      <c r="G948" s="14">
        <f t="shared" si="230"/>
        <v>-0.25145651795583335</v>
      </c>
      <c r="H948" s="15">
        <f>yint($B$3:B948,$D$3:D948)</f>
        <v>2.5059898913501531E-4</v>
      </c>
      <c r="I948" s="16">
        <f>MyReg($B$3:B948,$D$3:D948)</f>
        <v>0.22871487514751909</v>
      </c>
      <c r="J948" s="17">
        <f>STDEV($D$3:D948)</f>
        <v>1.2902054774560778E-2</v>
      </c>
      <c r="K948" s="4">
        <f t="shared" si="228"/>
        <v>1.5470297930420625E-3</v>
      </c>
      <c r="L948">
        <f t="shared" si="231"/>
        <v>-0.25145651795583335</v>
      </c>
      <c r="M948">
        <f>RSQ($D$3:D948,$B$3:B948)</f>
        <v>4.5158769008672273E-2</v>
      </c>
      <c r="N948">
        <v>916</v>
      </c>
      <c r="O948" t="str">
        <f t="shared" si="229"/>
        <v/>
      </c>
      <c r="P948" t="str">
        <f t="shared" si="233"/>
        <v/>
      </c>
      <c r="Q948">
        <f t="shared" si="234"/>
        <v>0</v>
      </c>
      <c r="R948">
        <f t="shared" si="235"/>
        <v>0</v>
      </c>
      <c r="S948">
        <f t="shared" si="236"/>
        <v>0</v>
      </c>
      <c r="T948">
        <f t="shared" si="237"/>
        <v>0</v>
      </c>
      <c r="U948">
        <f t="shared" si="232"/>
        <v>0</v>
      </c>
      <c r="V948">
        <f t="shared" si="238"/>
        <v>0</v>
      </c>
      <c r="W948">
        <f t="shared" si="226"/>
        <v>0</v>
      </c>
      <c r="X948">
        <f>SUM($W$34:W948)</f>
        <v>258.0470872999997</v>
      </c>
      <c r="Y948">
        <f t="shared" si="239"/>
        <v>0</v>
      </c>
    </row>
    <row r="949" spans="1:25">
      <c r="A949">
        <v>109.7548448</v>
      </c>
      <c r="B949" s="2">
        <f t="shared" si="224"/>
        <v>-3.2766123289080114E-3</v>
      </c>
      <c r="C949">
        <v>121.0358356</v>
      </c>
      <c r="D949" s="3">
        <f t="shared" si="225"/>
        <v>-5.0147093298967818E-3</v>
      </c>
      <c r="E949" s="3">
        <f t="shared" si="227"/>
        <v>-4.5107347115737537E-3</v>
      </c>
      <c r="F949" s="3">
        <f>STDEV($E$32:E949)</f>
        <v>1.2622216751825125E-2</v>
      </c>
      <c r="G949" s="14">
        <f t="shared" si="230"/>
        <v>-0.35736470069106668</v>
      </c>
      <c r="H949" s="15">
        <f>yint($B$3:B949,$D$3:D949)</f>
        <v>2.4581087067980289E-4</v>
      </c>
      <c r="I949" s="16">
        <f>MyReg($B$3:B949,$D$3:D949)</f>
        <v>0.22882947805201898</v>
      </c>
      <c r="J949" s="17">
        <f>STDEV($D$3:D949)</f>
        <v>1.2896385951566051E-2</v>
      </c>
      <c r="K949" s="4">
        <f t="shared" si="228"/>
        <v>-5.0397461832302768E-4</v>
      </c>
      <c r="L949">
        <f t="shared" si="231"/>
        <v>-0.35736470069106668</v>
      </c>
      <c r="M949">
        <f>RSQ($D$3:D949,$B$3:B949)</f>
        <v>4.5199916434151381E-2</v>
      </c>
      <c r="N949">
        <v>917</v>
      </c>
      <c r="O949" t="str">
        <f t="shared" si="229"/>
        <v/>
      </c>
      <c r="P949" t="str">
        <f t="shared" si="233"/>
        <v/>
      </c>
      <c r="Q949">
        <f t="shared" si="234"/>
        <v>0</v>
      </c>
      <c r="R949">
        <f t="shared" si="235"/>
        <v>0</v>
      </c>
      <c r="S949">
        <f t="shared" si="236"/>
        <v>0</v>
      </c>
      <c r="T949">
        <f t="shared" si="237"/>
        <v>0</v>
      </c>
      <c r="U949">
        <f t="shared" si="232"/>
        <v>0</v>
      </c>
      <c r="V949">
        <f t="shared" si="238"/>
        <v>0</v>
      </c>
      <c r="W949">
        <f t="shared" si="226"/>
        <v>0</v>
      </c>
      <c r="X949">
        <f>SUM($W$34:W949)</f>
        <v>258.0470872999997</v>
      </c>
      <c r="Y949">
        <f t="shared" si="239"/>
        <v>0</v>
      </c>
    </row>
    <row r="950" spans="1:25">
      <c r="A950">
        <v>110.5141027</v>
      </c>
      <c r="B950" s="2">
        <f t="shared" si="224"/>
        <v>6.9177620485323154E-3</v>
      </c>
      <c r="C950">
        <v>120.7697268</v>
      </c>
      <c r="D950" s="3">
        <f t="shared" si="225"/>
        <v>-2.1985951406939997E-3</v>
      </c>
      <c r="E950" s="3">
        <f t="shared" si="227"/>
        <v>-4.0217986678103565E-3</v>
      </c>
      <c r="F950" s="3">
        <f>STDEV($E$32:E950)</f>
        <v>1.2616063227332691E-2</v>
      </c>
      <c r="G950" s="14">
        <f t="shared" si="230"/>
        <v>-0.3187839657538441</v>
      </c>
      <c r="H950" s="15">
        <f>yint($B$3:B950,$D$3:D950)</f>
        <v>2.4159795645664424E-4</v>
      </c>
      <c r="I950" s="16">
        <f>MyReg($B$3:B950,$D$3:D950)</f>
        <v>0.22862965791014286</v>
      </c>
      <c r="J950" s="17">
        <f>STDEV($D$3:D950)</f>
        <v>1.2889827415402805E-2</v>
      </c>
      <c r="K950" s="4">
        <f t="shared" si="228"/>
        <v>1.8232035271163567E-3</v>
      </c>
      <c r="L950">
        <f t="shared" si="231"/>
        <v>-0.3187839657538441</v>
      </c>
      <c r="M950">
        <f>RSQ($D$3:D950,$B$3:B950)</f>
        <v>4.5134355322560091E-2</v>
      </c>
      <c r="N950">
        <v>918</v>
      </c>
      <c r="O950" t="str">
        <f t="shared" si="229"/>
        <v/>
      </c>
      <c r="P950" t="str">
        <f t="shared" si="233"/>
        <v/>
      </c>
      <c r="Q950">
        <f t="shared" si="234"/>
        <v>0</v>
      </c>
      <c r="R950">
        <f t="shared" si="235"/>
        <v>0</v>
      </c>
      <c r="S950">
        <f t="shared" si="236"/>
        <v>0</v>
      </c>
      <c r="T950">
        <f t="shared" si="237"/>
        <v>0</v>
      </c>
      <c r="U950">
        <f t="shared" si="232"/>
        <v>0</v>
      </c>
      <c r="V950">
        <f t="shared" si="238"/>
        <v>0</v>
      </c>
      <c r="W950">
        <f t="shared" si="226"/>
        <v>0</v>
      </c>
      <c r="X950">
        <f>SUM($W$34:W950)</f>
        <v>258.0470872999997</v>
      </c>
      <c r="Y950">
        <f t="shared" si="239"/>
        <v>0</v>
      </c>
    </row>
    <row r="951" spans="1:25">
      <c r="A951">
        <v>111.5696547</v>
      </c>
      <c r="B951" s="2">
        <f t="shared" si="224"/>
        <v>9.5512877923407853E-3</v>
      </c>
      <c r="C951">
        <v>120.5346907</v>
      </c>
      <c r="D951" s="3">
        <f t="shared" si="225"/>
        <v>-1.9461507964593828E-3</v>
      </c>
      <c r="E951" s="3">
        <f t="shared" si="227"/>
        <v>-4.3640302900710059E-3</v>
      </c>
      <c r="F951" s="3">
        <f>STDEV($E$32:E951)</f>
        <v>1.2610044248734471E-2</v>
      </c>
      <c r="G951" s="14">
        <f t="shared" si="230"/>
        <v>-0.34607573169372302</v>
      </c>
      <c r="H951" s="15">
        <f>yint($B$3:B951,$D$3:D951)</f>
        <v>2.3704788183623207E-4</v>
      </c>
      <c r="I951" s="16">
        <f>MyReg($B$3:B951,$D$3:D951)</f>
        <v>0.22832854157365132</v>
      </c>
      <c r="J951" s="17">
        <f>STDEV($D$3:D951)</f>
        <v>1.2883230241565447E-2</v>
      </c>
      <c r="K951" s="4">
        <f t="shared" si="228"/>
        <v>2.4178794936116233E-3</v>
      </c>
      <c r="L951">
        <f t="shared" si="231"/>
        <v>-0.34607573169372302</v>
      </c>
      <c r="M951">
        <f>RSQ($D$3:D951,$B$3:B951)</f>
        <v>4.5043211469483549E-2</v>
      </c>
      <c r="N951">
        <v>919</v>
      </c>
      <c r="O951" t="str">
        <f t="shared" si="229"/>
        <v/>
      </c>
      <c r="P951" t="str">
        <f t="shared" si="233"/>
        <v/>
      </c>
      <c r="Q951">
        <f t="shared" si="234"/>
        <v>0</v>
      </c>
      <c r="R951">
        <f t="shared" si="235"/>
        <v>0</v>
      </c>
      <c r="S951">
        <f t="shared" si="236"/>
        <v>0</v>
      </c>
      <c r="T951">
        <f t="shared" si="237"/>
        <v>0</v>
      </c>
      <c r="U951">
        <f t="shared" si="232"/>
        <v>0</v>
      </c>
      <c r="V951">
        <f t="shared" si="238"/>
        <v>0</v>
      </c>
      <c r="W951">
        <f t="shared" si="226"/>
        <v>0</v>
      </c>
      <c r="X951">
        <f>SUM($W$34:W951)</f>
        <v>258.0470872999997</v>
      </c>
      <c r="Y951">
        <f t="shared" si="239"/>
        <v>0</v>
      </c>
    </row>
    <row r="952" spans="1:25">
      <c r="A952">
        <v>109.44957460000001</v>
      </c>
      <c r="B952" s="2">
        <f t="shared" si="224"/>
        <v>-1.9002300452579921E-2</v>
      </c>
      <c r="C952">
        <v>120.0705316</v>
      </c>
      <c r="D952" s="3">
        <f t="shared" si="225"/>
        <v>-3.8508341233915275E-3</v>
      </c>
      <c r="E952" s="3">
        <f t="shared" si="227"/>
        <v>2.4994515487154452E-4</v>
      </c>
      <c r="F952" s="3">
        <f>STDEV($E$32:E952)</f>
        <v>1.2603190590707474E-2</v>
      </c>
      <c r="G952" s="14">
        <f t="shared" si="230"/>
        <v>1.9831895191352016E-2</v>
      </c>
      <c r="H952" s="15">
        <f>yint($B$3:B952,$D$3:D952)</f>
        <v>2.3731785655159768E-4</v>
      </c>
      <c r="I952" s="16">
        <f>MyReg($B$3:B952,$D$3:D952)</f>
        <v>0.22829326089440352</v>
      </c>
      <c r="J952" s="17">
        <f>STDEV($D$3:D952)</f>
        <v>1.2877138025553873E-2</v>
      </c>
      <c r="K952" s="4">
        <f t="shared" si="228"/>
        <v>-4.100779278263072E-3</v>
      </c>
      <c r="L952">
        <f t="shared" si="231"/>
        <v>1.9831895191352016E-2</v>
      </c>
      <c r="M952">
        <f>RSQ($D$3:D952,$B$3:B952)</f>
        <v>4.5146242174075972E-2</v>
      </c>
      <c r="N952">
        <v>920</v>
      </c>
      <c r="O952" t="str">
        <f t="shared" si="229"/>
        <v/>
      </c>
      <c r="P952" t="str">
        <f t="shared" si="233"/>
        <v/>
      </c>
      <c r="Q952">
        <f t="shared" si="234"/>
        <v>0</v>
      </c>
      <c r="R952">
        <f t="shared" si="235"/>
        <v>0</v>
      </c>
      <c r="S952">
        <f t="shared" si="236"/>
        <v>0</v>
      </c>
      <c r="T952">
        <f t="shared" si="237"/>
        <v>0</v>
      </c>
      <c r="U952">
        <f t="shared" si="232"/>
        <v>0</v>
      </c>
      <c r="V952">
        <f t="shared" si="238"/>
        <v>0</v>
      </c>
      <c r="W952">
        <f t="shared" si="226"/>
        <v>0</v>
      </c>
      <c r="X952">
        <f>SUM($W$34:W952)</f>
        <v>258.0470872999997</v>
      </c>
      <c r="Y952">
        <f t="shared" si="239"/>
        <v>0</v>
      </c>
    </row>
    <row r="953" spans="1:25">
      <c r="A953">
        <v>111.3060567</v>
      </c>
      <c r="B953" s="2">
        <f t="shared" si="224"/>
        <v>1.6961985524245188E-2</v>
      </c>
      <c r="C953">
        <v>119.23528930000001</v>
      </c>
      <c r="D953" s="3">
        <f t="shared" si="225"/>
        <v>-6.9562638631641589E-3</v>
      </c>
      <c r="E953" s="3">
        <f t="shared" si="227"/>
        <v>-1.1031448960347794E-2</v>
      </c>
      <c r="F953" s="3">
        <f>STDEV($E$32:E953)</f>
        <v>1.2601645739236835E-2</v>
      </c>
      <c r="G953" s="14">
        <f t="shared" si="230"/>
        <v>-0.87539748288590336</v>
      </c>
      <c r="H953" s="15">
        <f>yint($B$3:B953,$D$3:D953)</f>
        <v>2.2593251062505006E-4</v>
      </c>
      <c r="I953" s="16">
        <f>MyReg($B$3:B953,$D$3:D953)</f>
        <v>0.22693408039150395</v>
      </c>
      <c r="J953" s="17">
        <f>STDEV($D$3:D953)</f>
        <v>1.287249498471681E-2</v>
      </c>
      <c r="K953" s="4">
        <f t="shared" si="228"/>
        <v>4.0751850971836338E-3</v>
      </c>
      <c r="L953">
        <f t="shared" si="231"/>
        <v>-0.87539748288590336</v>
      </c>
      <c r="M953">
        <f>RSQ($D$3:D953,$B$3:B953)</f>
        <v>4.4687652423378618E-2</v>
      </c>
      <c r="N953">
        <v>921</v>
      </c>
      <c r="O953" t="str">
        <f t="shared" si="229"/>
        <v/>
      </c>
      <c r="P953" t="str">
        <f t="shared" si="233"/>
        <v/>
      </c>
      <c r="Q953">
        <f t="shared" si="234"/>
        <v>0</v>
      </c>
      <c r="R953">
        <f t="shared" si="235"/>
        <v>0</v>
      </c>
      <c r="S953">
        <f t="shared" si="236"/>
        <v>0</v>
      </c>
      <c r="T953">
        <f t="shared" si="237"/>
        <v>0</v>
      </c>
      <c r="U953">
        <f t="shared" si="232"/>
        <v>0</v>
      </c>
      <c r="V953">
        <f t="shared" si="238"/>
        <v>0</v>
      </c>
      <c r="W953">
        <f t="shared" si="226"/>
        <v>0</v>
      </c>
      <c r="X953">
        <f>SUM($W$34:W953)</f>
        <v>258.0470872999997</v>
      </c>
      <c r="Y953">
        <f t="shared" si="239"/>
        <v>0</v>
      </c>
    </row>
    <row r="954" spans="1:25">
      <c r="A954">
        <v>112.87794510000001</v>
      </c>
      <c r="B954" s="2">
        <f t="shared" si="224"/>
        <v>1.4122218023019819E-2</v>
      </c>
      <c r="C954">
        <v>119.98086549999999</v>
      </c>
      <c r="D954" s="3">
        <f t="shared" si="225"/>
        <v>6.2529826897479409E-3</v>
      </c>
      <c r="E954" s="3">
        <f t="shared" si="227"/>
        <v>2.8152735158386115E-3</v>
      </c>
      <c r="F954" s="3">
        <f>STDEV($E$32:E954)</f>
        <v>1.2595138405506157E-2</v>
      </c>
      <c r="G954" s="14">
        <f t="shared" si="230"/>
        <v>0.22352064941246472</v>
      </c>
      <c r="H954" s="15">
        <f>yint($B$3:B954,$D$3:D954)</f>
        <v>2.2883985319960553E-4</v>
      </c>
      <c r="I954" s="16">
        <f>MyReg($B$3:B954,$D$3:D954)</f>
        <v>0.22722134125667298</v>
      </c>
      <c r="J954" s="17">
        <f>STDEV($D$3:D954)</f>
        <v>1.2867187609842711E-2</v>
      </c>
      <c r="K954" s="4">
        <f t="shared" si="228"/>
        <v>3.4377091739093294E-3</v>
      </c>
      <c r="L954">
        <f t="shared" si="231"/>
        <v>0.22352064941246472</v>
      </c>
      <c r="M954">
        <f>RSQ($D$3:D954,$B$3:B954)</f>
        <v>4.485430886803031E-2</v>
      </c>
      <c r="N954">
        <v>922</v>
      </c>
      <c r="O954" t="str">
        <f t="shared" si="229"/>
        <v/>
      </c>
      <c r="P954" t="str">
        <f t="shared" si="233"/>
        <v/>
      </c>
      <c r="Q954">
        <f t="shared" si="234"/>
        <v>0</v>
      </c>
      <c r="R954">
        <f t="shared" si="235"/>
        <v>0</v>
      </c>
      <c r="S954">
        <f t="shared" si="236"/>
        <v>0</v>
      </c>
      <c r="T954">
        <f t="shared" si="237"/>
        <v>0</v>
      </c>
      <c r="U954">
        <f t="shared" si="232"/>
        <v>0</v>
      </c>
      <c r="V954">
        <f t="shared" si="238"/>
        <v>0</v>
      </c>
      <c r="W954">
        <f t="shared" si="226"/>
        <v>0</v>
      </c>
      <c r="X954">
        <f>SUM($W$34:W954)</f>
        <v>258.0470872999997</v>
      </c>
      <c r="Y954">
        <f t="shared" si="239"/>
        <v>0</v>
      </c>
    </row>
    <row r="955" spans="1:25">
      <c r="A955">
        <v>111.73870410000001</v>
      </c>
      <c r="B955" s="2">
        <f t="shared" si="224"/>
        <v>-1.0092680186468051E-2</v>
      </c>
      <c r="C955">
        <v>120.94307259999999</v>
      </c>
      <c r="D955" s="3">
        <f t="shared" si="225"/>
        <v>8.0196712699993032E-3</v>
      </c>
      <c r="E955" s="3">
        <f t="shared" si="227"/>
        <v>1.00657362748194E-2</v>
      </c>
      <c r="F955" s="3">
        <f>STDEV($E$32:E955)</f>
        <v>1.2592620660516534E-2</v>
      </c>
      <c r="G955" s="14">
        <f t="shared" si="230"/>
        <v>0.79933609898850999</v>
      </c>
      <c r="H955" s="15">
        <f>yint($B$3:B955,$D$3:D955)</f>
        <v>2.3956388659572585E-4</v>
      </c>
      <c r="I955" s="16">
        <f>MyReg($B$3:B955,$D$3:D955)</f>
        <v>0.22646401641462127</v>
      </c>
      <c r="J955" s="17">
        <f>STDEV($D$3:D955)</f>
        <v>1.286287517123298E-2</v>
      </c>
      <c r="K955" s="4">
        <f t="shared" si="228"/>
        <v>-2.0460650048200976E-3</v>
      </c>
      <c r="L955">
        <f t="shared" si="231"/>
        <v>0.79933609898850999</v>
      </c>
      <c r="M955">
        <f>RSQ($D$3:D955,$B$3:B955)</f>
        <v>4.4573308592080474E-2</v>
      </c>
      <c r="N955">
        <v>923</v>
      </c>
      <c r="O955" t="str">
        <f t="shared" si="229"/>
        <v/>
      </c>
      <c r="P955" t="str">
        <f t="shared" si="233"/>
        <v/>
      </c>
      <c r="Q955">
        <f t="shared" si="234"/>
        <v>0</v>
      </c>
      <c r="R955">
        <f t="shared" si="235"/>
        <v>0</v>
      </c>
      <c r="S955">
        <f t="shared" si="236"/>
        <v>0</v>
      </c>
      <c r="T955">
        <f t="shared" si="237"/>
        <v>0</v>
      </c>
      <c r="U955">
        <f t="shared" si="232"/>
        <v>0</v>
      </c>
      <c r="V955">
        <f t="shared" si="238"/>
        <v>0</v>
      </c>
      <c r="W955">
        <f t="shared" si="226"/>
        <v>0</v>
      </c>
      <c r="X955">
        <f>SUM($W$34:W955)</f>
        <v>258.0470872999997</v>
      </c>
      <c r="Y955">
        <f t="shared" si="239"/>
        <v>0</v>
      </c>
    </row>
    <row r="956" spans="1:25">
      <c r="A956">
        <v>111.8089715</v>
      </c>
      <c r="B956" s="2">
        <f t="shared" si="224"/>
        <v>6.2885461726051688E-4</v>
      </c>
      <c r="C956">
        <v>120.42573179999999</v>
      </c>
      <c r="D956" s="3">
        <f t="shared" si="225"/>
        <v>-4.2775562822934231E-3</v>
      </c>
      <c r="E956" s="3">
        <f t="shared" si="227"/>
        <v>-4.6546423122064435E-3</v>
      </c>
      <c r="F956" s="3">
        <f>STDEV($E$32:E956)</f>
        <v>1.2586761650139328E-2</v>
      </c>
      <c r="G956" s="14">
        <f t="shared" si="230"/>
        <v>-0.36980459641538693</v>
      </c>
      <c r="H956" s="15">
        <f>yint($B$3:B956,$D$3:D956)</f>
        <v>2.3468250751135439E-4</v>
      </c>
      <c r="I956" s="16">
        <f>MyReg($B$3:B956,$D$3:D956)</f>
        <v>0.22644903685691203</v>
      </c>
      <c r="J956" s="17">
        <f>STDEV($D$3:D956)</f>
        <v>1.2856972359097812E-2</v>
      </c>
      <c r="K956" s="4">
        <f t="shared" si="228"/>
        <v>3.7708602991302052E-4</v>
      </c>
      <c r="L956">
        <f t="shared" si="231"/>
        <v>-0.36980459641538693</v>
      </c>
      <c r="M956">
        <f>RSQ($D$3:D956,$B$3:B956)</f>
        <v>4.4561599336342898E-2</v>
      </c>
      <c r="N956">
        <v>924</v>
      </c>
      <c r="O956" t="str">
        <f t="shared" si="229"/>
        <v/>
      </c>
      <c r="P956" t="str">
        <f t="shared" si="233"/>
        <v/>
      </c>
      <c r="Q956">
        <f t="shared" si="234"/>
        <v>0</v>
      </c>
      <c r="R956">
        <f t="shared" si="235"/>
        <v>0</v>
      </c>
      <c r="S956">
        <f t="shared" si="236"/>
        <v>0</v>
      </c>
      <c r="T956">
        <f t="shared" si="237"/>
        <v>0</v>
      </c>
      <c r="U956">
        <f t="shared" si="232"/>
        <v>0</v>
      </c>
      <c r="V956">
        <f t="shared" si="238"/>
        <v>0</v>
      </c>
      <c r="W956">
        <f t="shared" si="226"/>
        <v>0</v>
      </c>
      <c r="X956">
        <f>SUM($W$34:W956)</f>
        <v>258.0470872999997</v>
      </c>
      <c r="Y956">
        <f t="shared" si="239"/>
        <v>0</v>
      </c>
    </row>
    <row r="957" spans="1:25">
      <c r="A957">
        <v>113.07177059999999</v>
      </c>
      <c r="B957" s="2">
        <f t="shared" si="224"/>
        <v>1.1294255577693023E-2</v>
      </c>
      <c r="C957">
        <v>118.48195440000001</v>
      </c>
      <c r="D957" s="3">
        <f t="shared" si="225"/>
        <v>-1.6140880947505171E-2</v>
      </c>
      <c r="E957" s="3">
        <f t="shared" si="227"/>
        <v>-1.8896305261988579E-2</v>
      </c>
      <c r="F957" s="3">
        <f>STDEV($E$32:E957)</f>
        <v>1.2595371729655531E-2</v>
      </c>
      <c r="G957" s="14">
        <f t="shared" si="230"/>
        <v>-1.500257846102123</v>
      </c>
      <c r="H957" s="15">
        <f>yint($B$3:B957,$D$3:D957)</f>
        <v>2.1516441608359878E-4</v>
      </c>
      <c r="I957" s="16">
        <f>MyReg($B$3:B957,$D$3:D957)</f>
        <v>0.22491609835862089</v>
      </c>
      <c r="J957" s="17">
        <f>STDEV($D$3:D957)</f>
        <v>1.2861210231986024E-2</v>
      </c>
      <c r="K957" s="4">
        <f t="shared" si="228"/>
        <v>2.7554243144834057E-3</v>
      </c>
      <c r="L957">
        <f t="shared" si="231"/>
        <v>-1.500257846102123</v>
      </c>
      <c r="M957">
        <f>RSQ($D$3:D957,$B$3:B957)</f>
        <v>4.3924805434803475E-2</v>
      </c>
      <c r="N957">
        <v>925</v>
      </c>
      <c r="O957" t="str">
        <f t="shared" si="229"/>
        <v>buyY</v>
      </c>
      <c r="P957" t="str">
        <f t="shared" si="233"/>
        <v/>
      </c>
      <c r="Q957">
        <f t="shared" si="234"/>
        <v>-10</v>
      </c>
      <c r="R957">
        <f t="shared" si="235"/>
        <v>0</v>
      </c>
      <c r="S957">
        <f t="shared" si="236"/>
        <v>10</v>
      </c>
      <c r="T957">
        <f t="shared" si="237"/>
        <v>0</v>
      </c>
      <c r="U957">
        <f t="shared" si="232"/>
        <v>20</v>
      </c>
      <c r="V957">
        <f t="shared" si="238"/>
        <v>-10</v>
      </c>
      <c r="W957">
        <f t="shared" si="226"/>
        <v>-54.101838000000129</v>
      </c>
      <c r="X957">
        <f>SUM($W$34:W957)</f>
        <v>203.94524929999957</v>
      </c>
      <c r="Y957">
        <f t="shared" si="239"/>
        <v>0</v>
      </c>
    </row>
    <row r="958" spans="1:25">
      <c r="A958">
        <v>112.7440883</v>
      </c>
      <c r="B958" s="2">
        <f t="shared" si="224"/>
        <v>-2.898002731019339E-3</v>
      </c>
      <c r="C958">
        <v>118.5193644</v>
      </c>
      <c r="D958" s="3">
        <f t="shared" si="225"/>
        <v>3.1574428519043883E-4</v>
      </c>
      <c r="E958" s="3">
        <f t="shared" si="227"/>
        <v>7.5154771940305664E-4</v>
      </c>
      <c r="F958" s="3">
        <f>STDEV($E$32:E958)</f>
        <v>1.2588590606625743E-2</v>
      </c>
      <c r="G958" s="14">
        <f t="shared" si="230"/>
        <v>5.9700703826804501E-2</v>
      </c>
      <c r="H958" s="15">
        <f>yint($B$3:B958,$D$3:D958)</f>
        <v>2.159547825700681E-4</v>
      </c>
      <c r="I958" s="16">
        <f>MyReg($B$3:B958,$D$3:D958)</f>
        <v>0.22489910371942179</v>
      </c>
      <c r="J958" s="17">
        <f>STDEV($D$3:D958)</f>
        <v>1.2854474975781811E-2</v>
      </c>
      <c r="K958" s="4">
        <f t="shared" si="228"/>
        <v>-4.3580343421261781E-4</v>
      </c>
      <c r="L958">
        <f t="shared" si="231"/>
        <v>5.9700703826804501E-2</v>
      </c>
      <c r="M958">
        <f>RSQ($D$3:D958,$B$3:B958)</f>
        <v>4.3921240760708462E-2</v>
      </c>
      <c r="N958">
        <v>926</v>
      </c>
      <c r="O958" t="str">
        <f t="shared" si="229"/>
        <v/>
      </c>
      <c r="P958" t="str">
        <f t="shared" si="233"/>
        <v>close</v>
      </c>
      <c r="Q958">
        <f t="shared" si="234"/>
        <v>0</v>
      </c>
      <c r="R958">
        <f t="shared" si="235"/>
        <v>0</v>
      </c>
      <c r="S958">
        <f t="shared" si="236"/>
        <v>0</v>
      </c>
      <c r="T958">
        <f t="shared" si="237"/>
        <v>0</v>
      </c>
      <c r="U958">
        <f t="shared" si="232"/>
        <v>0</v>
      </c>
      <c r="V958">
        <f t="shared" si="238"/>
        <v>10</v>
      </c>
      <c r="W958">
        <f t="shared" si="226"/>
        <v>57.752760999999992</v>
      </c>
      <c r="X958">
        <f>SUM($W$34:W958)</f>
        <v>261.69801029999957</v>
      </c>
      <c r="Y958">
        <f t="shared" si="239"/>
        <v>261.69801029999957</v>
      </c>
    </row>
    <row r="959" spans="1:25">
      <c r="A959">
        <v>112.41914370000001</v>
      </c>
      <c r="B959" s="2">
        <f t="shared" si="224"/>
        <v>-2.8821431340626215E-3</v>
      </c>
      <c r="C959">
        <v>116.6474228</v>
      </c>
      <c r="D959" s="3">
        <f t="shared" si="225"/>
        <v>-1.5794394523431982E-2</v>
      </c>
      <c r="E959" s="3">
        <f t="shared" si="227"/>
        <v>-1.5345044758451554E-2</v>
      </c>
      <c r="F959" s="3">
        <f>STDEV($E$32:E959)</f>
        <v>1.2591932463902084E-2</v>
      </c>
      <c r="G959" s="14">
        <f t="shared" si="230"/>
        <v>-1.2186409673369798</v>
      </c>
      <c r="H959" s="15">
        <f>yint($B$3:B959,$D$3:D959)</f>
        <v>1.9983549788234141E-4</v>
      </c>
      <c r="I959" s="16">
        <f>MyReg($B$3:B959,$D$3:D959)</f>
        <v>0.22524393573322904</v>
      </c>
      <c r="J959" s="17">
        <f>STDEV($D$3:D959)</f>
        <v>1.2858227664448227E-2</v>
      </c>
      <c r="K959" s="4">
        <f t="shared" si="228"/>
        <v>-4.4934976498042708E-4</v>
      </c>
      <c r="L959">
        <f t="shared" si="231"/>
        <v>-1.2186409673369798</v>
      </c>
      <c r="M959">
        <f>RSQ($D$3:D959,$B$3:B959)</f>
        <v>4.3987302379573906E-2</v>
      </c>
      <c r="N959">
        <v>927</v>
      </c>
      <c r="O959" t="str">
        <f t="shared" si="229"/>
        <v/>
      </c>
      <c r="P959" t="str">
        <f t="shared" si="233"/>
        <v/>
      </c>
      <c r="Q959">
        <f t="shared" si="234"/>
        <v>0</v>
      </c>
      <c r="R959">
        <f t="shared" si="235"/>
        <v>0</v>
      </c>
      <c r="S959">
        <f t="shared" si="236"/>
        <v>0</v>
      </c>
      <c r="T959">
        <f t="shared" si="237"/>
        <v>0</v>
      </c>
      <c r="U959">
        <f t="shared" si="232"/>
        <v>0</v>
      </c>
      <c r="V959">
        <f t="shared" si="238"/>
        <v>0</v>
      </c>
      <c r="W959">
        <f t="shared" si="226"/>
        <v>0</v>
      </c>
      <c r="X959">
        <f>SUM($W$34:W959)</f>
        <v>261.69801029999957</v>
      </c>
      <c r="Y959">
        <f t="shared" si="239"/>
        <v>0</v>
      </c>
    </row>
    <row r="960" spans="1:25">
      <c r="A960">
        <v>113.6224303</v>
      </c>
      <c r="B960" s="2">
        <f t="shared" si="224"/>
        <v>1.0703573789986076E-2</v>
      </c>
      <c r="C960">
        <v>115.0955991</v>
      </c>
      <c r="D960" s="3">
        <f t="shared" si="225"/>
        <v>-1.3303540384777364E-2</v>
      </c>
      <c r="E960" s="3">
        <f t="shared" si="227"/>
        <v>-1.5884889125559416E-2</v>
      </c>
      <c r="F960" s="3">
        <f>STDEV($E$32:E960)</f>
        <v>1.2595965991628976E-2</v>
      </c>
      <c r="G960" s="14">
        <f t="shared" si="230"/>
        <v>-1.2611092421268995</v>
      </c>
      <c r="H960" s="15">
        <f>yint($B$3:B960,$D$3:D960)</f>
        <v>1.8347311927687153E-4</v>
      </c>
      <c r="I960" s="16">
        <f>MyReg($B$3:B960,$D$3:D960)</f>
        <v>0.22402570099984348</v>
      </c>
      <c r="J960" s="17">
        <f>STDEV($D$3:D960)</f>
        <v>1.285895891960123E-2</v>
      </c>
      <c r="K960" s="4">
        <f t="shared" si="228"/>
        <v>2.5813487407820536E-3</v>
      </c>
      <c r="L960">
        <f t="shared" si="231"/>
        <v>-1.2611092421268995</v>
      </c>
      <c r="M960">
        <f>RSQ($D$3:D960,$B$3:B960)</f>
        <v>4.3497359893685285E-2</v>
      </c>
      <c r="N960">
        <v>928</v>
      </c>
      <c r="O960" t="str">
        <f t="shared" si="229"/>
        <v/>
      </c>
      <c r="P960" t="str">
        <f t="shared" si="233"/>
        <v/>
      </c>
      <c r="Q960">
        <f t="shared" si="234"/>
        <v>0</v>
      </c>
      <c r="R960">
        <f t="shared" si="235"/>
        <v>0</v>
      </c>
      <c r="S960">
        <f t="shared" si="236"/>
        <v>0</v>
      </c>
      <c r="T960">
        <f t="shared" si="237"/>
        <v>0</v>
      </c>
      <c r="U960">
        <f t="shared" si="232"/>
        <v>0</v>
      </c>
      <c r="V960">
        <f t="shared" si="238"/>
        <v>0</v>
      </c>
      <c r="W960">
        <f t="shared" si="226"/>
        <v>0</v>
      </c>
      <c r="X960">
        <f>SUM($W$34:W960)</f>
        <v>261.69801029999957</v>
      </c>
      <c r="Y960">
        <f t="shared" si="239"/>
        <v>0</v>
      </c>
    </row>
    <row r="961" spans="1:25">
      <c r="A961">
        <v>110.2271248</v>
      </c>
      <c r="B961" s="2">
        <f t="shared" si="224"/>
        <v>-2.9882352375629535E-2</v>
      </c>
      <c r="C961">
        <v>114.32073219999999</v>
      </c>
      <c r="D961" s="3">
        <f t="shared" si="225"/>
        <v>-6.7323764423587451E-3</v>
      </c>
      <c r="E961" s="3">
        <f t="shared" si="227"/>
        <v>-2.1975475133030435E-4</v>
      </c>
      <c r="F961" s="3">
        <f>STDEV($E$32:E961)</f>
        <v>1.2589187056137546E-2</v>
      </c>
      <c r="G961" s="14">
        <f t="shared" si="230"/>
        <v>-1.7455833355273592E-2</v>
      </c>
      <c r="H961" s="15">
        <f>yint($B$3:B961,$D$3:D961)</f>
        <v>1.8323385212205189E-4</v>
      </c>
      <c r="I961" s="16">
        <f>MyReg($B$3:B961,$D$3:D961)</f>
        <v>0.22407391021234588</v>
      </c>
      <c r="J961" s="17">
        <f>STDEV($D$3:D961)</f>
        <v>1.2854211778228224E-2</v>
      </c>
      <c r="K961" s="4">
        <f t="shared" si="228"/>
        <v>-6.5126216910284408E-3</v>
      </c>
      <c r="L961">
        <f t="shared" si="231"/>
        <v>-1.7455833355273592E-2</v>
      </c>
      <c r="M961">
        <f>RSQ($D$3:D961,$B$3:B961)</f>
        <v>4.378961171133023E-2</v>
      </c>
      <c r="N961">
        <v>929</v>
      </c>
      <c r="O961" t="str">
        <f t="shared" si="229"/>
        <v/>
      </c>
      <c r="P961" t="str">
        <f t="shared" si="233"/>
        <v/>
      </c>
      <c r="Q961">
        <f t="shared" si="234"/>
        <v>0</v>
      </c>
      <c r="R961">
        <f t="shared" si="235"/>
        <v>0</v>
      </c>
      <c r="S961">
        <f t="shared" si="236"/>
        <v>0</v>
      </c>
      <c r="T961">
        <f t="shared" si="237"/>
        <v>0</v>
      </c>
      <c r="U961">
        <f t="shared" si="232"/>
        <v>0</v>
      </c>
      <c r="V961">
        <f t="shared" si="238"/>
        <v>0</v>
      </c>
      <c r="W961">
        <f t="shared" si="226"/>
        <v>0</v>
      </c>
      <c r="X961">
        <f>SUM($W$34:W961)</f>
        <v>261.69801029999957</v>
      </c>
      <c r="Y961">
        <f t="shared" si="239"/>
        <v>0</v>
      </c>
    </row>
    <row r="962" spans="1:25">
      <c r="A962">
        <v>112.04952059999999</v>
      </c>
      <c r="B962" s="2">
        <f t="shared" si="224"/>
        <v>1.6533097486726746E-2</v>
      </c>
      <c r="C962">
        <v>115.1295915</v>
      </c>
      <c r="D962" s="3">
        <f t="shared" si="225"/>
        <v>7.0753509397135303E-3</v>
      </c>
      <c r="E962" s="3">
        <f t="shared" si="227"/>
        <v>3.1780063755512578E-3</v>
      </c>
      <c r="F962" s="3">
        <f>STDEV($E$32:E962)</f>
        <v>1.2582845989167934E-2</v>
      </c>
      <c r="G962" s="14">
        <f t="shared" si="230"/>
        <v>0.25256657979340091</v>
      </c>
      <c r="H962" s="15">
        <f>yint($B$3:B962,$D$3:D962)</f>
        <v>1.8648237715920564E-4</v>
      </c>
      <c r="I962" s="16">
        <f>MyReg($B$3:B962,$D$3:D962)</f>
        <v>0.22445051146539574</v>
      </c>
      <c r="J962" s="17">
        <f>STDEV($D$3:D962)</f>
        <v>1.2849412023999302E-2</v>
      </c>
      <c r="K962" s="4">
        <f t="shared" si="228"/>
        <v>3.8973445641622725E-3</v>
      </c>
      <c r="L962">
        <f t="shared" si="231"/>
        <v>0.25256657979340091</v>
      </c>
      <c r="M962">
        <f>RSQ($D$3:D962,$B$3:B962)</f>
        <v>4.4008975023826606E-2</v>
      </c>
      <c r="N962">
        <v>930</v>
      </c>
      <c r="O962" t="str">
        <f t="shared" si="229"/>
        <v/>
      </c>
      <c r="P962" t="str">
        <f t="shared" si="233"/>
        <v/>
      </c>
      <c r="Q962">
        <f t="shared" si="234"/>
        <v>0</v>
      </c>
      <c r="R962">
        <f t="shared" si="235"/>
        <v>0</v>
      </c>
      <c r="S962">
        <f t="shared" si="236"/>
        <v>0</v>
      </c>
      <c r="T962">
        <f t="shared" si="237"/>
        <v>0</v>
      </c>
      <c r="U962">
        <f t="shared" si="232"/>
        <v>0</v>
      </c>
      <c r="V962">
        <f t="shared" si="238"/>
        <v>0</v>
      </c>
      <c r="W962">
        <f t="shared" si="226"/>
        <v>0</v>
      </c>
      <c r="X962">
        <f>SUM($W$34:W962)</f>
        <v>261.69801029999957</v>
      </c>
      <c r="Y962">
        <f t="shared" si="239"/>
        <v>0</v>
      </c>
    </row>
    <row r="963" spans="1:25">
      <c r="A963">
        <v>109.72936369999999</v>
      </c>
      <c r="B963" s="2">
        <f t="shared" si="224"/>
        <v>-2.070653125132604E-2</v>
      </c>
      <c r="C963">
        <v>114.33984100000001</v>
      </c>
      <c r="D963" s="3">
        <f t="shared" si="225"/>
        <v>-6.8596656142916714E-3</v>
      </c>
      <c r="E963" s="3">
        <f t="shared" si="227"/>
        <v>-2.3885276176638902E-3</v>
      </c>
      <c r="F963" s="3">
        <f>STDEV($E$32:E963)</f>
        <v>1.2576332000635154E-2</v>
      </c>
      <c r="G963" s="14">
        <f t="shared" si="230"/>
        <v>-0.18992243664871922</v>
      </c>
      <c r="H963" s="15">
        <f>yint($B$3:B963,$D$3:D963)</f>
        <v>1.8392556057229137E-4</v>
      </c>
      <c r="I963" s="16">
        <f>MyReg($B$3:B963,$D$3:D963)</f>
        <v>0.22481136510500588</v>
      </c>
      <c r="J963" s="17">
        <f>STDEV($D$3:D963)</f>
        <v>1.2844753586377142E-2</v>
      </c>
      <c r="K963" s="4">
        <f t="shared" si="228"/>
        <v>-4.4711379966277812E-3</v>
      </c>
      <c r="L963">
        <f t="shared" si="231"/>
        <v>-0.18992243664871922</v>
      </c>
      <c r="M963">
        <f>RSQ($D$3:D963,$B$3:B963)</f>
        <v>4.4275801848988543E-2</v>
      </c>
      <c r="N963">
        <v>931</v>
      </c>
      <c r="O963" t="str">
        <f t="shared" si="229"/>
        <v/>
      </c>
      <c r="P963" t="str">
        <f t="shared" si="233"/>
        <v/>
      </c>
      <c r="Q963">
        <f t="shared" si="234"/>
        <v>0</v>
      </c>
      <c r="R963">
        <f t="shared" si="235"/>
        <v>0</v>
      </c>
      <c r="S963">
        <f t="shared" si="236"/>
        <v>0</v>
      </c>
      <c r="T963">
        <f t="shared" si="237"/>
        <v>0</v>
      </c>
      <c r="U963">
        <f t="shared" si="232"/>
        <v>0</v>
      </c>
      <c r="V963">
        <f t="shared" si="238"/>
        <v>0</v>
      </c>
      <c r="W963">
        <f t="shared" si="226"/>
        <v>0</v>
      </c>
      <c r="X963">
        <f>SUM($W$34:W963)</f>
        <v>261.69801029999957</v>
      </c>
      <c r="Y963">
        <f t="shared" si="239"/>
        <v>0</v>
      </c>
    </row>
    <row r="964" spans="1:25">
      <c r="A964">
        <v>108.0235608</v>
      </c>
      <c r="B964" s="2">
        <f t="shared" ref="B964:B1001" si="240">(A964-A963)/A963</f>
        <v>-1.5545546264750599E-2</v>
      </c>
      <c r="C964">
        <v>112.5691144</v>
      </c>
      <c r="D964" s="3">
        <f t="shared" ref="D964:D1001" si="241">(C964-C963)/C963</f>
        <v>-1.54865231971068E-2</v>
      </c>
      <c r="E964" s="3">
        <f t="shared" si="227"/>
        <v>-1.2141391403969425E-2</v>
      </c>
      <c r="F964" s="3">
        <f>STDEV($E$32:E964)</f>
        <v>1.2575874945160321E-2</v>
      </c>
      <c r="G964" s="14">
        <f t="shared" si="230"/>
        <v>-0.9654510288082897</v>
      </c>
      <c r="H964" s="15">
        <f>yint($B$3:B964,$D$3:D964)</f>
        <v>1.7105930230542867E-4</v>
      </c>
      <c r="I964" s="16">
        <f>MyReg($B$3:B964,$D$3:D964)</f>
        <v>0.22618639676984131</v>
      </c>
      <c r="J964" s="17">
        <f>STDEV($D$3:D964)</f>
        <v>1.2848054805162207E-2</v>
      </c>
      <c r="K964" s="4">
        <f t="shared" si="228"/>
        <v>-3.3451317931373747E-3</v>
      </c>
      <c r="L964">
        <f t="shared" si="231"/>
        <v>-0.9654510288082897</v>
      </c>
      <c r="M964">
        <f>RSQ($D$3:D964,$B$3:B964)</f>
        <v>4.4828987252430723E-2</v>
      </c>
      <c r="N964">
        <v>932</v>
      </c>
      <c r="O964" t="str">
        <f t="shared" si="229"/>
        <v/>
      </c>
      <c r="P964" t="str">
        <f t="shared" si="233"/>
        <v/>
      </c>
      <c r="Q964">
        <f t="shared" si="234"/>
        <v>0</v>
      </c>
      <c r="R964">
        <f t="shared" si="235"/>
        <v>0</v>
      </c>
      <c r="S964">
        <f t="shared" si="236"/>
        <v>0</v>
      </c>
      <c r="T964">
        <f t="shared" si="237"/>
        <v>0</v>
      </c>
      <c r="U964">
        <f t="shared" si="232"/>
        <v>0</v>
      </c>
      <c r="V964">
        <f t="shared" si="238"/>
        <v>0</v>
      </c>
      <c r="W964">
        <f t="shared" si="226"/>
        <v>0</v>
      </c>
      <c r="X964">
        <f>SUM($W$34:W964)</f>
        <v>261.69801029999957</v>
      </c>
      <c r="Y964">
        <f t="shared" si="239"/>
        <v>0</v>
      </c>
    </row>
    <row r="965" spans="1:25">
      <c r="A965">
        <v>107.8432837</v>
      </c>
      <c r="B965" s="2">
        <f t="shared" si="240"/>
        <v>-1.6688683345087237E-3</v>
      </c>
      <c r="C965">
        <v>112.8167184</v>
      </c>
      <c r="D965" s="3">
        <f t="shared" si="241"/>
        <v>2.1995731361993862E-3</v>
      </c>
      <c r="E965" s="3">
        <f t="shared" si="227"/>
        <v>2.4034334191634127E-3</v>
      </c>
      <c r="F965" s="3">
        <f>STDEV($E$32:E965)</f>
        <v>1.2569380705498647E-2</v>
      </c>
      <c r="G965" s="14">
        <f t="shared" si="230"/>
        <v>0.19121335215123192</v>
      </c>
      <c r="H965" s="15">
        <f>yint($B$3:B965,$D$3:D965)</f>
        <v>1.7356247599939186E-4</v>
      </c>
      <c r="I965" s="16">
        <f>MyReg($B$3:B965,$D$3:D965)</f>
        <v>0.22615490458959595</v>
      </c>
      <c r="J965" s="17">
        <f>STDEV($D$3:D965)</f>
        <v>1.2841536050117043E-2</v>
      </c>
      <c r="K965" s="4">
        <f t="shared" si="228"/>
        <v>-2.0386028296402644E-4</v>
      </c>
      <c r="L965">
        <f t="shared" si="231"/>
        <v>0.19121335215123192</v>
      </c>
      <c r="M965">
        <f>RSQ($D$3:D965,$B$3:B965)</f>
        <v>4.4816451244311058E-2</v>
      </c>
      <c r="N965">
        <v>933</v>
      </c>
      <c r="O965" t="str">
        <f t="shared" si="229"/>
        <v/>
      </c>
      <c r="P965" t="str">
        <f t="shared" si="233"/>
        <v/>
      </c>
      <c r="Q965">
        <f t="shared" si="234"/>
        <v>0</v>
      </c>
      <c r="R965">
        <f t="shared" si="235"/>
        <v>0</v>
      </c>
      <c r="S965">
        <f t="shared" si="236"/>
        <v>0</v>
      </c>
      <c r="T965">
        <f t="shared" si="237"/>
        <v>0</v>
      </c>
      <c r="U965">
        <f t="shared" si="232"/>
        <v>0</v>
      </c>
      <c r="V965">
        <f t="shared" si="238"/>
        <v>0</v>
      </c>
      <c r="W965">
        <f t="shared" si="226"/>
        <v>0</v>
      </c>
      <c r="X965">
        <f>SUM($W$34:W965)</f>
        <v>261.69801029999957</v>
      </c>
      <c r="Y965">
        <f t="shared" si="239"/>
        <v>0</v>
      </c>
    </row>
    <row r="966" spans="1:25">
      <c r="A966">
        <v>105.82584540000001</v>
      </c>
      <c r="B966" s="2">
        <f t="shared" si="240"/>
        <v>-1.8707129742192696E-2</v>
      </c>
      <c r="C966">
        <v>111.7155406</v>
      </c>
      <c r="D966" s="3">
        <f t="shared" si="241"/>
        <v>-9.7607678686034358E-3</v>
      </c>
      <c r="E966" s="3">
        <f t="shared" si="227"/>
        <v>-5.6831806287875068E-3</v>
      </c>
      <c r="F966" s="3">
        <f>STDEV($E$32:E966)</f>
        <v>1.2564023728783786E-2</v>
      </c>
      <c r="G966" s="14">
        <f t="shared" si="230"/>
        <v>-0.45233762299951069</v>
      </c>
      <c r="H966" s="15">
        <f>yint($B$3:B966,$D$3:D966)</f>
        <v>1.6754483117965407E-4</v>
      </c>
      <c r="I966" s="16">
        <f>MyReg($B$3:B966,$D$3:D966)</f>
        <v>0.22692589026209448</v>
      </c>
      <c r="J966" s="17">
        <f>STDEV($D$3:D966)</f>
        <v>1.2838881835884497E-2</v>
      </c>
      <c r="K966" s="4">
        <f t="shared" si="228"/>
        <v>-4.077587239815929E-3</v>
      </c>
      <c r="L966">
        <f t="shared" si="231"/>
        <v>-0.45233762299951069</v>
      </c>
      <c r="M966">
        <f>RSQ($D$3:D966,$B$3:B966)</f>
        <v>4.520956613827206E-2</v>
      </c>
      <c r="N966">
        <v>934</v>
      </c>
      <c r="O966" t="str">
        <f t="shared" si="229"/>
        <v/>
      </c>
      <c r="P966" t="str">
        <f t="shared" si="233"/>
        <v/>
      </c>
      <c r="Q966">
        <f t="shared" si="234"/>
        <v>0</v>
      </c>
      <c r="R966">
        <f t="shared" si="235"/>
        <v>0</v>
      </c>
      <c r="S966">
        <f t="shared" si="236"/>
        <v>0</v>
      </c>
      <c r="T966">
        <f t="shared" si="237"/>
        <v>0</v>
      </c>
      <c r="U966">
        <f t="shared" si="232"/>
        <v>0</v>
      </c>
      <c r="V966">
        <f t="shared" si="238"/>
        <v>0</v>
      </c>
      <c r="W966">
        <f t="shared" si="226"/>
        <v>0</v>
      </c>
      <c r="X966">
        <f>SUM($W$34:W966)</f>
        <v>261.69801029999957</v>
      </c>
      <c r="Y966">
        <f t="shared" si="239"/>
        <v>0</v>
      </c>
    </row>
    <row r="967" spans="1:25">
      <c r="A967">
        <v>105.8428025</v>
      </c>
      <c r="B967" s="2">
        <f t="shared" si="240"/>
        <v>1.6023590395998914E-4</v>
      </c>
      <c r="C967">
        <v>108.25568319999999</v>
      </c>
      <c r="D967" s="3">
        <f t="shared" si="241"/>
        <v>-3.0970242648586388E-2</v>
      </c>
      <c r="E967" s="3">
        <f t="shared" si="227"/>
        <v>-3.1141844146787608E-2</v>
      </c>
      <c r="F967" s="3">
        <f>STDEV($E$32:E967)</f>
        <v>1.2598469135311973E-2</v>
      </c>
      <c r="G967" s="14">
        <f t="shared" si="230"/>
        <v>-2.471875258201079</v>
      </c>
      <c r="H967" s="15">
        <f>yint($B$3:B967,$D$3:D967)</f>
        <v>1.3524086866057756E-4</v>
      </c>
      <c r="I967" s="16">
        <f>MyReg($B$3:B967,$D$3:D967)</f>
        <v>0.22691936477434324</v>
      </c>
      <c r="J967" s="17">
        <f>STDEV($D$3:D967)</f>
        <v>1.2871384590670108E-2</v>
      </c>
      <c r="K967" s="4">
        <f t="shared" si="228"/>
        <v>1.7160149820122096E-4</v>
      </c>
      <c r="L967">
        <f t="shared" si="231"/>
        <v>-2.471875258201079</v>
      </c>
      <c r="M967">
        <f>RSQ($D$3:D967,$B$3:B967)</f>
        <v>4.4932283168306365E-2</v>
      </c>
      <c r="N967">
        <v>935</v>
      </c>
      <c r="O967" t="str">
        <f t="shared" si="229"/>
        <v>buyY</v>
      </c>
      <c r="P967" t="str">
        <f t="shared" si="233"/>
        <v/>
      </c>
      <c r="Q967">
        <f t="shared" si="234"/>
        <v>-15</v>
      </c>
      <c r="R967">
        <f t="shared" si="235"/>
        <v>-5</v>
      </c>
      <c r="S967">
        <f t="shared" si="236"/>
        <v>15</v>
      </c>
      <c r="T967">
        <f t="shared" si="237"/>
        <v>5</v>
      </c>
      <c r="U967">
        <f t="shared" si="232"/>
        <v>30</v>
      </c>
      <c r="V967">
        <f t="shared" si="238"/>
        <v>-15</v>
      </c>
      <c r="W967">
        <f t="shared" si="226"/>
        <v>-36.193210499999822</v>
      </c>
      <c r="X967">
        <f>SUM($W$34:W967)</f>
        <v>225.50479979999974</v>
      </c>
      <c r="Y967">
        <f t="shared" si="239"/>
        <v>0</v>
      </c>
    </row>
    <row r="968" spans="1:25">
      <c r="A968">
        <v>107.8060981</v>
      </c>
      <c r="B968" s="2">
        <f t="shared" si="240"/>
        <v>1.85491649278655E-2</v>
      </c>
      <c r="C968">
        <v>107.9348964</v>
      </c>
      <c r="D968" s="3">
        <f t="shared" si="241"/>
        <v>-2.9632328808765341E-3</v>
      </c>
      <c r="E968" s="3">
        <f t="shared" si="227"/>
        <v>-7.2823656328785992E-3</v>
      </c>
      <c r="F968" s="3">
        <f>STDEV($E$32:E968)</f>
        <v>1.2593958933132683E-2</v>
      </c>
      <c r="G968" s="14">
        <f t="shared" si="230"/>
        <v>-0.57824276476873882</v>
      </c>
      <c r="H968" s="15">
        <f>yint($B$3:B968,$D$3:D968)</f>
        <v>1.278205174468484E-4</v>
      </c>
      <c r="I968" s="16">
        <f>MyReg($B$3:B968,$D$3:D968)</f>
        <v>0.22595692317441279</v>
      </c>
      <c r="J968" s="17">
        <f>STDEV($D$3:D968)</f>
        <v>1.2865107463360101E-2</v>
      </c>
      <c r="K968" s="4">
        <f t="shared" si="228"/>
        <v>4.3191327520020655E-3</v>
      </c>
      <c r="L968">
        <f t="shared" si="231"/>
        <v>-0.57824276476873882</v>
      </c>
      <c r="M968">
        <f>RSQ($D$3:D968,$B$3:B968)</f>
        <v>4.4657545763761269E-2</v>
      </c>
      <c r="N968">
        <v>936</v>
      </c>
      <c r="O968" t="str">
        <f t="shared" si="229"/>
        <v/>
      </c>
      <c r="P968" t="str">
        <f t="shared" si="233"/>
        <v>buyhold</v>
      </c>
      <c r="Q968">
        <f t="shared" si="234"/>
        <v>-15</v>
      </c>
      <c r="R968">
        <f t="shared" si="235"/>
        <v>0</v>
      </c>
      <c r="S968">
        <f t="shared" si="236"/>
        <v>15</v>
      </c>
      <c r="T968">
        <f t="shared" si="237"/>
        <v>0</v>
      </c>
      <c r="U968">
        <f t="shared" si="232"/>
        <v>30</v>
      </c>
      <c r="V968">
        <f t="shared" si="238"/>
        <v>0</v>
      </c>
      <c r="W968">
        <f t="shared" si="226"/>
        <v>0</v>
      </c>
      <c r="X968">
        <f>SUM($W$34:W968)</f>
        <v>225.50479979999974</v>
      </c>
      <c r="Y968">
        <f t="shared" si="239"/>
        <v>0</v>
      </c>
    </row>
    <row r="969" spans="1:25">
      <c r="A969">
        <v>107.98233430000001</v>
      </c>
      <c r="B969" s="2">
        <f t="shared" si="240"/>
        <v>1.6347516801557007E-3</v>
      </c>
      <c r="C969">
        <v>107.94261950000001</v>
      </c>
      <c r="D969" s="3">
        <f t="shared" si="241"/>
        <v>7.1553318320569269E-5</v>
      </c>
      <c r="E969" s="3">
        <f t="shared" si="227"/>
        <v>-4.2520378080205385E-4</v>
      </c>
      <c r="F969" s="3">
        <f>STDEV($E$32:E969)</f>
        <v>1.2587242754691249E-2</v>
      </c>
      <c r="G969" s="14">
        <f t="shared" si="230"/>
        <v>-3.3780533917452331E-2</v>
      </c>
      <c r="H969" s="15">
        <f>yint($B$3:B969,$D$3:D969)</f>
        <v>1.2738102629900196E-4</v>
      </c>
      <c r="I969" s="16">
        <f>MyReg($B$3:B969,$D$3:D969)</f>
        <v>0.22595240445841913</v>
      </c>
      <c r="J969" s="17">
        <f>STDEV($D$3:D969)</f>
        <v>1.2858447107915448E-2</v>
      </c>
      <c r="K969" s="4">
        <f t="shared" si="228"/>
        <v>4.967570991226231E-4</v>
      </c>
      <c r="L969">
        <f t="shared" si="231"/>
        <v>-3.3780533917452331E-2</v>
      </c>
      <c r="M969">
        <f>RSQ($D$3:D969,$B$3:B969)</f>
        <v>4.4656461194963269E-2</v>
      </c>
      <c r="N969">
        <v>937</v>
      </c>
      <c r="O969" t="str">
        <f t="shared" si="229"/>
        <v/>
      </c>
      <c r="P969" t="str">
        <f t="shared" si="233"/>
        <v>close</v>
      </c>
      <c r="Q969">
        <f t="shared" si="234"/>
        <v>0</v>
      </c>
      <c r="R969">
        <f t="shared" si="235"/>
        <v>0</v>
      </c>
      <c r="S969">
        <f t="shared" si="236"/>
        <v>0</v>
      </c>
      <c r="T969">
        <f t="shared" si="237"/>
        <v>0</v>
      </c>
      <c r="U969">
        <f t="shared" si="232"/>
        <v>0</v>
      </c>
      <c r="V969">
        <f t="shared" si="238"/>
        <v>15</v>
      </c>
      <c r="W969">
        <f t="shared" si="226"/>
        <v>-0.59572199999998077</v>
      </c>
      <c r="X969">
        <f>SUM($W$34:W969)</f>
        <v>224.90907779999975</v>
      </c>
      <c r="Y969">
        <f t="shared" si="239"/>
        <v>224.90907779999975</v>
      </c>
    </row>
    <row r="970" spans="1:25">
      <c r="A970">
        <v>111.37351459999999</v>
      </c>
      <c r="B970" s="2">
        <f t="shared" si="240"/>
        <v>3.1404954541716996E-2</v>
      </c>
      <c r="C970">
        <v>108.54690720000001</v>
      </c>
      <c r="D970" s="3">
        <f t="shared" si="241"/>
        <v>5.5982308267032597E-3</v>
      </c>
      <c r="E970" s="3">
        <f t="shared" si="227"/>
        <v>-1.6122355609396073E-3</v>
      </c>
      <c r="F970" s="3">
        <f>STDEV($E$32:E970)</f>
        <v>1.2580634661100052E-2</v>
      </c>
      <c r="G970" s="14">
        <f t="shared" si="230"/>
        <v>-0.1281521643677262</v>
      </c>
      <c r="H970" s="15">
        <f>yint($B$3:B970,$D$3:D970)</f>
        <v>1.2576847387156612E-4</v>
      </c>
      <c r="I970" s="16">
        <f>MyReg($B$3:B970,$D$3:D970)</f>
        <v>0.22559172643795078</v>
      </c>
      <c r="J970" s="17">
        <f>STDEV($D$3:D970)</f>
        <v>1.2852984611984775E-2</v>
      </c>
      <c r="K970" s="4">
        <f t="shared" si="228"/>
        <v>7.210466387642867E-3</v>
      </c>
      <c r="L970">
        <f t="shared" si="231"/>
        <v>-0.1281521643677262</v>
      </c>
      <c r="M970">
        <f>RSQ($D$3:D970,$B$3:B970)</f>
        <v>4.4816633753330094E-2</v>
      </c>
      <c r="N970">
        <v>938</v>
      </c>
      <c r="O970" t="str">
        <f t="shared" si="229"/>
        <v/>
      </c>
      <c r="P970" t="str">
        <f t="shared" si="233"/>
        <v/>
      </c>
      <c r="Q970">
        <f t="shared" si="234"/>
        <v>0</v>
      </c>
      <c r="R970">
        <f t="shared" si="235"/>
        <v>0</v>
      </c>
      <c r="S970">
        <f t="shared" si="236"/>
        <v>0</v>
      </c>
      <c r="T970">
        <f t="shared" si="237"/>
        <v>0</v>
      </c>
      <c r="U970">
        <f t="shared" si="232"/>
        <v>0</v>
      </c>
      <c r="V970">
        <f t="shared" si="238"/>
        <v>0</v>
      </c>
      <c r="W970">
        <f t="shared" si="226"/>
        <v>0</v>
      </c>
      <c r="X970">
        <f>SUM($W$34:W970)</f>
        <v>224.90907779999975</v>
      </c>
      <c r="Y970">
        <f t="shared" si="239"/>
        <v>0</v>
      </c>
    </row>
    <row r="971" spans="1:25">
      <c r="A971">
        <v>111.6651504</v>
      </c>
      <c r="B971" s="2">
        <f t="shared" si="240"/>
        <v>2.6185381780167759E-3</v>
      </c>
      <c r="C971">
        <v>109.7682588</v>
      </c>
      <c r="D971" s="3">
        <f t="shared" si="241"/>
        <v>1.1251832332261893E-2</v>
      </c>
      <c r="E971" s="3">
        <f t="shared" si="227"/>
        <v>1.0524027971009207E-2</v>
      </c>
      <c r="F971" s="3">
        <f>STDEV($E$32:E971)</f>
        <v>1.257866432522997E-2</v>
      </c>
      <c r="G971" s="14">
        <f t="shared" si="230"/>
        <v>0.83665703280596937</v>
      </c>
      <c r="H971" s="15">
        <f>yint($B$3:B971,$D$3:D971)</f>
        <v>1.3660690049050622E-4</v>
      </c>
      <c r="I971" s="16">
        <f>MyReg($B$3:B971,$D$3:D971)</f>
        <v>0.22577385570522432</v>
      </c>
      <c r="J971" s="17">
        <f>STDEV($D$3:D971)</f>
        <v>1.2851278202486964E-2</v>
      </c>
      <c r="K971" s="4">
        <f t="shared" si="228"/>
        <v>7.2780436125268681E-4</v>
      </c>
      <c r="L971">
        <f t="shared" si="231"/>
        <v>0.83665703280596937</v>
      </c>
      <c r="M971">
        <f>RSQ($D$3:D971,$B$3:B971)</f>
        <v>4.4856451773698645E-2</v>
      </c>
      <c r="N971">
        <v>939</v>
      </c>
      <c r="O971" t="str">
        <f t="shared" si="229"/>
        <v/>
      </c>
      <c r="P971" t="str">
        <f t="shared" si="233"/>
        <v/>
      </c>
      <c r="Q971">
        <f t="shared" si="234"/>
        <v>0</v>
      </c>
      <c r="R971">
        <f t="shared" si="235"/>
        <v>0</v>
      </c>
      <c r="S971">
        <f t="shared" si="236"/>
        <v>0</v>
      </c>
      <c r="T971">
        <f t="shared" si="237"/>
        <v>0</v>
      </c>
      <c r="U971">
        <f t="shared" si="232"/>
        <v>0</v>
      </c>
      <c r="V971">
        <f t="shared" si="238"/>
        <v>0</v>
      </c>
      <c r="W971">
        <f t="shared" si="226"/>
        <v>0</v>
      </c>
      <c r="X971">
        <f>SUM($W$34:W971)</f>
        <v>224.90907779999975</v>
      </c>
      <c r="Y971">
        <f t="shared" si="239"/>
        <v>0</v>
      </c>
    </row>
    <row r="972" spans="1:25">
      <c r="A972">
        <v>113.2095489</v>
      </c>
      <c r="B972" s="2">
        <f t="shared" si="240"/>
        <v>1.3830622127563979E-2</v>
      </c>
      <c r="C972">
        <v>110.346807</v>
      </c>
      <c r="D972" s="3">
        <f t="shared" si="241"/>
        <v>5.2706329345546671E-3</v>
      </c>
      <c r="E972" s="3">
        <f t="shared" si="227"/>
        <v>2.0067068336907003E-3</v>
      </c>
      <c r="F972" s="3">
        <f>STDEV($E$32:E972)</f>
        <v>1.2572148864495074E-2</v>
      </c>
      <c r="G972" s="14">
        <f t="shared" si="230"/>
        <v>0.15961526190306483</v>
      </c>
      <c r="H972" s="15">
        <f>yint($B$3:B972,$D$3:D972)</f>
        <v>1.3864151580000872E-4</v>
      </c>
      <c r="I972" s="16">
        <f>MyReg($B$3:B972,$D$3:D972)</f>
        <v>0.22596847460935021</v>
      </c>
      <c r="J972" s="17">
        <f>STDEV($D$3:D972)</f>
        <v>1.2845685738372487E-2</v>
      </c>
      <c r="K972" s="4">
        <f t="shared" si="228"/>
        <v>3.2639261008639668E-3</v>
      </c>
      <c r="L972">
        <f t="shared" si="231"/>
        <v>0.15961526190306483</v>
      </c>
      <c r="M972">
        <f>RSQ($D$3:D972,$B$3:B972)</f>
        <v>4.4985928263917063E-2</v>
      </c>
      <c r="N972">
        <v>940</v>
      </c>
      <c r="O972" t="str">
        <f t="shared" si="229"/>
        <v/>
      </c>
      <c r="P972" t="str">
        <f t="shared" si="233"/>
        <v/>
      </c>
      <c r="Q972">
        <f t="shared" si="234"/>
        <v>0</v>
      </c>
      <c r="R972">
        <f t="shared" si="235"/>
        <v>0</v>
      </c>
      <c r="S972">
        <f t="shared" si="236"/>
        <v>0</v>
      </c>
      <c r="T972">
        <f t="shared" si="237"/>
        <v>0</v>
      </c>
      <c r="U972">
        <f t="shared" si="232"/>
        <v>0</v>
      </c>
      <c r="V972">
        <f t="shared" si="238"/>
        <v>0</v>
      </c>
      <c r="W972">
        <f t="shared" ref="W972:W1001" si="242">IF(ABS(V972)&gt;0,V972*(C972-A972),0)</f>
        <v>0</v>
      </c>
      <c r="X972">
        <f>SUM($W$34:W972)</f>
        <v>224.90907779999975</v>
      </c>
      <c r="Y972">
        <f t="shared" si="239"/>
        <v>0</v>
      </c>
    </row>
    <row r="973" spans="1:25">
      <c r="A973">
        <v>110.89955089999999</v>
      </c>
      <c r="B973" s="2">
        <f t="shared" si="240"/>
        <v>-2.0404621539835563E-2</v>
      </c>
      <c r="C973">
        <v>108.1137088</v>
      </c>
      <c r="D973" s="3">
        <f t="shared" si="241"/>
        <v>-2.0237089415736341E-2</v>
      </c>
      <c r="E973" s="3">
        <f t="shared" si="227"/>
        <v>-1.5701419807528445E-2</v>
      </c>
      <c r="F973" s="3">
        <f>STDEV($E$32:E973)</f>
        <v>1.2575826110820179E-2</v>
      </c>
      <c r="G973" s="14">
        <f t="shared" si="230"/>
        <v>-1.2485398310349585</v>
      </c>
      <c r="H973" s="15">
        <f>yint($B$3:B973,$D$3:D973)</f>
        <v>1.2199393503930977E-4</v>
      </c>
      <c r="I973" s="16">
        <f>MyReg($B$3:B973,$D$3:D973)</f>
        <v>0.22826512778755223</v>
      </c>
      <c r="J973" s="17">
        <f>STDEV($D$3:D973)</f>
        <v>1.2855776942567938E-2</v>
      </c>
      <c r="K973" s="4">
        <f t="shared" si="228"/>
        <v>-4.5356696082078955E-3</v>
      </c>
      <c r="L973">
        <f t="shared" si="231"/>
        <v>-1.2485398310349585</v>
      </c>
      <c r="M973">
        <f>RSQ($D$3:D973,$B$3:B973)</f>
        <v>4.5923576868887026E-2</v>
      </c>
      <c r="N973">
        <v>941</v>
      </c>
      <c r="O973" t="str">
        <f t="shared" si="229"/>
        <v/>
      </c>
      <c r="P973" t="str">
        <f t="shared" si="233"/>
        <v/>
      </c>
      <c r="Q973">
        <f t="shared" si="234"/>
        <v>0</v>
      </c>
      <c r="R973">
        <f t="shared" si="235"/>
        <v>0</v>
      </c>
      <c r="S973">
        <f t="shared" si="236"/>
        <v>0</v>
      </c>
      <c r="T973">
        <f t="shared" si="237"/>
        <v>0</v>
      </c>
      <c r="U973">
        <f t="shared" si="232"/>
        <v>0</v>
      </c>
      <c r="V973">
        <f t="shared" si="238"/>
        <v>0</v>
      </c>
      <c r="W973">
        <f t="shared" si="242"/>
        <v>0</v>
      </c>
      <c r="X973">
        <f>SUM($W$34:W973)</f>
        <v>224.90907779999975</v>
      </c>
      <c r="Y973">
        <f t="shared" si="239"/>
        <v>0</v>
      </c>
    </row>
    <row r="974" spans="1:25">
      <c r="A974">
        <v>111.8153945</v>
      </c>
      <c r="B974" s="2">
        <f t="shared" si="240"/>
        <v>8.2583165807933161E-3</v>
      </c>
      <c r="C974">
        <v>108.630925</v>
      </c>
      <c r="D974" s="3">
        <f t="shared" si="241"/>
        <v>4.7840020080784345E-3</v>
      </c>
      <c r="E974" s="3">
        <f t="shared" si="227"/>
        <v>2.7727859086506832E-3</v>
      </c>
      <c r="F974" s="3">
        <f>STDEV($E$32:E974)</f>
        <v>1.2569486531881365E-2</v>
      </c>
      <c r="G974" s="14">
        <f t="shared" si="230"/>
        <v>0.22059659331491088</v>
      </c>
      <c r="H974" s="15">
        <f>yint($B$3:B974,$D$3:D974)</f>
        <v>1.2482110474219214E-4</v>
      </c>
      <c r="I974" s="16">
        <f>MyReg($B$3:B974,$D$3:D974)</f>
        <v>0.22842367160794255</v>
      </c>
      <c r="J974" s="17">
        <f>STDEV($D$3:D974)</f>
        <v>1.2850010245093276E-2</v>
      </c>
      <c r="K974" s="4">
        <f t="shared" si="228"/>
        <v>2.0112160994277513E-3</v>
      </c>
      <c r="L974">
        <f t="shared" si="231"/>
        <v>0.22059659331491088</v>
      </c>
      <c r="M974">
        <f>RSQ($D$3:D974,$B$3:B974)</f>
        <v>4.6002492777142516E-2</v>
      </c>
      <c r="N974">
        <v>942</v>
      </c>
      <c r="O974" t="str">
        <f t="shared" si="229"/>
        <v/>
      </c>
      <c r="P974" t="str">
        <f t="shared" si="233"/>
        <v/>
      </c>
      <c r="Q974">
        <f t="shared" si="234"/>
        <v>0</v>
      </c>
      <c r="R974">
        <f t="shared" si="235"/>
        <v>0</v>
      </c>
      <c r="S974">
        <f t="shared" si="236"/>
        <v>0</v>
      </c>
      <c r="T974">
        <f t="shared" si="237"/>
        <v>0</v>
      </c>
      <c r="U974">
        <f t="shared" si="232"/>
        <v>0</v>
      </c>
      <c r="V974">
        <f t="shared" si="238"/>
        <v>0</v>
      </c>
      <c r="W974">
        <f t="shared" si="242"/>
        <v>0</v>
      </c>
      <c r="X974">
        <f>SUM($W$34:W974)</f>
        <v>224.90907779999975</v>
      </c>
      <c r="Y974">
        <f t="shared" si="239"/>
        <v>0</v>
      </c>
    </row>
    <row r="975" spans="1:25">
      <c r="A975">
        <v>112.3447125</v>
      </c>
      <c r="B975" s="2">
        <f t="shared" si="240"/>
        <v>4.7338562133320879E-3</v>
      </c>
      <c r="C975">
        <v>107.19329949999999</v>
      </c>
      <c r="D975" s="3">
        <f t="shared" si="241"/>
        <v>-1.3234035335702148E-2</v>
      </c>
      <c r="E975" s="3">
        <f t="shared" si="227"/>
        <v>-1.4423233713004344E-2</v>
      </c>
      <c r="F975" s="3">
        <f>STDEV($E$32:E975)</f>
        <v>1.2571525022263892E-2</v>
      </c>
      <c r="G975" s="14">
        <f t="shared" si="230"/>
        <v>-1.1472938794188545</v>
      </c>
      <c r="H975" s="15">
        <f>yint($B$3:B975,$D$3:D975)</f>
        <v>1.1006941776960878E-4</v>
      </c>
      <c r="I975" s="16">
        <f>MyReg($B$3:B975,$D$3:D975)</f>
        <v>0.22795980927629494</v>
      </c>
      <c r="J975" s="17">
        <f>STDEV($D$3:D975)</f>
        <v>1.2850582623804006E-2</v>
      </c>
      <c r="K975" s="4">
        <f t="shared" si="228"/>
        <v>1.1891983773021954E-3</v>
      </c>
      <c r="L975">
        <f t="shared" si="231"/>
        <v>-1.1472938794188545</v>
      </c>
      <c r="M975">
        <f>RSQ($D$3:D975,$B$3:B975)</f>
        <v>4.577131865740959E-2</v>
      </c>
      <c r="N975">
        <v>943</v>
      </c>
      <c r="O975" t="str">
        <f t="shared" si="229"/>
        <v/>
      </c>
      <c r="P975" t="str">
        <f t="shared" si="233"/>
        <v/>
      </c>
      <c r="Q975">
        <f t="shared" si="234"/>
        <v>0</v>
      </c>
      <c r="R975">
        <f t="shared" si="235"/>
        <v>0</v>
      </c>
      <c r="S975">
        <f t="shared" si="236"/>
        <v>0</v>
      </c>
      <c r="T975">
        <f t="shared" si="237"/>
        <v>0</v>
      </c>
      <c r="U975">
        <f t="shared" si="232"/>
        <v>0</v>
      </c>
      <c r="V975">
        <f t="shared" si="238"/>
        <v>0</v>
      </c>
      <c r="W975">
        <f t="shared" si="242"/>
        <v>0</v>
      </c>
      <c r="X975">
        <f>SUM($W$34:W975)</f>
        <v>224.90907779999975</v>
      </c>
      <c r="Y975">
        <f t="shared" si="239"/>
        <v>0</v>
      </c>
    </row>
    <row r="976" spans="1:25">
      <c r="A976">
        <v>112.8754843</v>
      </c>
      <c r="B976" s="2">
        <f t="shared" si="240"/>
        <v>4.7244929306307724E-3</v>
      </c>
      <c r="C976">
        <v>107.1670321</v>
      </c>
      <c r="D976" s="3">
        <f t="shared" si="241"/>
        <v>-2.4504703300036701E-4</v>
      </c>
      <c r="E976" s="3">
        <f t="shared" si="227"/>
        <v>-1.4304330073144494E-3</v>
      </c>
      <c r="F976" s="3">
        <f>STDEV($E$32:E976)</f>
        <v>1.2564942892283595E-2</v>
      </c>
      <c r="G976" s="14">
        <f t="shared" si="230"/>
        <v>-0.11384317617495178</v>
      </c>
      <c r="H976" s="15">
        <f>yint($B$3:B976,$D$3:D976)</f>
        <v>1.0860810903409373E-4</v>
      </c>
      <c r="I976" s="16">
        <f>MyReg($B$3:B976,$D$3:D976)</f>
        <v>0.22791395417248028</v>
      </c>
      <c r="J976" s="17">
        <f>STDEV($D$3:D976)</f>
        <v>1.2843983699426176E-2</v>
      </c>
      <c r="K976" s="4">
        <f t="shared" si="228"/>
        <v>1.1853859743140825E-3</v>
      </c>
      <c r="L976">
        <f t="shared" si="231"/>
        <v>-0.11384317617495178</v>
      </c>
      <c r="M976">
        <f>RSQ($D$3:D976,$B$3:B976)</f>
        <v>4.5759501496539401E-2</v>
      </c>
      <c r="N976">
        <v>944</v>
      </c>
      <c r="O976" t="str">
        <f t="shared" si="229"/>
        <v/>
      </c>
      <c r="P976" t="str">
        <f t="shared" si="233"/>
        <v/>
      </c>
      <c r="Q976">
        <f t="shared" si="234"/>
        <v>0</v>
      </c>
      <c r="R976">
        <f t="shared" si="235"/>
        <v>0</v>
      </c>
      <c r="S976">
        <f t="shared" si="236"/>
        <v>0</v>
      </c>
      <c r="T976">
        <f t="shared" si="237"/>
        <v>0</v>
      </c>
      <c r="U976">
        <f t="shared" si="232"/>
        <v>0</v>
      </c>
      <c r="V976">
        <f t="shared" si="238"/>
        <v>0</v>
      </c>
      <c r="W976">
        <f t="shared" si="242"/>
        <v>0</v>
      </c>
      <c r="X976">
        <f>SUM($W$34:W976)</f>
        <v>224.90907779999975</v>
      </c>
      <c r="Y976">
        <f t="shared" si="239"/>
        <v>0</v>
      </c>
    </row>
    <row r="977" spans="1:25">
      <c r="A977">
        <v>113.1816761</v>
      </c>
      <c r="B977" s="2">
        <f t="shared" si="240"/>
        <v>2.7126510410906621E-3</v>
      </c>
      <c r="C977">
        <v>107.9154183</v>
      </c>
      <c r="D977" s="3">
        <f t="shared" si="241"/>
        <v>6.9833621901711582E-3</v>
      </c>
      <c r="E977" s="3">
        <f t="shared" si="227"/>
        <v>6.2498066902328224E-3</v>
      </c>
      <c r="F977" s="3">
        <f>STDEV($E$32:E977)</f>
        <v>1.2559973019515114E-2</v>
      </c>
      <c r="G977" s="14">
        <f t="shared" si="230"/>
        <v>0.49759714296536767</v>
      </c>
      <c r="H977" s="15">
        <f>yint($B$3:B977,$D$3:D977)</f>
        <v>1.1500284930318912E-4</v>
      </c>
      <c r="I977" s="16">
        <f>MyReg($B$3:B977,$D$3:D977)</f>
        <v>0.22802514634777662</v>
      </c>
      <c r="J977" s="17">
        <f>STDEV($D$3:D977)</f>
        <v>1.2839251880636953E-2</v>
      </c>
      <c r="K977" s="4">
        <f t="shared" si="228"/>
        <v>7.3355549993833595E-4</v>
      </c>
      <c r="L977">
        <f t="shared" si="231"/>
        <v>0.49759714296536767</v>
      </c>
      <c r="M977">
        <f>RSQ($D$3:D977,$B$3:B977)</f>
        <v>4.579291538547154E-2</v>
      </c>
      <c r="N977">
        <v>945</v>
      </c>
      <c r="O977" t="str">
        <f t="shared" si="229"/>
        <v/>
      </c>
      <c r="P977" t="str">
        <f t="shared" si="233"/>
        <v/>
      </c>
      <c r="Q977">
        <f t="shared" si="234"/>
        <v>0</v>
      </c>
      <c r="R977">
        <f t="shared" si="235"/>
        <v>0</v>
      </c>
      <c r="S977">
        <f t="shared" si="236"/>
        <v>0</v>
      </c>
      <c r="T977">
        <f t="shared" si="237"/>
        <v>0</v>
      </c>
      <c r="U977">
        <f t="shared" si="232"/>
        <v>0</v>
      </c>
      <c r="V977">
        <f t="shared" si="238"/>
        <v>0</v>
      </c>
      <c r="W977">
        <f t="shared" si="242"/>
        <v>0</v>
      </c>
      <c r="X977">
        <f>SUM($W$34:W977)</f>
        <v>224.90907779999975</v>
      </c>
      <c r="Y977">
        <f t="shared" si="239"/>
        <v>0</v>
      </c>
    </row>
    <row r="978" spans="1:25">
      <c r="A978">
        <v>111.99299910000001</v>
      </c>
      <c r="B978" s="2">
        <f t="shared" si="240"/>
        <v>-1.0502380252345445E-2</v>
      </c>
      <c r="C978">
        <v>107.4168257</v>
      </c>
      <c r="D978" s="3">
        <f t="shared" si="241"/>
        <v>-4.6202165348970805E-3</v>
      </c>
      <c r="E978" s="3">
        <f t="shared" si="227"/>
        <v>-2.336124451458148E-3</v>
      </c>
      <c r="F978" s="3">
        <f>STDEV($E$32:E978)</f>
        <v>1.2553550362168936E-2</v>
      </c>
      <c r="G978" s="14">
        <f t="shared" si="230"/>
        <v>-0.18609272947183403</v>
      </c>
      <c r="H978" s="15">
        <f>yint($B$3:B978,$D$3:D978)</f>
        <v>1.1257154738726971E-4</v>
      </c>
      <c r="I978" s="16">
        <f>MyReg($B$3:B978,$D$3:D978)</f>
        <v>0.22820194786710063</v>
      </c>
      <c r="J978" s="17">
        <f>STDEV($D$3:D978)</f>
        <v>1.2833578335846191E-2</v>
      </c>
      <c r="K978" s="4">
        <f t="shared" si="228"/>
        <v>-2.2840920834389326E-3</v>
      </c>
      <c r="L978">
        <f t="shared" si="231"/>
        <v>-0.18609272947183403</v>
      </c>
      <c r="M978">
        <f>RSQ($D$3:D978,$B$3:B978)</f>
        <v>4.5894537489446434E-2</v>
      </c>
      <c r="N978">
        <v>946</v>
      </c>
      <c r="O978" t="str">
        <f t="shared" si="229"/>
        <v/>
      </c>
      <c r="P978" t="str">
        <f t="shared" si="233"/>
        <v/>
      </c>
      <c r="Q978">
        <f t="shared" si="234"/>
        <v>0</v>
      </c>
      <c r="R978">
        <f t="shared" si="235"/>
        <v>0</v>
      </c>
      <c r="S978">
        <f t="shared" si="236"/>
        <v>0</v>
      </c>
      <c r="T978">
        <f t="shared" si="237"/>
        <v>0</v>
      </c>
      <c r="U978">
        <f t="shared" si="232"/>
        <v>0</v>
      </c>
      <c r="V978">
        <f t="shared" si="238"/>
        <v>0</v>
      </c>
      <c r="W978">
        <f t="shared" si="242"/>
        <v>0</v>
      </c>
      <c r="X978">
        <f>SUM($W$34:W978)</f>
        <v>224.90907779999975</v>
      </c>
      <c r="Y978">
        <f t="shared" si="239"/>
        <v>0</v>
      </c>
    </row>
    <row r="979" spans="1:25">
      <c r="A979">
        <v>115.5643161</v>
      </c>
      <c r="B979" s="2">
        <f t="shared" si="240"/>
        <v>3.1888752231834759E-2</v>
      </c>
      <c r="C979">
        <v>108.5992823</v>
      </c>
      <c r="D979" s="3">
        <f t="shared" si="241"/>
        <v>1.1008113415140647E-2</v>
      </c>
      <c r="E979" s="3">
        <f t="shared" si="227"/>
        <v>3.5893023644080688E-3</v>
      </c>
      <c r="F979" s="3">
        <f>STDEV($E$32:E979)</f>
        <v>1.2547481624857266E-2</v>
      </c>
      <c r="G979" s="14">
        <f t="shared" si="230"/>
        <v>0.28605759081547161</v>
      </c>
      <c r="H979" s="15">
        <f>yint($B$3:B979,$D$3:D979)</f>
        <v>1.1609750906542249E-4</v>
      </c>
      <c r="I979" s="16">
        <f>MyReg($B$3:B979,$D$3:D979)</f>
        <v>0.22900593565328678</v>
      </c>
      <c r="J979" s="17">
        <f>STDEV($D$3:D979)</f>
        <v>1.2831700269187044E-2</v>
      </c>
      <c r="K979" s="4">
        <f t="shared" si="228"/>
        <v>7.4188110507325787E-3</v>
      </c>
      <c r="L979">
        <f t="shared" si="231"/>
        <v>0.28605759081547161</v>
      </c>
      <c r="M979">
        <f>RSQ($D$3:D979,$B$3:B979)</f>
        <v>4.6512262183611264E-2</v>
      </c>
      <c r="N979">
        <v>947</v>
      </c>
      <c r="O979" t="str">
        <f t="shared" si="229"/>
        <v/>
      </c>
      <c r="P979" t="str">
        <f t="shared" si="233"/>
        <v/>
      </c>
      <c r="Q979">
        <f t="shared" si="234"/>
        <v>0</v>
      </c>
      <c r="R979">
        <f t="shared" si="235"/>
        <v>0</v>
      </c>
      <c r="S979">
        <f t="shared" si="236"/>
        <v>0</v>
      </c>
      <c r="T979">
        <f t="shared" si="237"/>
        <v>0</v>
      </c>
      <c r="U979">
        <f t="shared" si="232"/>
        <v>0</v>
      </c>
      <c r="V979">
        <f t="shared" si="238"/>
        <v>0</v>
      </c>
      <c r="W979">
        <f t="shared" si="242"/>
        <v>0</v>
      </c>
      <c r="X979">
        <f>SUM($W$34:W979)</f>
        <v>224.90907779999975</v>
      </c>
      <c r="Y979">
        <f t="shared" si="239"/>
        <v>0</v>
      </c>
    </row>
    <row r="980" spans="1:25">
      <c r="A980">
        <v>116.8481936</v>
      </c>
      <c r="B980" s="2">
        <f t="shared" si="240"/>
        <v>1.1109636117164741E-2</v>
      </c>
      <c r="C980">
        <v>107.2613712</v>
      </c>
      <c r="D980" s="3">
        <f t="shared" si="241"/>
        <v>-1.2319704805268308E-2</v>
      </c>
      <c r="E980" s="3">
        <f t="shared" si="227"/>
        <v>-1.4952232426347608E-2</v>
      </c>
      <c r="F980" s="3">
        <f>STDEV($E$32:E980)</f>
        <v>1.2550175607656259E-2</v>
      </c>
      <c r="G980" s="14">
        <f t="shared" si="230"/>
        <v>-1.1913962715570265</v>
      </c>
      <c r="H980" s="15">
        <f>yint($B$3:B980,$D$3:D980)</f>
        <v>1.0104574220642815E-4</v>
      </c>
      <c r="I980" s="16">
        <f>MyReg($B$3:B980,$D$3:D980)</f>
        <v>0.22786361786968448</v>
      </c>
      <c r="J980" s="17">
        <f>STDEV($D$3:D980)</f>
        <v>1.2831345247102943E-2</v>
      </c>
      <c r="K980" s="4">
        <f t="shared" si="228"/>
        <v>2.6325276210792995E-3</v>
      </c>
      <c r="L980">
        <f t="shared" si="231"/>
        <v>-1.1913962715570265</v>
      </c>
      <c r="M980">
        <f>RSQ($D$3:D980,$B$3:B980)</f>
        <v>4.6043041409173487E-2</v>
      </c>
      <c r="N980">
        <v>948</v>
      </c>
      <c r="O980" t="str">
        <f t="shared" si="229"/>
        <v/>
      </c>
      <c r="P980" t="str">
        <f t="shared" si="233"/>
        <v/>
      </c>
      <c r="Q980">
        <f t="shared" si="234"/>
        <v>0</v>
      </c>
      <c r="R980">
        <f t="shared" si="235"/>
        <v>0</v>
      </c>
      <c r="S980">
        <f t="shared" si="236"/>
        <v>0</v>
      </c>
      <c r="T980">
        <f t="shared" si="237"/>
        <v>0</v>
      </c>
      <c r="U980">
        <f t="shared" si="232"/>
        <v>0</v>
      </c>
      <c r="V980">
        <f t="shared" si="238"/>
        <v>0</v>
      </c>
      <c r="W980">
        <f t="shared" si="242"/>
        <v>0</v>
      </c>
      <c r="X980">
        <f>SUM($W$34:W980)</f>
        <v>224.90907779999975</v>
      </c>
      <c r="Y980">
        <f t="shared" si="239"/>
        <v>0</v>
      </c>
    </row>
    <row r="981" spans="1:25">
      <c r="A981">
        <v>116.69100330000001</v>
      </c>
      <c r="B981" s="2">
        <f t="shared" si="240"/>
        <v>-1.3452522898051574E-3</v>
      </c>
      <c r="C981">
        <v>107.66544740000001</v>
      </c>
      <c r="D981" s="3">
        <f t="shared" si="241"/>
        <v>3.7672108372226905E-3</v>
      </c>
      <c r="E981" s="3">
        <f t="shared" si="227"/>
        <v>3.9685720791621231E-3</v>
      </c>
      <c r="F981" s="3">
        <f>STDEV($E$32:E981)</f>
        <v>1.2544247915605803E-2</v>
      </c>
      <c r="G981" s="14">
        <f t="shared" si="230"/>
        <v>0.31636588385860737</v>
      </c>
      <c r="H981" s="15">
        <f>yint($B$3:B981,$D$3:D981)</f>
        <v>1.051137745913952E-4</v>
      </c>
      <c r="I981" s="16">
        <f>MyReg($B$3:B981,$D$3:D981)</f>
        <v>0.22781973229364799</v>
      </c>
      <c r="J981" s="17">
        <f>STDEV($D$3:D981)</f>
        <v>1.2825303487720709E-2</v>
      </c>
      <c r="K981" s="4">
        <f t="shared" si="228"/>
        <v>-2.0136124193943273E-4</v>
      </c>
      <c r="L981">
        <f t="shared" si="231"/>
        <v>0.31636588385860737</v>
      </c>
      <c r="M981">
        <f>RSQ($D$3:D981,$B$3:B981)</f>
        <v>4.6022378208522126E-2</v>
      </c>
      <c r="N981">
        <v>949</v>
      </c>
      <c r="O981" t="str">
        <f t="shared" si="229"/>
        <v/>
      </c>
      <c r="P981" t="str">
        <f t="shared" si="233"/>
        <v/>
      </c>
      <c r="Q981">
        <f t="shared" si="234"/>
        <v>0</v>
      </c>
      <c r="R981">
        <f t="shared" si="235"/>
        <v>0</v>
      </c>
      <c r="S981">
        <f t="shared" si="236"/>
        <v>0</v>
      </c>
      <c r="T981">
        <f t="shared" si="237"/>
        <v>0</v>
      </c>
      <c r="U981">
        <f t="shared" si="232"/>
        <v>0</v>
      </c>
      <c r="V981">
        <f t="shared" si="238"/>
        <v>0</v>
      </c>
      <c r="W981">
        <f t="shared" si="242"/>
        <v>0</v>
      </c>
      <c r="X981">
        <f>SUM($W$34:W981)</f>
        <v>224.90907779999975</v>
      </c>
      <c r="Y981">
        <f t="shared" si="239"/>
        <v>0</v>
      </c>
    </row>
    <row r="982" spans="1:25">
      <c r="A982">
        <v>115.5542332</v>
      </c>
      <c r="B982" s="2">
        <f t="shared" si="240"/>
        <v>-9.7417115960301854E-3</v>
      </c>
      <c r="C982">
        <v>105.0243601</v>
      </c>
      <c r="D982" s="3">
        <f t="shared" si="241"/>
        <v>-2.4530500395245739E-2</v>
      </c>
      <c r="E982" s="3">
        <f t="shared" si="227"/>
        <v>-2.2377801579420053E-2</v>
      </c>
      <c r="F982" s="3">
        <f>STDEV($E$32:E982)</f>
        <v>1.2558491672609754E-2</v>
      </c>
      <c r="G982" s="14">
        <f t="shared" si="230"/>
        <v>-1.7818860865454369</v>
      </c>
      <c r="H982" s="15">
        <f>yint($B$3:B982,$D$3:D982)</f>
        <v>8.1895313590686365E-5</v>
      </c>
      <c r="I982" s="16">
        <f>MyReg($B$3:B982,$D$3:D982)</f>
        <v>0.22938413926429357</v>
      </c>
      <c r="J982" s="17">
        <f>STDEV($D$3:D982)</f>
        <v>1.2842987798736208E-2</v>
      </c>
      <c r="K982" s="4">
        <f t="shared" si="228"/>
        <v>-2.1526988158256854E-3</v>
      </c>
      <c r="L982">
        <f t="shared" si="231"/>
        <v>-1.7818860865454369</v>
      </c>
      <c r="M982">
        <f>RSQ($D$3:D982,$B$3:B982)</f>
        <v>4.6513051385528484E-2</v>
      </c>
      <c r="N982">
        <v>950</v>
      </c>
      <c r="O982" t="str">
        <f t="shared" si="229"/>
        <v>buyY</v>
      </c>
      <c r="Q982">
        <f t="shared" si="234"/>
        <v>-10</v>
      </c>
      <c r="R982">
        <f t="shared" si="235"/>
        <v>0</v>
      </c>
      <c r="S982">
        <f t="shared" si="236"/>
        <v>10</v>
      </c>
      <c r="T982">
        <f t="shared" si="237"/>
        <v>0</v>
      </c>
      <c r="U982">
        <f t="shared" si="232"/>
        <v>20</v>
      </c>
      <c r="V982">
        <f t="shared" si="238"/>
        <v>-10</v>
      </c>
      <c r="W982">
        <f t="shared" si="242"/>
        <v>105.29873100000003</v>
      </c>
      <c r="X982">
        <f>SUM($W$34:W982)</f>
        <v>330.20780879999978</v>
      </c>
      <c r="Y982">
        <f t="shared" si="239"/>
        <v>0</v>
      </c>
    </row>
    <row r="983" spans="1:25">
      <c r="A983">
        <v>114.31841319999999</v>
      </c>
      <c r="B983" s="2">
        <f t="shared" si="240"/>
        <v>-1.0694718538446448E-2</v>
      </c>
      <c r="C983">
        <v>105.5002702</v>
      </c>
      <c r="D983" s="3">
        <f t="shared" si="241"/>
        <v>4.5314258477448912E-3</v>
      </c>
      <c r="E983" s="3">
        <f t="shared" si="227"/>
        <v>6.8899482698883633E-3</v>
      </c>
      <c r="F983" s="3">
        <f>STDEV($E$32:E983)</f>
        <v>1.2553928601256321E-2</v>
      </c>
      <c r="G983" s="14">
        <f t="shared" si="230"/>
        <v>0.54882805922592703</v>
      </c>
      <c r="H983" s="15">
        <f>yint($B$3:B983,$D$3:D983)</f>
        <v>8.9041965612929747E-5</v>
      </c>
      <c r="I983" s="16">
        <f>MyReg($B$3:B983,$D$3:D983)</f>
        <v>0.2288572980165538</v>
      </c>
      <c r="J983" s="17">
        <f>STDEV($D$3:D983)</f>
        <v>1.2837201912710481E-2</v>
      </c>
      <c r="K983" s="4">
        <f t="shared" si="228"/>
        <v>-2.3585224221434717E-3</v>
      </c>
      <c r="L983">
        <f t="shared" si="231"/>
        <v>0.54882805922592703</v>
      </c>
      <c r="M983">
        <f>RSQ($D$3:D983,$B$3:B983)</f>
        <v>4.6332694404096389E-2</v>
      </c>
      <c r="N983">
        <v>951</v>
      </c>
      <c r="O983" t="str">
        <f t="shared" si="229"/>
        <v/>
      </c>
      <c r="P983" t="str">
        <f t="shared" si="233"/>
        <v>close</v>
      </c>
      <c r="Q983">
        <f t="shared" si="234"/>
        <v>0</v>
      </c>
      <c r="R983">
        <f t="shared" si="235"/>
        <v>0</v>
      </c>
      <c r="S983">
        <f t="shared" si="236"/>
        <v>0</v>
      </c>
      <c r="T983">
        <f t="shared" si="237"/>
        <v>0</v>
      </c>
      <c r="U983">
        <f t="shared" si="232"/>
        <v>0</v>
      </c>
      <c r="V983">
        <f t="shared" si="238"/>
        <v>10</v>
      </c>
      <c r="W983">
        <f t="shared" si="242"/>
        <v>-88.181429999999921</v>
      </c>
      <c r="X983">
        <f>SUM($W$34:W983)</f>
        <v>242.02637879999986</v>
      </c>
      <c r="Y983">
        <f t="shared" si="239"/>
        <v>242.02637879999986</v>
      </c>
    </row>
    <row r="984" spans="1:25">
      <c r="A984">
        <v>112.2485583</v>
      </c>
      <c r="B984" s="2">
        <f t="shared" si="240"/>
        <v>-1.8106049953464504E-2</v>
      </c>
      <c r="C984">
        <v>105.8576041</v>
      </c>
      <c r="D984" s="3">
        <f t="shared" si="241"/>
        <v>3.3870425101527411E-3</v>
      </c>
      <c r="E984" s="3">
        <f t="shared" si="227"/>
        <v>7.4167271981747419E-3</v>
      </c>
      <c r="F984" s="3">
        <f>STDEV($E$32:E984)</f>
        <v>1.2549688127742499E-2</v>
      </c>
      <c r="G984" s="14">
        <f t="shared" si="230"/>
        <v>0.5909889650388388</v>
      </c>
      <c r="H984" s="15">
        <f>yint($B$3:B984,$D$3:D984)</f>
        <v>9.680128065359937E-5</v>
      </c>
      <c r="I984" s="16">
        <f>MyReg($B$3:B984,$D$3:D984)</f>
        <v>0.22790647210635895</v>
      </c>
      <c r="J984" s="17">
        <f>STDEV($D$3:D984)</f>
        <v>1.2831076508004394E-2</v>
      </c>
      <c r="K984" s="4">
        <f t="shared" si="228"/>
        <v>-4.0296846880220009E-3</v>
      </c>
      <c r="L984">
        <f t="shared" si="231"/>
        <v>0.5909889650388388</v>
      </c>
      <c r="M984">
        <f>RSQ($D$3:D984,$B$3:B984)</f>
        <v>4.6053269372189343E-2</v>
      </c>
      <c r="N984">
        <v>952</v>
      </c>
      <c r="O984" t="str">
        <f t="shared" si="229"/>
        <v/>
      </c>
      <c r="P984" t="str">
        <f t="shared" si="233"/>
        <v/>
      </c>
      <c r="Q984">
        <f t="shared" si="234"/>
        <v>0</v>
      </c>
      <c r="R984">
        <f t="shared" si="235"/>
        <v>0</v>
      </c>
      <c r="S984">
        <f t="shared" si="236"/>
        <v>0</v>
      </c>
      <c r="T984">
        <f t="shared" si="237"/>
        <v>0</v>
      </c>
      <c r="U984">
        <f t="shared" si="232"/>
        <v>0</v>
      </c>
      <c r="V984">
        <f t="shared" si="238"/>
        <v>0</v>
      </c>
      <c r="W984">
        <f t="shared" si="242"/>
        <v>0</v>
      </c>
      <c r="X984">
        <f>SUM($W$34:W984)</f>
        <v>242.02637879999986</v>
      </c>
      <c r="Y984">
        <f t="shared" si="239"/>
        <v>0</v>
      </c>
    </row>
    <row r="985" spans="1:25">
      <c r="A985">
        <v>112.4007986</v>
      </c>
      <c r="B985" s="2">
        <f t="shared" si="240"/>
        <v>1.3562784440680211E-3</v>
      </c>
      <c r="C985">
        <v>107.0785104</v>
      </c>
      <c r="D985" s="3">
        <f t="shared" si="241"/>
        <v>1.1533477546371141E-2</v>
      </c>
      <c r="E985" s="3">
        <f t="shared" si="227"/>
        <v>1.1116146242069492E-2</v>
      </c>
      <c r="F985" s="3">
        <f>STDEV($E$32:E985)</f>
        <v>1.2548338834363734E-2</v>
      </c>
      <c r="G985" s="14">
        <f t="shared" si="230"/>
        <v>0.88586596112848259</v>
      </c>
      <c r="H985" s="15">
        <f>yint($B$3:B985,$D$3:D985)</f>
        <v>1.0810393981204767E-4</v>
      </c>
      <c r="I985" s="16">
        <f>MyReg($B$3:B985,$D$3:D985)</f>
        <v>0.22799696171687669</v>
      </c>
      <c r="J985" s="17">
        <f>STDEV($D$3:D985)</f>
        <v>1.2829689040845898E-2</v>
      </c>
      <c r="K985" s="4">
        <f t="shared" si="228"/>
        <v>4.1733130430164937E-4</v>
      </c>
      <c r="L985">
        <f t="shared" si="231"/>
        <v>0.88586596112848259</v>
      </c>
      <c r="M985">
        <f>RSQ($D$3:D985,$B$3:B985)</f>
        <v>4.6053308323003958E-2</v>
      </c>
      <c r="N985">
        <v>953</v>
      </c>
      <c r="O985" t="str">
        <f t="shared" si="229"/>
        <v/>
      </c>
      <c r="P985" t="str">
        <f t="shared" si="233"/>
        <v/>
      </c>
      <c r="Q985">
        <f t="shared" si="234"/>
        <v>0</v>
      </c>
      <c r="R985">
        <f t="shared" si="235"/>
        <v>0</v>
      </c>
      <c r="S985">
        <f t="shared" si="236"/>
        <v>0</v>
      </c>
      <c r="T985">
        <f t="shared" si="237"/>
        <v>0</v>
      </c>
      <c r="U985">
        <f t="shared" si="232"/>
        <v>0</v>
      </c>
      <c r="V985">
        <f t="shared" si="238"/>
        <v>0</v>
      </c>
      <c r="W985">
        <f t="shared" si="242"/>
        <v>0</v>
      </c>
      <c r="X985">
        <f>SUM($W$34:W985)</f>
        <v>242.02637879999986</v>
      </c>
      <c r="Y985">
        <f t="shared" si="239"/>
        <v>0</v>
      </c>
    </row>
    <row r="986" spans="1:25">
      <c r="A986">
        <v>109.36154550000001</v>
      </c>
      <c r="B986" s="2">
        <f t="shared" si="240"/>
        <v>-2.7039426212759989E-2</v>
      </c>
      <c r="C986">
        <v>105.9850261</v>
      </c>
      <c r="D986" s="3">
        <f t="shared" si="241"/>
        <v>-1.0211986475299343E-2</v>
      </c>
      <c r="E986" s="3">
        <f t="shared" si="227"/>
        <v>-4.1295980992517587E-3</v>
      </c>
      <c r="F986" s="3">
        <f>STDEV($E$32:E986)</f>
        <v>1.2542448968465571E-2</v>
      </c>
      <c r="G986" s="14">
        <f t="shared" si="230"/>
        <v>-0.32924974298356413</v>
      </c>
      <c r="H986" s="15">
        <f>yint($B$3:B986,$D$3:D986)</f>
        <v>1.0375233463084016E-4</v>
      </c>
      <c r="I986" s="16">
        <f>MyReg($B$3:B986,$D$3:D986)</f>
        <v>0.22878224789249282</v>
      </c>
      <c r="J986" s="17">
        <f>STDEV($D$3:D986)</f>
        <v>1.2827417060271306E-2</v>
      </c>
      <c r="K986" s="4">
        <f t="shared" si="228"/>
        <v>-6.0823883760475839E-3</v>
      </c>
      <c r="L986">
        <f t="shared" si="231"/>
        <v>-0.32924974298356413</v>
      </c>
      <c r="M986">
        <f>RSQ($D$3:D986,$B$3:B986)</f>
        <v>4.658005413425699E-2</v>
      </c>
      <c r="N986">
        <v>954</v>
      </c>
      <c r="O986" t="str">
        <f t="shared" si="229"/>
        <v/>
      </c>
      <c r="P986" t="str">
        <f t="shared" si="233"/>
        <v/>
      </c>
      <c r="Q986">
        <f t="shared" si="234"/>
        <v>0</v>
      </c>
      <c r="R986">
        <f t="shared" si="235"/>
        <v>0</v>
      </c>
      <c r="S986">
        <f t="shared" si="236"/>
        <v>0</v>
      </c>
      <c r="T986">
        <f t="shared" si="237"/>
        <v>0</v>
      </c>
      <c r="U986">
        <f t="shared" si="232"/>
        <v>0</v>
      </c>
      <c r="V986">
        <f t="shared" si="238"/>
        <v>0</v>
      </c>
      <c r="W986">
        <f t="shared" si="242"/>
        <v>0</v>
      </c>
      <c r="X986">
        <f>SUM($W$34:W986)</f>
        <v>242.02637879999986</v>
      </c>
      <c r="Y986">
        <f t="shared" si="239"/>
        <v>0</v>
      </c>
    </row>
    <row r="987" spans="1:25">
      <c r="A987">
        <v>110.04811789999999</v>
      </c>
      <c r="B987" s="2">
        <f t="shared" si="240"/>
        <v>6.2780056450463077E-3</v>
      </c>
      <c r="C987">
        <v>107.1025037</v>
      </c>
      <c r="D987" s="3">
        <f t="shared" si="241"/>
        <v>1.0543730950687578E-2</v>
      </c>
      <c r="E987" s="3">
        <f t="shared" si="227"/>
        <v>8.9922087817967903E-3</v>
      </c>
      <c r="F987" s="3">
        <f>STDEV($E$32:E987)</f>
        <v>1.2539308236320209E-2</v>
      </c>
      <c r="G987" s="14">
        <f t="shared" si="230"/>
        <v>0.71712159971877742</v>
      </c>
      <c r="H987" s="15">
        <f>yint($B$3:B987,$D$3:D987)</f>
        <v>1.1282808506038019E-4</v>
      </c>
      <c r="I987" s="16">
        <f>MyReg($B$3:B987,$D$3:D987)</f>
        <v>0.2291641908550397</v>
      </c>
      <c r="J987" s="17">
        <f>STDEV($D$3:D987)</f>
        <v>1.2825181047772912E-2</v>
      </c>
      <c r="K987" s="4">
        <f t="shared" si="228"/>
        <v>1.5515221688907888E-3</v>
      </c>
      <c r="L987">
        <f t="shared" si="231"/>
        <v>0.71712159971877742</v>
      </c>
      <c r="M987">
        <f>RSQ($D$3:D987,$B$3:B987)</f>
        <v>4.6716612905726054E-2</v>
      </c>
      <c r="N987">
        <v>955</v>
      </c>
      <c r="O987" t="str">
        <f t="shared" si="229"/>
        <v/>
      </c>
      <c r="P987" t="str">
        <f t="shared" si="233"/>
        <v/>
      </c>
      <c r="Q987">
        <f t="shared" si="234"/>
        <v>0</v>
      </c>
      <c r="R987">
        <f t="shared" si="235"/>
        <v>0</v>
      </c>
      <c r="S987">
        <f t="shared" si="236"/>
        <v>0</v>
      </c>
      <c r="T987">
        <f t="shared" si="237"/>
        <v>0</v>
      </c>
      <c r="U987">
        <f t="shared" si="232"/>
        <v>0</v>
      </c>
      <c r="V987">
        <f t="shared" si="238"/>
        <v>0</v>
      </c>
      <c r="W987">
        <f t="shared" si="242"/>
        <v>0</v>
      </c>
      <c r="X987">
        <f>SUM($W$34:W987)</f>
        <v>242.02637879999986</v>
      </c>
      <c r="Y987">
        <f t="shared" si="239"/>
        <v>0</v>
      </c>
    </row>
    <row r="988" spans="1:25">
      <c r="A988">
        <v>109.61351000000001</v>
      </c>
      <c r="B988" s="2">
        <f t="shared" si="240"/>
        <v>-3.9492533656496909E-3</v>
      </c>
      <c r="C988">
        <v>105.3905166</v>
      </c>
      <c r="D988" s="3">
        <f t="shared" si="241"/>
        <v>-1.5984566568073625E-2</v>
      </c>
      <c r="E988" s="3">
        <f t="shared" si="227"/>
        <v>-1.5175172251848994E-2</v>
      </c>
      <c r="F988" s="3">
        <f>STDEV($E$32:E988)</f>
        <v>1.2542265307165956E-2</v>
      </c>
      <c r="G988" s="14">
        <f t="shared" si="230"/>
        <v>-1.2099227595814561</v>
      </c>
      <c r="H988" s="15">
        <f>yint($B$3:B988,$D$3:D988)</f>
        <v>9.7347876795099918E-5</v>
      </c>
      <c r="I988" s="16">
        <f>MyReg($B$3:B988,$D$3:D988)</f>
        <v>0.22959838457226037</v>
      </c>
      <c r="J988" s="17">
        <f>STDEV($D$3:D988)</f>
        <v>1.2828965663578976E-2</v>
      </c>
      <c r="K988" s="4">
        <f t="shared" si="228"/>
        <v>-8.0939431622463129E-4</v>
      </c>
      <c r="L988">
        <f t="shared" si="231"/>
        <v>-1.2099227595814561</v>
      </c>
      <c r="M988">
        <f>RSQ($D$3:D988,$B$3:B988)</f>
        <v>4.6824076282709355E-2</v>
      </c>
      <c r="N988">
        <v>956</v>
      </c>
      <c r="O988" t="str">
        <f t="shared" si="229"/>
        <v/>
      </c>
      <c r="P988" t="str">
        <f t="shared" si="233"/>
        <v/>
      </c>
      <c r="Q988">
        <f t="shared" si="234"/>
        <v>0</v>
      </c>
      <c r="R988">
        <f t="shared" si="235"/>
        <v>0</v>
      </c>
      <c r="S988">
        <f t="shared" si="236"/>
        <v>0</v>
      </c>
      <c r="T988">
        <f t="shared" si="237"/>
        <v>0</v>
      </c>
      <c r="U988">
        <f t="shared" si="232"/>
        <v>0</v>
      </c>
      <c r="V988">
        <f t="shared" si="238"/>
        <v>0</v>
      </c>
      <c r="W988">
        <f t="shared" si="242"/>
        <v>0</v>
      </c>
      <c r="X988">
        <f>SUM($W$34:W988)</f>
        <v>242.02637879999986</v>
      </c>
      <c r="Y988">
        <f t="shared" si="239"/>
        <v>0</v>
      </c>
    </row>
    <row r="989" spans="1:25">
      <c r="A989">
        <v>110.96971430000001</v>
      </c>
      <c r="B989" s="2">
        <f t="shared" si="240"/>
        <v>1.2372601698458534E-2</v>
      </c>
      <c r="C989">
        <v>104.8604607</v>
      </c>
      <c r="D989" s="3">
        <f t="shared" si="241"/>
        <v>-5.0294458846973106E-3</v>
      </c>
      <c r="E989" s="3">
        <f t="shared" si="227"/>
        <v>-7.9512315614756329E-3</v>
      </c>
      <c r="F989" s="3">
        <f>STDEV($E$32:E989)</f>
        <v>1.2538290739880272E-2</v>
      </c>
      <c r="G989" s="14">
        <f t="shared" si="230"/>
        <v>-0.63415594090391614</v>
      </c>
      <c r="H989" s="15">
        <f>yint($B$3:B989,$D$3:D989)</f>
        <v>8.9395715402882856E-5</v>
      </c>
      <c r="I989" s="16">
        <f>MyReg($B$3:B989,$D$3:D989)</f>
        <v>0.22892436291134455</v>
      </c>
      <c r="J989" s="17">
        <f>STDEV($D$3:D989)</f>
        <v>1.282351233785275E-2</v>
      </c>
      <c r="K989" s="4">
        <f t="shared" si="228"/>
        <v>2.9217856767783223E-3</v>
      </c>
      <c r="L989">
        <f t="shared" si="231"/>
        <v>-0.63415594090391614</v>
      </c>
      <c r="M989">
        <f>RSQ($D$3:D989,$B$3:B989)</f>
        <v>4.6590020058971504E-2</v>
      </c>
      <c r="N989">
        <v>957</v>
      </c>
      <c r="O989" t="str">
        <f t="shared" si="229"/>
        <v/>
      </c>
      <c r="P989" t="str">
        <f t="shared" si="233"/>
        <v/>
      </c>
      <c r="Q989">
        <f t="shared" si="234"/>
        <v>0</v>
      </c>
      <c r="R989">
        <f t="shared" si="235"/>
        <v>0</v>
      </c>
      <c r="S989">
        <f t="shared" si="236"/>
        <v>0</v>
      </c>
      <c r="T989">
        <f t="shared" si="237"/>
        <v>0</v>
      </c>
      <c r="U989">
        <f t="shared" si="232"/>
        <v>0</v>
      </c>
      <c r="V989">
        <f t="shared" si="238"/>
        <v>0</v>
      </c>
      <c r="W989">
        <f t="shared" si="242"/>
        <v>0</v>
      </c>
      <c r="X989">
        <f>SUM($W$34:W989)</f>
        <v>242.02637879999986</v>
      </c>
      <c r="Y989">
        <f t="shared" si="239"/>
        <v>0</v>
      </c>
    </row>
    <row r="990" spans="1:25">
      <c r="A990">
        <v>112.6251918</v>
      </c>
      <c r="B990" s="2">
        <f t="shared" si="240"/>
        <v>1.4918282077617183E-2</v>
      </c>
      <c r="C990">
        <v>104.20436340000001</v>
      </c>
      <c r="D990" s="3">
        <f t="shared" si="241"/>
        <v>-6.2568607425544046E-3</v>
      </c>
      <c r="E990" s="3">
        <f t="shared" si="227"/>
        <v>-9.7368737275610219E-3</v>
      </c>
      <c r="F990" s="3">
        <f>STDEV($E$32:E990)</f>
        <v>1.2535618635084501E-2</v>
      </c>
      <c r="G990" s="14">
        <f t="shared" si="230"/>
        <v>-0.77673659441980836</v>
      </c>
      <c r="H990" s="15">
        <f>yint($B$3:B990,$D$3:D990)</f>
        <v>7.9708307066130149E-5</v>
      </c>
      <c r="I990" s="16">
        <f>MyReg($B$3:B990,$D$3:D990)</f>
        <v>0.22792870253084799</v>
      </c>
      <c r="J990" s="17">
        <f>STDEV($D$3:D990)</f>
        <v>1.2818625162081024E-2</v>
      </c>
      <c r="K990" s="4">
        <f t="shared" si="228"/>
        <v>3.4800129850066181E-3</v>
      </c>
      <c r="L990">
        <f t="shared" si="231"/>
        <v>-0.77673659441980836</v>
      </c>
      <c r="M990">
        <f>RSQ($D$3:D990,$B$3:B990)</f>
        <v>4.6243552743765473E-2</v>
      </c>
      <c r="N990">
        <v>958</v>
      </c>
      <c r="O990" t="str">
        <f t="shared" si="229"/>
        <v/>
      </c>
      <c r="P990" t="str">
        <f t="shared" si="233"/>
        <v/>
      </c>
      <c r="Q990">
        <f t="shared" si="234"/>
        <v>0</v>
      </c>
      <c r="R990">
        <f t="shared" si="235"/>
        <v>0</v>
      </c>
      <c r="S990">
        <f t="shared" si="236"/>
        <v>0</v>
      </c>
      <c r="T990">
        <f t="shared" si="237"/>
        <v>0</v>
      </c>
      <c r="U990">
        <f t="shared" si="232"/>
        <v>0</v>
      </c>
      <c r="V990">
        <f t="shared" si="238"/>
        <v>0</v>
      </c>
      <c r="W990">
        <f t="shared" si="242"/>
        <v>0</v>
      </c>
      <c r="X990">
        <f>SUM($W$34:W990)</f>
        <v>242.02637879999986</v>
      </c>
      <c r="Y990">
        <f t="shared" si="239"/>
        <v>0</v>
      </c>
    </row>
    <row r="991" spans="1:25">
      <c r="A991">
        <v>114.4061387</v>
      </c>
      <c r="B991" s="2">
        <f t="shared" si="240"/>
        <v>1.5813042104848195E-2</v>
      </c>
      <c r="C991">
        <v>103.08967250000001</v>
      </c>
      <c r="D991" s="3">
        <f t="shared" si="241"/>
        <v>-1.0697161458787812E-2</v>
      </c>
      <c r="E991" s="3">
        <f t="shared" si="227"/>
        <v>-1.4342360678051448E-2</v>
      </c>
      <c r="F991" s="3">
        <f>STDEV($E$32:E991)</f>
        <v>1.2537514025146898E-2</v>
      </c>
      <c r="G991" s="14">
        <f t="shared" si="230"/>
        <v>-1.1439557036015682</v>
      </c>
      <c r="H991" s="15">
        <f>yint($B$3:B991,$D$3:D991)</f>
        <v>6.5491875890439077E-5</v>
      </c>
      <c r="I991" s="16">
        <f>MyReg($B$3:B991,$D$3:D991)</f>
        <v>0.2263768931770363</v>
      </c>
      <c r="J991" s="17">
        <f>STDEV($D$3:D991)</f>
        <v>1.2816755966300081E-2</v>
      </c>
      <c r="K991" s="4">
        <f t="shared" si="228"/>
        <v>3.6451992192636363E-3</v>
      </c>
      <c r="L991">
        <f t="shared" si="231"/>
        <v>-1.1439557036015682</v>
      </c>
      <c r="M991">
        <f>RSQ($D$3:D991,$B$3:B991)</f>
        <v>4.5660096037132315E-2</v>
      </c>
      <c r="N991">
        <v>959</v>
      </c>
      <c r="O991" t="str">
        <f t="shared" si="229"/>
        <v/>
      </c>
      <c r="P991" t="str">
        <f t="shared" si="233"/>
        <v/>
      </c>
      <c r="Q991">
        <f t="shared" si="234"/>
        <v>0</v>
      </c>
      <c r="R991">
        <f t="shared" si="235"/>
        <v>0</v>
      </c>
      <c r="S991">
        <f t="shared" si="236"/>
        <v>0</v>
      </c>
      <c r="T991">
        <f t="shared" si="237"/>
        <v>0</v>
      </c>
      <c r="U991">
        <f t="shared" si="232"/>
        <v>0</v>
      </c>
      <c r="V991">
        <f t="shared" si="238"/>
        <v>0</v>
      </c>
      <c r="W991">
        <f t="shared" si="242"/>
        <v>0</v>
      </c>
      <c r="X991">
        <f>SUM($W$34:W991)</f>
        <v>242.02637879999986</v>
      </c>
      <c r="Y991">
        <f t="shared" si="239"/>
        <v>0</v>
      </c>
    </row>
    <row r="992" spans="1:25">
      <c r="A992">
        <v>114.75691759999999</v>
      </c>
      <c r="B992" s="2">
        <f t="shared" si="240"/>
        <v>3.0660845998816545E-3</v>
      </c>
      <c r="C992">
        <v>105.42734400000001</v>
      </c>
      <c r="D992" s="3">
        <f t="shared" si="241"/>
        <v>2.2676097840935511E-2</v>
      </c>
      <c r="E992" s="3">
        <f t="shared" si="227"/>
        <v>2.1893142927154885E-2</v>
      </c>
      <c r="F992" s="3">
        <f>STDEV($E$32:E992)</f>
        <v>1.2551071385938075E-2</v>
      </c>
      <c r="G992" s="14">
        <f t="shared" si="230"/>
        <v>1.744324628069875</v>
      </c>
      <c r="H992" s="15">
        <f>yint($B$3:B992,$D$3:D992)</f>
        <v>8.7538037424036514E-5</v>
      </c>
      <c r="I992" s="16">
        <f>MyReg($B$3:B992,$D$3:D992)</f>
        <v>0.22680942214817887</v>
      </c>
      <c r="J992" s="17">
        <f>STDEV($D$3:D992)</f>
        <v>1.2830330463508243E-2</v>
      </c>
      <c r="K992" s="4">
        <f t="shared" si="228"/>
        <v>7.8295491378062472E-4</v>
      </c>
      <c r="L992">
        <f t="shared" si="231"/>
        <v>1.744324628069875</v>
      </c>
      <c r="M992">
        <f>RSQ($D$3:D992,$B$3:B992)</f>
        <v>4.5694139155621961E-2</v>
      </c>
      <c r="N992">
        <v>960</v>
      </c>
      <c r="O992" t="str">
        <f t="shared" si="229"/>
        <v>sellY</v>
      </c>
      <c r="P992" t="str">
        <f t="shared" si="233"/>
        <v/>
      </c>
      <c r="Q992">
        <f t="shared" si="234"/>
        <v>10</v>
      </c>
      <c r="R992">
        <f t="shared" si="235"/>
        <v>0</v>
      </c>
      <c r="S992">
        <f t="shared" si="236"/>
        <v>-10</v>
      </c>
      <c r="T992">
        <f t="shared" si="237"/>
        <v>0</v>
      </c>
      <c r="U992">
        <f t="shared" si="232"/>
        <v>20</v>
      </c>
      <c r="V992">
        <f t="shared" si="238"/>
        <v>10</v>
      </c>
      <c r="W992">
        <f t="shared" si="242"/>
        <v>-93.295735999999891</v>
      </c>
      <c r="X992">
        <f>SUM($W$34:W992)</f>
        <v>148.73064279999997</v>
      </c>
      <c r="Y992">
        <f t="shared" si="239"/>
        <v>0</v>
      </c>
    </row>
    <row r="993" spans="1:25">
      <c r="A993">
        <v>114.1486189</v>
      </c>
      <c r="B993" s="2">
        <f t="shared" si="240"/>
        <v>-5.3007584442124455E-3</v>
      </c>
      <c r="C993">
        <v>106.5403204</v>
      </c>
      <c r="D993" s="3">
        <f t="shared" si="241"/>
        <v>1.0556809626162959E-2</v>
      </c>
      <c r="E993" s="3">
        <f t="shared" ref="E993:E1001" si="243">D993-K993</f>
        <v>1.1657308640648728E-2</v>
      </c>
      <c r="F993" s="3">
        <f>STDEV($E$32:E993)</f>
        <v>1.255025485897361E-2</v>
      </c>
      <c r="G993" s="14">
        <f t="shared" si="230"/>
        <v>0.92885035177700703</v>
      </c>
      <c r="H993" s="15">
        <f>yint($B$3:B993,$D$3:D993)</f>
        <v>9.9407344721312468E-5</v>
      </c>
      <c r="I993" s="16">
        <f>MyReg($B$3:B993,$D$3:D993)</f>
        <v>0.22636503282227127</v>
      </c>
      <c r="J993" s="17">
        <f>STDEV($D$3:D993)</f>
        <v>1.282812093272228E-2</v>
      </c>
      <c r="K993" s="4">
        <f t="shared" ref="K993:K1001" si="244">H993+B993*I993</f>
        <v>-1.1004990144857694E-3</v>
      </c>
      <c r="L993">
        <f t="shared" si="231"/>
        <v>0.92885035177700703</v>
      </c>
      <c r="M993">
        <f>RSQ($D$3:D993,$B$3:B993)</f>
        <v>4.5494495839789338E-2</v>
      </c>
      <c r="N993">
        <v>961</v>
      </c>
      <c r="O993" t="str">
        <f t="shared" ref="O993:O1001" si="245">IF(L993&gt;1.5,"sellY",IF(L993&lt;-1.5,"buyY",""))</f>
        <v/>
      </c>
      <c r="P993" t="str">
        <f t="shared" si="233"/>
        <v>sellhold</v>
      </c>
      <c r="Q993">
        <f t="shared" si="234"/>
        <v>10</v>
      </c>
      <c r="R993">
        <f t="shared" si="235"/>
        <v>0</v>
      </c>
      <c r="S993">
        <f t="shared" si="236"/>
        <v>-10</v>
      </c>
      <c r="T993">
        <f t="shared" si="237"/>
        <v>0</v>
      </c>
      <c r="U993">
        <f t="shared" si="232"/>
        <v>20</v>
      </c>
      <c r="V993">
        <f t="shared" si="238"/>
        <v>0</v>
      </c>
      <c r="W993">
        <f t="shared" si="242"/>
        <v>0</v>
      </c>
      <c r="X993">
        <f>SUM($W$34:W993)</f>
        <v>148.73064279999997</v>
      </c>
      <c r="Y993">
        <f t="shared" si="239"/>
        <v>0</v>
      </c>
    </row>
    <row r="994" spans="1:25">
      <c r="A994">
        <v>115.39851899999999</v>
      </c>
      <c r="B994" s="2">
        <f t="shared" si="240"/>
        <v>1.0949761039990916E-2</v>
      </c>
      <c r="C994">
        <v>106.7721294</v>
      </c>
      <c r="D994" s="3">
        <f t="shared" si="241"/>
        <v>2.1757865860519638E-3</v>
      </c>
      <c r="E994" s="3">
        <f t="shared" si="243"/>
        <v>-4.0153818851975439E-4</v>
      </c>
      <c r="F994" s="3">
        <f>STDEV($E$32:E994)</f>
        <v>1.2543734526157702E-2</v>
      </c>
      <c r="G994" s="14">
        <f t="shared" ref="G994:G1001" si="246">E994/F994</f>
        <v>-3.2011056012260043E-2</v>
      </c>
      <c r="H994" s="15">
        <f>yint($B$3:B994,$D$3:D994)</f>
        <v>9.9008319093182647E-5</v>
      </c>
      <c r="I994" s="16">
        <f>MyReg($B$3:B994,$D$3:D994)</f>
        <v>0.22633520918193403</v>
      </c>
      <c r="J994" s="17">
        <f>STDEV($D$3:D994)</f>
        <v>1.2821808924643461E-2</v>
      </c>
      <c r="K994" s="4">
        <f t="shared" si="244"/>
        <v>2.5773247745717182E-3</v>
      </c>
      <c r="L994">
        <f t="shared" ref="L994:L1001" si="247">(D994-K994)/F994</f>
        <v>-3.2011056012260043E-2</v>
      </c>
      <c r="M994">
        <f>RSQ($D$3:D994,$B$3:B994)</f>
        <v>4.5517614662507588E-2</v>
      </c>
      <c r="N994">
        <v>962</v>
      </c>
      <c r="O994" t="str">
        <f t="shared" si="245"/>
        <v/>
      </c>
      <c r="P994" t="str">
        <f t="shared" si="233"/>
        <v>close</v>
      </c>
      <c r="Q994">
        <f t="shared" si="234"/>
        <v>0</v>
      </c>
      <c r="R994">
        <f t="shared" si="235"/>
        <v>0</v>
      </c>
      <c r="S994">
        <f t="shared" si="236"/>
        <v>0</v>
      </c>
      <c r="T994">
        <f t="shared" si="237"/>
        <v>0</v>
      </c>
      <c r="U994">
        <f t="shared" ref="U994:U1001" si="248">ABS(Q994)+ABS(S994)</f>
        <v>0</v>
      </c>
      <c r="V994">
        <f t="shared" si="238"/>
        <v>-10</v>
      </c>
      <c r="W994">
        <f t="shared" si="242"/>
        <v>86.26389599999996</v>
      </c>
      <c r="X994">
        <f>SUM($W$34:W994)</f>
        <v>234.99453879999993</v>
      </c>
      <c r="Y994">
        <f t="shared" si="239"/>
        <v>234.99453879999993</v>
      </c>
    </row>
    <row r="995" spans="1:25">
      <c r="A995">
        <v>116.40874770000001</v>
      </c>
      <c r="B995" s="2">
        <f t="shared" si="240"/>
        <v>8.7542605291148767E-3</v>
      </c>
      <c r="C995">
        <v>106.3973903</v>
      </c>
      <c r="D995" s="3">
        <f t="shared" si="241"/>
        <v>-3.5097089671792133E-3</v>
      </c>
      <c r="E995" s="3">
        <f t="shared" si="243"/>
        <v>-5.5816779036363482E-3</v>
      </c>
      <c r="F995" s="3">
        <f>STDEV($E$32:E995)</f>
        <v>1.2538473452337965E-2</v>
      </c>
      <c r="G995" s="14">
        <f t="shared" si="246"/>
        <v>-0.44516407239316441</v>
      </c>
      <c r="H995" s="15">
        <f>yint($B$3:B995,$D$3:D995)</f>
        <v>9.3453172839740812E-5</v>
      </c>
      <c r="I995" s="16">
        <f>MyReg($B$3:B995,$D$3:D995)</f>
        <v>0.22600604094854806</v>
      </c>
      <c r="J995" s="17">
        <f>STDEV($D$3:D995)</f>
        <v>1.2815870401920068E-2</v>
      </c>
      <c r="K995" s="4">
        <f t="shared" si="244"/>
        <v>2.0719689364571353E-3</v>
      </c>
      <c r="L995">
        <f t="shared" si="247"/>
        <v>-0.44516407239316441</v>
      </c>
      <c r="M995">
        <f>RSQ($D$3:D995,$B$3:B995)</f>
        <v>4.5404415657045415E-2</v>
      </c>
      <c r="N995">
        <v>963</v>
      </c>
      <c r="O995" t="str">
        <f t="shared" si="245"/>
        <v/>
      </c>
      <c r="P995" t="str">
        <f t="shared" ref="P995:P1001" si="249">IF(AND(OR(O994="sellY",P994="sellhold"),L995&gt;0.5),"sellhold",IF(AND(OR(O994="sellY",P994="sellhold"),L995&lt;0.5,O995&lt;&gt;"buyY"),"close",IF(AND(OR(O994="sellY",P994="sellhold"),L995&lt;0.5,O995="buyY"),"close&amp;buy",IF(AND(OR(O994="buyY",P994="buyhold"),L995&lt;-0.5),"buyhold",IF(AND(OR(O994="buyY",P994="buyhold"),L995&gt;-0.5,O995&lt;&gt;"sellY"),"close",IF(AND(OR(O994="buyY",P994="buyhold"),L995&gt;-0.5,O995="sellY"),"close&amp;sell",""))))))</f>
        <v/>
      </c>
      <c r="Q995">
        <f t="shared" ref="Q995:Q1001" si="250">IF(O995="sellY",MAX(10+R995,Q994),IF(O995="buyY",MIN(-10+R995,Q994),IF(P995="sellhold",Q994+R995,IF(P995="buyhold",Q994+R995,0))))</f>
        <v>0</v>
      </c>
      <c r="R995">
        <f t="shared" ref="R995:R1001" si="251">IF(AND(L995&gt;2.5,Q994&lt;15),10,IF(AND(L995&gt;2,Q994&lt;15),5,IF(AND(L995&lt;-2.5,Q994&gt;-15),-10,IF(AND(L995&lt;-2,Q994&gt;-15),-5,0))))</f>
        <v>0</v>
      </c>
      <c r="S995">
        <f t="shared" ref="S995:S1001" si="252">IF(O995="sellY",MIN(-10+T995,S994),IF(O995="buyY",MAX(10+T995,S994),IF(P995="sellhold",S994+T995,IF(P995="buyhold",S994+T995,0))))</f>
        <v>0</v>
      </c>
      <c r="T995">
        <f t="shared" ref="T995:T1001" si="253">IF(AND(L995&gt;2.5,Q994&lt;15),-10,IF(AND(L995&gt;2,Q994&lt;15),-5,IF(AND(L995&lt;-2.5,Q994&gt;-15),10,IF(AND(L995&lt;-2,Q994&gt;-15),5,0))))</f>
        <v>0</v>
      </c>
      <c r="U995">
        <f t="shared" si="248"/>
        <v>0</v>
      </c>
      <c r="V995">
        <f t="shared" ref="V995:V1001" si="254">Q995-Q994</f>
        <v>0</v>
      </c>
      <c r="W995">
        <f t="shared" si="242"/>
        <v>0</v>
      </c>
      <c r="X995">
        <f>SUM($W$34:W995)</f>
        <v>234.99453879999993</v>
      </c>
      <c r="Y995">
        <f t="shared" si="239"/>
        <v>0</v>
      </c>
    </row>
    <row r="996" spans="1:25">
      <c r="A996">
        <v>114.5649008</v>
      </c>
      <c r="B996" s="2">
        <f t="shared" si="240"/>
        <v>-1.5839418741552209E-2</v>
      </c>
      <c r="C996">
        <v>106.3401408</v>
      </c>
      <c r="D996" s="3">
        <f t="shared" si="241"/>
        <v>-5.3807240796579494E-4</v>
      </c>
      <c r="E996" s="3">
        <f t="shared" si="243"/>
        <v>2.940078622239745E-3</v>
      </c>
      <c r="F996" s="3">
        <f>STDEV($E$32:E996)</f>
        <v>1.2532346218491398E-2</v>
      </c>
      <c r="G996" s="14">
        <f t="shared" si="246"/>
        <v>0.23459921797417929</v>
      </c>
      <c r="H996" s="15">
        <f>yint($B$3:B996,$D$3:D996)</f>
        <v>9.6487664484803742E-5</v>
      </c>
      <c r="I996" s="16">
        <f>MyReg($B$3:B996,$D$3:D996)</f>
        <v>0.2256799162277871</v>
      </c>
      <c r="J996" s="17">
        <f>STDEV($D$3:D996)</f>
        <v>1.2809433966317669E-2</v>
      </c>
      <c r="K996" s="4">
        <f t="shared" si="244"/>
        <v>-3.47815103020554E-3</v>
      </c>
      <c r="L996">
        <f t="shared" si="247"/>
        <v>0.23459921797417929</v>
      </c>
      <c r="M996">
        <f>RSQ($D$3:D996,$B$3:B996)</f>
        <v>4.5353941892970727E-2</v>
      </c>
      <c r="N996">
        <v>964</v>
      </c>
      <c r="O996" t="str">
        <f t="shared" si="245"/>
        <v/>
      </c>
      <c r="P996" t="str">
        <f t="shared" si="249"/>
        <v/>
      </c>
      <c r="Q996">
        <f t="shared" si="250"/>
        <v>0</v>
      </c>
      <c r="R996">
        <f t="shared" si="251"/>
        <v>0</v>
      </c>
      <c r="S996">
        <f t="shared" si="252"/>
        <v>0</v>
      </c>
      <c r="T996">
        <f t="shared" si="253"/>
        <v>0</v>
      </c>
      <c r="U996">
        <f t="shared" si="248"/>
        <v>0</v>
      </c>
      <c r="V996">
        <f t="shared" si="254"/>
        <v>0</v>
      </c>
      <c r="W996">
        <f t="shared" si="242"/>
        <v>0</v>
      </c>
      <c r="X996">
        <f>SUM($W$34:W996)</f>
        <v>234.99453879999993</v>
      </c>
      <c r="Y996">
        <f t="shared" ref="Y996:Y1002" si="255">IF(P996="close",X996,0)</f>
        <v>0</v>
      </c>
    </row>
    <row r="997" spans="1:25">
      <c r="A997">
        <v>115.4850881</v>
      </c>
      <c r="B997" s="2">
        <f t="shared" si="240"/>
        <v>8.0320176037720174E-3</v>
      </c>
      <c r="C997">
        <v>106.5847929</v>
      </c>
      <c r="D997" s="3">
        <f t="shared" si="241"/>
        <v>2.3006561601242128E-3</v>
      </c>
      <c r="E997" s="3">
        <f t="shared" si="243"/>
        <v>3.9094526161422222E-4</v>
      </c>
      <c r="F997" s="3">
        <f>STDEV($E$32:E997)</f>
        <v>1.2525860245913034E-2</v>
      </c>
      <c r="G997" s="14">
        <f t="shared" si="246"/>
        <v>3.1211050893033929E-2</v>
      </c>
      <c r="H997" s="15">
        <f>yint($B$3:B997,$D$3:D997)</f>
        <v>9.6876547919322759E-5</v>
      </c>
      <c r="I997" s="16">
        <f>MyReg($B$3:B997,$D$3:D997)</f>
        <v>0.22570099320242024</v>
      </c>
      <c r="J997" s="17">
        <f>STDEV($D$3:D997)</f>
        <v>1.2803171551326892E-2</v>
      </c>
      <c r="K997" s="4">
        <f t="shared" si="244"/>
        <v>1.9097108985099906E-3</v>
      </c>
      <c r="L997">
        <f t="shared" si="247"/>
        <v>3.1211050893033929E-2</v>
      </c>
      <c r="M997">
        <f>RSQ($D$3:D997,$B$3:B997)</f>
        <v>4.5380230401671523E-2</v>
      </c>
      <c r="N997">
        <v>965</v>
      </c>
      <c r="O997" t="str">
        <f t="shared" si="245"/>
        <v/>
      </c>
      <c r="P997" t="str">
        <f t="shared" si="249"/>
        <v/>
      </c>
      <c r="Q997">
        <f t="shared" si="250"/>
        <v>0</v>
      </c>
      <c r="R997">
        <f t="shared" si="251"/>
        <v>0</v>
      </c>
      <c r="S997">
        <f t="shared" si="252"/>
        <v>0</v>
      </c>
      <c r="T997">
        <f t="shared" si="253"/>
        <v>0</v>
      </c>
      <c r="U997">
        <f t="shared" si="248"/>
        <v>0</v>
      </c>
      <c r="V997">
        <f t="shared" si="254"/>
        <v>0</v>
      </c>
      <c r="W997">
        <f t="shared" si="242"/>
        <v>0</v>
      </c>
      <c r="X997">
        <f>SUM($W$34:W997)</f>
        <v>234.99453879999993</v>
      </c>
      <c r="Y997">
        <f t="shared" si="255"/>
        <v>0</v>
      </c>
    </row>
    <row r="998" spans="1:25">
      <c r="A998">
        <v>116.2945259</v>
      </c>
      <c r="B998" s="2">
        <f t="shared" si="240"/>
        <v>7.0090243971506986E-3</v>
      </c>
      <c r="C998">
        <v>105.8115231</v>
      </c>
      <c r="D998" s="3">
        <f t="shared" si="241"/>
        <v>-7.2549730497247535E-3</v>
      </c>
      <c r="E998" s="3">
        <f t="shared" si="243"/>
        <v>-8.9219915194927533E-3</v>
      </c>
      <c r="F998" s="3">
        <f>STDEV($E$32:E998)</f>
        <v>1.2522604291042436E-2</v>
      </c>
      <c r="G998" s="14">
        <f t="shared" si="246"/>
        <v>-0.71247092953937363</v>
      </c>
      <c r="H998" s="15">
        <f>yint($B$3:B998,$D$3:D998)</f>
        <v>8.8000578027011507E-5</v>
      </c>
      <c r="I998" s="16">
        <f>MyReg($B$3:B998,$D$3:D998)</f>
        <v>0.22528354907466</v>
      </c>
      <c r="J998" s="17">
        <f>STDEV($D$3:D998)</f>
        <v>1.2798884764841124E-2</v>
      </c>
      <c r="K998" s="4">
        <f t="shared" si="244"/>
        <v>1.667018469768E-3</v>
      </c>
      <c r="L998">
        <f t="shared" si="247"/>
        <v>-0.71247092953937363</v>
      </c>
      <c r="M998">
        <f>RSQ($D$3:D998,$B$3:B998)</f>
        <v>4.5211688780128552E-2</v>
      </c>
      <c r="N998">
        <v>966</v>
      </c>
      <c r="O998" t="str">
        <f t="shared" si="245"/>
        <v/>
      </c>
      <c r="P998" t="str">
        <f t="shared" si="249"/>
        <v/>
      </c>
      <c r="Q998">
        <f t="shared" si="250"/>
        <v>0</v>
      </c>
      <c r="R998">
        <f t="shared" si="251"/>
        <v>0</v>
      </c>
      <c r="S998">
        <f t="shared" si="252"/>
        <v>0</v>
      </c>
      <c r="T998">
        <f t="shared" si="253"/>
        <v>0</v>
      </c>
      <c r="U998">
        <f t="shared" si="248"/>
        <v>0</v>
      </c>
      <c r="V998">
        <f t="shared" si="254"/>
        <v>0</v>
      </c>
      <c r="W998">
        <f t="shared" si="242"/>
        <v>0</v>
      </c>
      <c r="X998">
        <f>SUM($W$34:W998)</f>
        <v>234.99453879999993</v>
      </c>
      <c r="Y998">
        <f t="shared" si="255"/>
        <v>0</v>
      </c>
    </row>
    <row r="999" spans="1:25">
      <c r="A999">
        <v>113.27251219999999</v>
      </c>
      <c r="B999" s="2">
        <f t="shared" si="240"/>
        <v>-2.5985863707794713E-2</v>
      </c>
      <c r="C999">
        <v>106.4943439</v>
      </c>
      <c r="D999" s="3">
        <f t="shared" si="241"/>
        <v>6.4531799561630332E-3</v>
      </c>
      <c r="E999" s="3">
        <f t="shared" si="243"/>
        <v>1.2149683989581658E-2</v>
      </c>
      <c r="F999" s="3">
        <f>STDEV($E$32:E999)</f>
        <v>1.252230699373129E-2</v>
      </c>
      <c r="G999" s="14">
        <f t="shared" si="246"/>
        <v>0.97024326233687064</v>
      </c>
      <c r="H999" s="15">
        <f>yint($B$3:B999,$D$3:D999)</f>
        <v>1.0069135567819815E-4</v>
      </c>
      <c r="I999" s="16">
        <f>MyReg($B$3:B999,$D$3:D999)</f>
        <v>0.22309034844040598</v>
      </c>
      <c r="J999" s="17">
        <f>STDEV($D$3:D999)</f>
        <v>1.2794021110956207E-2</v>
      </c>
      <c r="K999" s="4">
        <f t="shared" si="244"/>
        <v>-5.6965040334186253E-3</v>
      </c>
      <c r="L999">
        <f t="shared" si="247"/>
        <v>0.97024326233687064</v>
      </c>
      <c r="M999">
        <f>RSQ($D$3:D999,$B$3:B999)</f>
        <v>4.4534349643510787E-2</v>
      </c>
      <c r="N999">
        <v>967</v>
      </c>
      <c r="O999" t="str">
        <f t="shared" si="245"/>
        <v/>
      </c>
      <c r="P999" t="str">
        <f t="shared" si="249"/>
        <v/>
      </c>
      <c r="Q999">
        <f t="shared" si="250"/>
        <v>0</v>
      </c>
      <c r="R999">
        <f t="shared" si="251"/>
        <v>0</v>
      </c>
      <c r="S999">
        <f t="shared" si="252"/>
        <v>0</v>
      </c>
      <c r="T999">
        <f t="shared" si="253"/>
        <v>0</v>
      </c>
      <c r="U999">
        <f t="shared" si="248"/>
        <v>0</v>
      </c>
      <c r="V999">
        <f t="shared" si="254"/>
        <v>0</v>
      </c>
      <c r="W999">
        <f t="shared" si="242"/>
        <v>0</v>
      </c>
      <c r="X999">
        <f>SUM($W$34:W999)</f>
        <v>234.99453879999993</v>
      </c>
      <c r="Y999">
        <f t="shared" si="255"/>
        <v>0</v>
      </c>
    </row>
    <row r="1000" spans="1:25">
      <c r="A1000">
        <v>112.0226491</v>
      </c>
      <c r="B1000" s="2">
        <f t="shared" si="240"/>
        <v>-1.1034125364794364E-2</v>
      </c>
      <c r="C1000">
        <v>104.3218856</v>
      </c>
      <c r="D1000" s="3">
        <f t="shared" si="241"/>
        <v>-2.0399752892416311E-2</v>
      </c>
      <c r="E1000" s="3">
        <f t="shared" si="243"/>
        <v>-1.8005206554615596E-2</v>
      </c>
      <c r="F1000" s="3">
        <f>STDEV($E$32:E1000)</f>
        <v>1.2529083388924759E-2</v>
      </c>
      <c r="G1000" s="14">
        <f t="shared" si="246"/>
        <v>-1.4370729282982924</v>
      </c>
      <c r="H1000" s="15">
        <f>yint($B$3:B1000,$D$3:D1000)</f>
        <v>8.235723629408285E-5</v>
      </c>
      <c r="I1000" s="16">
        <f>MyReg($B$3:B1000,$D$3:D1000)</f>
        <v>0.22447665693536892</v>
      </c>
      <c r="J1000" s="17">
        <f>STDEV($D$3:D1000)</f>
        <v>1.2804129232652792E-2</v>
      </c>
      <c r="K1000" s="4">
        <f t="shared" si="244"/>
        <v>-2.3945463378007141E-3</v>
      </c>
      <c r="L1000">
        <f t="shared" si="247"/>
        <v>-1.4370729282982924</v>
      </c>
      <c r="M1000">
        <f>RSQ($D$3:D1000,$B$3:B1000)</f>
        <v>4.5012090514488602E-2</v>
      </c>
      <c r="N1000">
        <v>968</v>
      </c>
      <c r="O1000" t="str">
        <f t="shared" si="245"/>
        <v/>
      </c>
      <c r="P1000" t="str">
        <f t="shared" si="249"/>
        <v/>
      </c>
      <c r="Q1000">
        <f t="shared" si="250"/>
        <v>0</v>
      </c>
      <c r="R1000">
        <f t="shared" si="251"/>
        <v>0</v>
      </c>
      <c r="S1000">
        <f t="shared" si="252"/>
        <v>0</v>
      </c>
      <c r="T1000">
        <f t="shared" si="253"/>
        <v>0</v>
      </c>
      <c r="U1000">
        <f t="shared" si="248"/>
        <v>0</v>
      </c>
      <c r="V1000">
        <f t="shared" si="254"/>
        <v>0</v>
      </c>
      <c r="W1000">
        <f t="shared" si="242"/>
        <v>0</v>
      </c>
      <c r="X1000">
        <f>SUM($W$34:W1000)</f>
        <v>234.99453879999993</v>
      </c>
      <c r="Y1000">
        <f t="shared" si="255"/>
        <v>0</v>
      </c>
    </row>
    <row r="1001" spans="1:25">
      <c r="A1001">
        <v>112.1835244</v>
      </c>
      <c r="B1001" s="2">
        <f t="shared" si="240"/>
        <v>1.4360961938722865E-3</v>
      </c>
      <c r="C1001">
        <v>105.0729211</v>
      </c>
      <c r="D1001" s="3">
        <f t="shared" si="241"/>
        <v>7.1992132396809403E-3</v>
      </c>
      <c r="E1001" s="3">
        <f t="shared" si="243"/>
        <v>6.7876121756146133E-3</v>
      </c>
      <c r="F1001" s="3">
        <f>STDEV($E$32:E1001)</f>
        <v>1.252456607251458E-2</v>
      </c>
      <c r="G1001" s="14">
        <f t="shared" si="246"/>
        <v>0.54194389939865217</v>
      </c>
      <c r="H1001" s="15">
        <f>yint($B$3:B1001,$D$3:D1001)</f>
        <v>8.9147596168156215E-5</v>
      </c>
      <c r="I1001" s="16">
        <f>MyReg($B$3:B1001,$D$3:D1001)</f>
        <v>0.2245347277390298</v>
      </c>
      <c r="J1001" s="17">
        <f>STDEV($D$3:D1001)</f>
        <v>1.2799670128344849E-2</v>
      </c>
      <c r="K1001" s="4">
        <f t="shared" si="244"/>
        <v>4.11601064066327E-4</v>
      </c>
      <c r="L1001">
        <f t="shared" si="247"/>
        <v>0.54194389939865217</v>
      </c>
      <c r="M1001">
        <f>RSQ($D$3:D1001,$B$3:B1001)</f>
        <v>4.5022089854376258E-2</v>
      </c>
      <c r="N1001">
        <v>969</v>
      </c>
      <c r="O1001" t="str">
        <f t="shared" si="245"/>
        <v/>
      </c>
      <c r="P1001" t="str">
        <f t="shared" si="249"/>
        <v/>
      </c>
      <c r="Q1001">
        <f t="shared" si="250"/>
        <v>0</v>
      </c>
      <c r="R1001">
        <f t="shared" si="251"/>
        <v>0</v>
      </c>
      <c r="S1001">
        <f t="shared" si="252"/>
        <v>0</v>
      </c>
      <c r="T1001">
        <f t="shared" si="253"/>
        <v>0</v>
      </c>
      <c r="U1001">
        <f t="shared" si="248"/>
        <v>0</v>
      </c>
      <c r="V1001">
        <f t="shared" si="254"/>
        <v>0</v>
      </c>
      <c r="W1001">
        <f t="shared" si="242"/>
        <v>0</v>
      </c>
      <c r="X1001">
        <f>SUM($W$34:W1001)</f>
        <v>234.99453879999993</v>
      </c>
      <c r="Y1001">
        <f t="shared" si="255"/>
        <v>0</v>
      </c>
    </row>
    <row r="1002" spans="1:25">
      <c r="A1002">
        <v>112.32033389999999</v>
      </c>
      <c r="C1002">
        <v>104.6073938</v>
      </c>
      <c r="W1002">
        <f>SUM(W34:W1001)</f>
        <v>234.99453879999993</v>
      </c>
      <c r="X1002">
        <f>SUM($W$34:W1002)</f>
        <v>469.98907759999986</v>
      </c>
      <c r="Y1002">
        <f t="shared" si="255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001"/>
  <sheetViews>
    <sheetView workbookViewId="0">
      <selection activeCell="A2" sqref="A2"/>
    </sheetView>
  </sheetViews>
  <sheetFormatPr defaultRowHeight="15"/>
  <sheetData>
    <row r="1" spans="1:5">
      <c r="A1">
        <v>100</v>
      </c>
      <c r="B1">
        <v>100</v>
      </c>
      <c r="C1">
        <v>100</v>
      </c>
    </row>
    <row r="2" spans="1:5">
      <c r="A2">
        <v>98.102637590000001</v>
      </c>
      <c r="B2">
        <v>101.73635229999999</v>
      </c>
      <c r="C2">
        <v>99.793014360000001</v>
      </c>
    </row>
    <row r="3" spans="1:5">
      <c r="A3">
        <v>98.149579430000003</v>
      </c>
      <c r="B3">
        <v>100.7759393</v>
      </c>
      <c r="C3">
        <v>100.5199003</v>
      </c>
      <c r="D3" s="18"/>
      <c r="E3" s="18"/>
    </row>
    <row r="4" spans="1:5">
      <c r="A4">
        <v>98.307839180000002</v>
      </c>
      <c r="B4">
        <v>98.912445950000006</v>
      </c>
      <c r="C4">
        <v>99.807604519999998</v>
      </c>
      <c r="D4" s="7"/>
      <c r="E4" s="8"/>
    </row>
    <row r="5" spans="1:5">
      <c r="A5">
        <v>97.991259229999997</v>
      </c>
      <c r="B5">
        <v>97.700935529999995</v>
      </c>
      <c r="C5">
        <v>99.21927934</v>
      </c>
      <c r="D5" s="7"/>
      <c r="E5" s="8"/>
    </row>
    <row r="6" spans="1:5">
      <c r="A6">
        <v>99.129176319999999</v>
      </c>
      <c r="B6">
        <v>98.710185730000006</v>
      </c>
      <c r="C6">
        <v>99.967860380000005</v>
      </c>
      <c r="D6" s="7"/>
      <c r="E6" s="8"/>
    </row>
    <row r="7" spans="1:5">
      <c r="A7">
        <v>99.8145746</v>
      </c>
      <c r="B7">
        <v>99.417590779999998</v>
      </c>
      <c r="C7">
        <v>99.220868350000003</v>
      </c>
      <c r="D7" s="7"/>
      <c r="E7" s="8"/>
    </row>
    <row r="8" spans="1:5">
      <c r="A8">
        <v>99.820217560000003</v>
      </c>
      <c r="B8">
        <v>100.821224</v>
      </c>
      <c r="C8">
        <v>99.140930929999996</v>
      </c>
      <c r="D8" s="7"/>
      <c r="E8" s="8"/>
    </row>
    <row r="9" spans="1:5">
      <c r="A9">
        <v>100.24612209999999</v>
      </c>
      <c r="B9">
        <v>102.329044</v>
      </c>
      <c r="C9">
        <v>99.459614909999999</v>
      </c>
      <c r="D9" s="7"/>
      <c r="E9" s="8"/>
    </row>
    <row r="10" spans="1:5">
      <c r="A10">
        <v>98.676112119999999</v>
      </c>
      <c r="B10">
        <v>103.48817819999999</v>
      </c>
      <c r="C10">
        <v>100.36969240000001</v>
      </c>
      <c r="D10" s="7"/>
      <c r="E10" s="8"/>
    </row>
    <row r="11" spans="1:5">
      <c r="A11">
        <v>100.5572866</v>
      </c>
      <c r="B11">
        <v>103.94952960000001</v>
      </c>
      <c r="C11">
        <v>100.91624160000001</v>
      </c>
      <c r="D11" s="7"/>
      <c r="E11" s="8"/>
    </row>
    <row r="12" spans="1:5">
      <c r="A12">
        <v>99.110134840000001</v>
      </c>
      <c r="B12">
        <v>103.0651069</v>
      </c>
      <c r="C12">
        <v>101.2590142</v>
      </c>
      <c r="D12" s="7"/>
      <c r="E12" s="8"/>
    </row>
    <row r="13" spans="1:5">
      <c r="A13">
        <v>97.842725400000006</v>
      </c>
      <c r="B13">
        <v>105.1383087</v>
      </c>
      <c r="C13">
        <v>101.19435319999999</v>
      </c>
      <c r="D13" s="7"/>
      <c r="E13" s="8"/>
    </row>
    <row r="14" spans="1:5">
      <c r="A14">
        <v>96.212965960000005</v>
      </c>
      <c r="B14">
        <v>105.4087164</v>
      </c>
      <c r="C14">
        <v>100.3686994</v>
      </c>
      <c r="D14" s="7"/>
      <c r="E14" s="8"/>
    </row>
    <row r="15" spans="1:5">
      <c r="A15">
        <v>93.830941859999996</v>
      </c>
      <c r="B15">
        <v>103.2098507</v>
      </c>
      <c r="C15">
        <v>99.605658160000004</v>
      </c>
      <c r="D15" s="7"/>
      <c r="E15" s="8"/>
    </row>
    <row r="16" spans="1:5">
      <c r="A16">
        <v>97.455861650000003</v>
      </c>
      <c r="B16">
        <v>103.5020796</v>
      </c>
      <c r="C16">
        <v>99.884437439999999</v>
      </c>
      <c r="D16" s="7"/>
      <c r="E16" s="8"/>
    </row>
    <row r="17" spans="1:5">
      <c r="A17">
        <v>95.235214720000002</v>
      </c>
      <c r="B17">
        <v>104.9988944</v>
      </c>
      <c r="C17">
        <v>99.536561649999996</v>
      </c>
      <c r="D17" s="7"/>
      <c r="E17" s="8"/>
    </row>
    <row r="18" spans="1:5">
      <c r="A18">
        <v>95.108148749999998</v>
      </c>
      <c r="B18">
        <v>104.2617328</v>
      </c>
      <c r="C18">
        <v>99.523401019999994</v>
      </c>
      <c r="D18" s="7"/>
      <c r="E18" s="8"/>
    </row>
    <row r="19" spans="1:5">
      <c r="A19">
        <v>93.961779669999999</v>
      </c>
      <c r="B19">
        <v>100.00461199999999</v>
      </c>
      <c r="C19">
        <v>99.400647950000007</v>
      </c>
      <c r="D19" s="7"/>
      <c r="E19" s="8"/>
    </row>
    <row r="20" spans="1:5">
      <c r="A20">
        <v>94.847117969999999</v>
      </c>
      <c r="B20">
        <v>98.720659679999997</v>
      </c>
      <c r="C20">
        <v>99.329304579999999</v>
      </c>
      <c r="D20" s="7"/>
      <c r="E20" s="8"/>
    </row>
    <row r="21" spans="1:5">
      <c r="A21">
        <v>95.279009909999999</v>
      </c>
      <c r="B21">
        <v>99.724008029999993</v>
      </c>
      <c r="C21">
        <v>99.400861269999993</v>
      </c>
      <c r="D21" s="7"/>
      <c r="E21" s="8"/>
    </row>
    <row r="22" spans="1:5">
      <c r="A22">
        <v>94.471054589999994</v>
      </c>
      <c r="B22">
        <v>99.552980160000004</v>
      </c>
      <c r="C22">
        <v>98.775355439999998</v>
      </c>
      <c r="D22" s="7"/>
      <c r="E22" s="8"/>
    </row>
    <row r="23" spans="1:5">
      <c r="A23">
        <v>97.555480610000004</v>
      </c>
      <c r="B23">
        <v>100.1480238</v>
      </c>
      <c r="C23">
        <v>98.467384629999998</v>
      </c>
      <c r="D23" s="7"/>
      <c r="E23" s="8"/>
    </row>
    <row r="24" spans="1:5">
      <c r="A24">
        <v>98.572374330000002</v>
      </c>
      <c r="B24">
        <v>100.0451559</v>
      </c>
      <c r="C24">
        <v>100.0573165</v>
      </c>
      <c r="D24" s="7"/>
      <c r="E24" s="8"/>
    </row>
    <row r="25" spans="1:5">
      <c r="A25">
        <v>101.668047</v>
      </c>
      <c r="B25">
        <v>101.0145516</v>
      </c>
      <c r="C25">
        <v>100.70084540000001</v>
      </c>
      <c r="D25" s="7"/>
      <c r="E25" s="8"/>
    </row>
    <row r="26" spans="1:5">
      <c r="A26">
        <v>101.7594428</v>
      </c>
      <c r="B26">
        <v>100.41492390000001</v>
      </c>
      <c r="C26">
        <v>100.1404141</v>
      </c>
      <c r="D26" s="7"/>
      <c r="E26" s="8"/>
    </row>
    <row r="27" spans="1:5">
      <c r="A27">
        <v>102.5703434</v>
      </c>
      <c r="B27">
        <v>101.09830030000001</v>
      </c>
      <c r="C27">
        <v>99.499232120000002</v>
      </c>
      <c r="D27" s="7"/>
      <c r="E27" s="8"/>
    </row>
    <row r="28" spans="1:5">
      <c r="A28">
        <v>102.5288304</v>
      </c>
      <c r="B28">
        <v>101.11416699999999</v>
      </c>
      <c r="C28">
        <v>99.701207670000002</v>
      </c>
      <c r="D28" s="7"/>
      <c r="E28" s="8"/>
    </row>
    <row r="29" spans="1:5">
      <c r="A29">
        <v>104.23515810000001</v>
      </c>
      <c r="B29">
        <v>101.642723</v>
      </c>
      <c r="C29">
        <v>99.049853990000003</v>
      </c>
      <c r="D29" s="7"/>
      <c r="E29" s="8"/>
    </row>
    <row r="30" spans="1:5">
      <c r="A30">
        <v>102.1965915</v>
      </c>
      <c r="B30">
        <v>100.29653020000001</v>
      </c>
      <c r="C30">
        <v>98.023974469999999</v>
      </c>
      <c r="D30" s="7"/>
      <c r="E30" s="8"/>
    </row>
    <row r="31" spans="1:5">
      <c r="A31">
        <v>103.19116529999999</v>
      </c>
      <c r="B31">
        <v>100.00657030000001</v>
      </c>
      <c r="C31">
        <v>98.935126740000001</v>
      </c>
      <c r="D31" s="7"/>
      <c r="E31" s="8"/>
    </row>
    <row r="32" spans="1:5">
      <c r="A32">
        <v>101.0106006</v>
      </c>
      <c r="B32">
        <v>101.10019320000001</v>
      </c>
      <c r="C32">
        <v>98.851294809999999</v>
      </c>
      <c r="D32" s="7"/>
      <c r="E32" s="8"/>
    </row>
    <row r="33" spans="1:5">
      <c r="A33">
        <v>101.2325159</v>
      </c>
      <c r="B33">
        <v>101.95043320000001</v>
      </c>
      <c r="C33">
        <v>98.342278199999996</v>
      </c>
      <c r="D33" s="7"/>
      <c r="E33" s="8"/>
    </row>
    <row r="34" spans="1:5">
      <c r="A34">
        <v>101.78965410000001</v>
      </c>
      <c r="B34">
        <v>102.52336579999999</v>
      </c>
      <c r="C34">
        <v>98.130704820000005</v>
      </c>
      <c r="D34" s="7"/>
      <c r="E34" s="8"/>
    </row>
    <row r="35" spans="1:5">
      <c r="A35">
        <v>100.99065160000001</v>
      </c>
      <c r="B35">
        <v>100.3446833</v>
      </c>
      <c r="C35">
        <v>97.845681139999996</v>
      </c>
      <c r="D35" s="7"/>
      <c r="E35" s="8"/>
    </row>
    <row r="36" spans="1:5">
      <c r="A36">
        <v>101.00076799999999</v>
      </c>
      <c r="B36">
        <v>99.879133670000002</v>
      </c>
      <c r="C36">
        <v>96.629272839999999</v>
      </c>
      <c r="D36" s="7"/>
      <c r="E36" s="8"/>
    </row>
    <row r="37" spans="1:5">
      <c r="A37">
        <v>103.0842186</v>
      </c>
      <c r="B37">
        <v>99.485826900000006</v>
      </c>
      <c r="C37">
        <v>97.24054975</v>
      </c>
      <c r="D37" s="7"/>
      <c r="E37" s="8"/>
    </row>
    <row r="38" spans="1:5">
      <c r="A38">
        <v>101.5552811</v>
      </c>
      <c r="B38">
        <v>97.514494380000002</v>
      </c>
      <c r="C38">
        <v>97.640274790000007</v>
      </c>
      <c r="D38" s="7"/>
      <c r="E38" s="8"/>
    </row>
    <row r="39" spans="1:5">
      <c r="A39">
        <v>103.73437370000001</v>
      </c>
      <c r="B39">
        <v>98.968753169999999</v>
      </c>
      <c r="C39">
        <v>97.82867358</v>
      </c>
      <c r="D39" s="7"/>
      <c r="E39" s="8"/>
    </row>
    <row r="40" spans="1:5">
      <c r="A40">
        <v>105.06511500000001</v>
      </c>
      <c r="B40">
        <v>100.9389154</v>
      </c>
      <c r="C40">
        <v>98.37084582</v>
      </c>
      <c r="D40" s="7"/>
      <c r="E40" s="8"/>
    </row>
    <row r="41" spans="1:5">
      <c r="A41">
        <v>108.2968838</v>
      </c>
      <c r="B41">
        <v>101.63359850000001</v>
      </c>
      <c r="C41">
        <v>97.733821669999998</v>
      </c>
      <c r="D41" s="7"/>
      <c r="E41" s="8"/>
    </row>
    <row r="42" spans="1:5">
      <c r="A42">
        <v>109.1331734</v>
      </c>
      <c r="B42">
        <v>102.5726085</v>
      </c>
      <c r="C42">
        <v>97.269030650000005</v>
      </c>
      <c r="D42" s="7"/>
      <c r="E42" s="8"/>
    </row>
    <row r="43" spans="1:5">
      <c r="A43">
        <v>109.6198168</v>
      </c>
      <c r="B43">
        <v>102.27146020000001</v>
      </c>
      <c r="C43">
        <v>97.097227520000004</v>
      </c>
      <c r="D43" s="7"/>
      <c r="E43" s="8"/>
    </row>
    <row r="44" spans="1:5">
      <c r="A44">
        <v>108.3046581</v>
      </c>
      <c r="B44">
        <v>102.8234456</v>
      </c>
      <c r="C44">
        <v>96.777678589999994</v>
      </c>
      <c r="D44" s="7"/>
      <c r="E44" s="8"/>
    </row>
    <row r="45" spans="1:5">
      <c r="A45">
        <v>108.9335217</v>
      </c>
      <c r="B45">
        <v>102.601722</v>
      </c>
      <c r="C45">
        <v>96.285697850000005</v>
      </c>
      <c r="D45" s="7"/>
      <c r="E45" s="8"/>
    </row>
    <row r="46" spans="1:5">
      <c r="A46">
        <v>108.43666159999999</v>
      </c>
      <c r="B46">
        <v>101.8715768</v>
      </c>
      <c r="C46">
        <v>95.933748769999994</v>
      </c>
      <c r="D46" s="7"/>
      <c r="E46" s="8"/>
    </row>
    <row r="47" spans="1:5">
      <c r="A47">
        <v>107.5555086</v>
      </c>
      <c r="B47">
        <v>101.9425006</v>
      </c>
      <c r="C47">
        <v>96.010247100000001</v>
      </c>
      <c r="D47" s="7"/>
      <c r="E47" s="8"/>
    </row>
    <row r="48" spans="1:5">
      <c r="A48">
        <v>110.44880689999999</v>
      </c>
      <c r="B48">
        <v>104.8875792</v>
      </c>
      <c r="C48">
        <v>95.350579670000002</v>
      </c>
      <c r="D48" s="7"/>
      <c r="E48" s="8"/>
    </row>
    <row r="49" spans="1:5">
      <c r="A49">
        <v>109.0862408</v>
      </c>
      <c r="B49">
        <v>105.8385085</v>
      </c>
      <c r="C49">
        <v>95.346306130000002</v>
      </c>
      <c r="D49" s="7"/>
      <c r="E49" s="8"/>
    </row>
    <row r="50" spans="1:5">
      <c r="A50">
        <v>109.1457102</v>
      </c>
      <c r="B50">
        <v>107.2265307</v>
      </c>
      <c r="C50">
        <v>94.322680700000006</v>
      </c>
      <c r="D50" s="7"/>
      <c r="E50" s="8"/>
    </row>
    <row r="51" spans="1:5">
      <c r="A51">
        <v>108.42834019999999</v>
      </c>
      <c r="B51">
        <v>107.9322064</v>
      </c>
      <c r="C51">
        <v>94.884011920000006</v>
      </c>
      <c r="D51" s="7"/>
      <c r="E51" s="8"/>
    </row>
    <row r="52" spans="1:5">
      <c r="A52">
        <v>107.3059282</v>
      </c>
      <c r="B52">
        <v>107.06728870000001</v>
      </c>
      <c r="C52">
        <v>94.321559519999994</v>
      </c>
      <c r="D52" s="7"/>
      <c r="E52" s="8"/>
    </row>
    <row r="53" spans="1:5">
      <c r="A53">
        <v>107.563867</v>
      </c>
      <c r="B53">
        <v>109.446731</v>
      </c>
      <c r="C53">
        <v>94.863217989999995</v>
      </c>
      <c r="D53" s="7"/>
      <c r="E53" s="8"/>
    </row>
    <row r="54" spans="1:5">
      <c r="A54">
        <v>107.0622705</v>
      </c>
      <c r="B54">
        <v>106.7945622</v>
      </c>
      <c r="C54">
        <v>95.227868130000004</v>
      </c>
      <c r="D54" s="7"/>
      <c r="E54" s="8"/>
    </row>
    <row r="55" spans="1:5" ht="15.75" thickBot="1">
      <c r="A55">
        <v>108.6661701</v>
      </c>
      <c r="B55">
        <v>108.32894279999999</v>
      </c>
      <c r="C55">
        <v>95.404814779999995</v>
      </c>
      <c r="D55" s="9"/>
      <c r="E55" s="9"/>
    </row>
    <row r="56" spans="1:5">
      <c r="A56">
        <v>108.9621458</v>
      </c>
      <c r="B56">
        <v>108.65688900000001</v>
      </c>
      <c r="C56">
        <v>95.067605200000003</v>
      </c>
    </row>
    <row r="57" spans="1:5">
      <c r="A57">
        <v>105.1877485</v>
      </c>
      <c r="B57">
        <v>105.62886659999999</v>
      </c>
      <c r="C57">
        <v>95.158144770000007</v>
      </c>
    </row>
    <row r="58" spans="1:5">
      <c r="A58">
        <v>105.0277799</v>
      </c>
      <c r="B58">
        <v>106.17142579999999</v>
      </c>
      <c r="C58">
        <v>94.844082369999995</v>
      </c>
    </row>
    <row r="59" spans="1:5">
      <c r="A59">
        <v>105.896422</v>
      </c>
      <c r="B59">
        <v>110.47601899999999</v>
      </c>
      <c r="C59">
        <v>95.354765029999996</v>
      </c>
    </row>
    <row r="60" spans="1:5">
      <c r="A60">
        <v>105.30184130000001</v>
      </c>
      <c r="B60">
        <v>110.5447992</v>
      </c>
      <c r="C60">
        <v>94.584745839999997</v>
      </c>
    </row>
    <row r="61" spans="1:5">
      <c r="A61">
        <v>104.8087407</v>
      </c>
      <c r="B61">
        <v>110.16696450000001</v>
      </c>
      <c r="C61">
        <v>94.384608360000001</v>
      </c>
    </row>
    <row r="62" spans="1:5">
      <c r="A62">
        <v>103.7053595</v>
      </c>
      <c r="B62">
        <v>106.0902755</v>
      </c>
      <c r="C62">
        <v>95.211908829999999</v>
      </c>
    </row>
    <row r="63" spans="1:5">
      <c r="A63">
        <v>103.2709582</v>
      </c>
      <c r="B63">
        <v>106.9840729</v>
      </c>
      <c r="C63">
        <v>94.604978250000002</v>
      </c>
    </row>
    <row r="64" spans="1:5">
      <c r="A64">
        <v>102.4096631</v>
      </c>
      <c r="B64">
        <v>106.1194692</v>
      </c>
      <c r="C64">
        <v>95.008960299999998</v>
      </c>
    </row>
    <row r="65" spans="1:3">
      <c r="A65">
        <v>103.20427410000001</v>
      </c>
      <c r="B65">
        <v>107.7389965</v>
      </c>
      <c r="C65">
        <v>94.129635660000005</v>
      </c>
    </row>
    <row r="66" spans="1:3">
      <c r="A66">
        <v>103.2720187</v>
      </c>
      <c r="B66">
        <v>107.0879056</v>
      </c>
      <c r="C66">
        <v>94.064005339999994</v>
      </c>
    </row>
    <row r="67" spans="1:3">
      <c r="A67">
        <v>104.94506130000001</v>
      </c>
      <c r="B67">
        <v>107.4173322</v>
      </c>
      <c r="C67">
        <v>94.363510199999993</v>
      </c>
    </row>
    <row r="68" spans="1:3">
      <c r="A68">
        <v>105.6086746</v>
      </c>
      <c r="B68">
        <v>107.6715619</v>
      </c>
      <c r="C68">
        <v>94.226238030000005</v>
      </c>
    </row>
    <row r="69" spans="1:3">
      <c r="A69">
        <v>107.71379330000001</v>
      </c>
      <c r="B69">
        <v>107.4654539</v>
      </c>
      <c r="C69">
        <v>93.700524250000001</v>
      </c>
    </row>
    <row r="70" spans="1:3">
      <c r="A70">
        <v>107.7216877</v>
      </c>
      <c r="B70">
        <v>109.41694990000001</v>
      </c>
      <c r="C70">
        <v>93.475755269999993</v>
      </c>
    </row>
    <row r="71" spans="1:3">
      <c r="A71">
        <v>109.1776806</v>
      </c>
      <c r="B71">
        <v>108.9791851</v>
      </c>
      <c r="C71">
        <v>93.965535990000006</v>
      </c>
    </row>
    <row r="72" spans="1:3">
      <c r="A72">
        <v>109.2465669</v>
      </c>
      <c r="B72">
        <v>106.3845194</v>
      </c>
      <c r="C72">
        <v>93.984834829999997</v>
      </c>
    </row>
    <row r="73" spans="1:3">
      <c r="A73">
        <v>108.8594142</v>
      </c>
      <c r="B73">
        <v>106.1187812</v>
      </c>
      <c r="C73">
        <v>93.942180160000007</v>
      </c>
    </row>
    <row r="74" spans="1:3">
      <c r="A74">
        <v>110.7601422</v>
      </c>
      <c r="B74">
        <v>104.5121152</v>
      </c>
      <c r="C74">
        <v>94.015853750000005</v>
      </c>
    </row>
    <row r="75" spans="1:3">
      <c r="A75">
        <v>108.2388813</v>
      </c>
      <c r="B75">
        <v>103.4169716</v>
      </c>
      <c r="C75">
        <v>94.195195600000005</v>
      </c>
    </row>
    <row r="76" spans="1:3">
      <c r="A76">
        <v>105.95431069999999</v>
      </c>
      <c r="B76">
        <v>101.1741949</v>
      </c>
      <c r="C76">
        <v>94.444799369999998</v>
      </c>
    </row>
    <row r="77" spans="1:3">
      <c r="A77">
        <v>106.801326</v>
      </c>
      <c r="B77">
        <v>101.4400929</v>
      </c>
      <c r="C77">
        <v>94.165417910000002</v>
      </c>
    </row>
    <row r="78" spans="1:3">
      <c r="A78">
        <v>106.12797310000001</v>
      </c>
      <c r="B78">
        <v>101.0689735</v>
      </c>
      <c r="C78">
        <v>94.108000469999993</v>
      </c>
    </row>
    <row r="79" spans="1:3">
      <c r="A79">
        <v>103.76640690000001</v>
      </c>
      <c r="B79">
        <v>101.8882787</v>
      </c>
      <c r="C79">
        <v>94.215775539999996</v>
      </c>
    </row>
    <row r="80" spans="1:3">
      <c r="A80">
        <v>104.81046019999999</v>
      </c>
      <c r="B80">
        <v>102.53568079999999</v>
      </c>
      <c r="C80">
        <v>94.004091520000003</v>
      </c>
    </row>
    <row r="81" spans="1:3">
      <c r="A81">
        <v>106.1184161</v>
      </c>
      <c r="B81">
        <v>102.7683633</v>
      </c>
      <c r="C81">
        <v>93.771842899999996</v>
      </c>
    </row>
    <row r="82" spans="1:3">
      <c r="A82">
        <v>105.3690596</v>
      </c>
      <c r="B82">
        <v>101.1831056</v>
      </c>
      <c r="C82">
        <v>93.529625719999999</v>
      </c>
    </row>
    <row r="83" spans="1:3">
      <c r="A83">
        <v>106.0396126</v>
      </c>
      <c r="B83">
        <v>101.52636339999999</v>
      </c>
      <c r="C83">
        <v>93.100916420000004</v>
      </c>
    </row>
    <row r="84" spans="1:3">
      <c r="A84">
        <v>106.3579434</v>
      </c>
      <c r="B84">
        <v>101.06077639999999</v>
      </c>
      <c r="C84">
        <v>92.777027829999994</v>
      </c>
    </row>
    <row r="85" spans="1:3">
      <c r="A85">
        <v>106.0188301</v>
      </c>
      <c r="B85">
        <v>100.1925415</v>
      </c>
      <c r="C85">
        <v>92.500442070000005</v>
      </c>
    </row>
    <row r="86" spans="1:3">
      <c r="A86">
        <v>106.81060479999999</v>
      </c>
      <c r="B86">
        <v>99.548852640000007</v>
      </c>
      <c r="C86">
        <v>92.413531629999994</v>
      </c>
    </row>
    <row r="87" spans="1:3">
      <c r="A87">
        <v>106.65237310000001</v>
      </c>
      <c r="B87">
        <v>97.560549960000003</v>
      </c>
      <c r="C87">
        <v>92.157688690000001</v>
      </c>
    </row>
    <row r="88" spans="1:3">
      <c r="A88">
        <v>107.1613929</v>
      </c>
      <c r="B88">
        <v>97.883337850000004</v>
      </c>
      <c r="C88">
        <v>91.001555679999996</v>
      </c>
    </row>
    <row r="89" spans="1:3">
      <c r="A89">
        <v>107.44419310000001</v>
      </c>
      <c r="B89">
        <v>97.42245226</v>
      </c>
      <c r="C89">
        <v>90.826244700000004</v>
      </c>
    </row>
    <row r="90" spans="1:3">
      <c r="A90">
        <v>106.67267750000001</v>
      </c>
      <c r="B90">
        <v>96.405762580000001</v>
      </c>
      <c r="C90">
        <v>91.812633649999995</v>
      </c>
    </row>
    <row r="91" spans="1:3">
      <c r="A91">
        <v>108.0975754</v>
      </c>
      <c r="B91">
        <v>96.165607190000003</v>
      </c>
      <c r="C91">
        <v>91.945610110000004</v>
      </c>
    </row>
    <row r="92" spans="1:3">
      <c r="A92">
        <v>108.3100235</v>
      </c>
      <c r="B92">
        <v>96.753842180000007</v>
      </c>
      <c r="C92">
        <v>91.483303730000003</v>
      </c>
    </row>
    <row r="93" spans="1:3">
      <c r="A93">
        <v>108.43332049999999</v>
      </c>
      <c r="B93">
        <v>98.456430280000006</v>
      </c>
      <c r="C93">
        <v>91.501539989999998</v>
      </c>
    </row>
    <row r="94" spans="1:3">
      <c r="A94">
        <v>110.8768903</v>
      </c>
      <c r="B94">
        <v>99.206324260000002</v>
      </c>
      <c r="C94">
        <v>90.722624280000005</v>
      </c>
    </row>
    <row r="95" spans="1:3">
      <c r="A95">
        <v>111.2248898</v>
      </c>
      <c r="B95">
        <v>101.2993151</v>
      </c>
      <c r="C95">
        <v>90.905685590000004</v>
      </c>
    </row>
    <row r="96" spans="1:3">
      <c r="A96">
        <v>109.4402712</v>
      </c>
      <c r="B96">
        <v>102.0593241</v>
      </c>
      <c r="C96">
        <v>91.317370420000003</v>
      </c>
    </row>
    <row r="97" spans="1:3">
      <c r="A97">
        <v>110.1401259</v>
      </c>
      <c r="B97">
        <v>101.53721969999999</v>
      </c>
      <c r="C97">
        <v>92.146440690000006</v>
      </c>
    </row>
    <row r="98" spans="1:3">
      <c r="A98">
        <v>110.62490870000001</v>
      </c>
      <c r="B98">
        <v>102.40514109999999</v>
      </c>
      <c r="C98">
        <v>91.332369189999994</v>
      </c>
    </row>
    <row r="99" spans="1:3">
      <c r="A99">
        <v>108.4734132</v>
      </c>
      <c r="B99">
        <v>102.9337026</v>
      </c>
      <c r="C99">
        <v>91.677687160000005</v>
      </c>
    </row>
    <row r="100" spans="1:3">
      <c r="A100">
        <v>108.2372494</v>
      </c>
      <c r="B100">
        <v>102.08382829999999</v>
      </c>
      <c r="C100">
        <v>91.168053650000004</v>
      </c>
    </row>
    <row r="101" spans="1:3">
      <c r="A101">
        <v>111.2072175</v>
      </c>
      <c r="B101">
        <v>103.4005583</v>
      </c>
      <c r="C101">
        <v>91.593213750000004</v>
      </c>
    </row>
    <row r="102" spans="1:3">
      <c r="A102">
        <v>113.1871908</v>
      </c>
      <c r="B102">
        <v>103.87967570000001</v>
      </c>
      <c r="C102">
        <v>91.91159845</v>
      </c>
    </row>
    <row r="103" spans="1:3">
      <c r="A103">
        <v>112.1507426</v>
      </c>
      <c r="B103">
        <v>104.3424861</v>
      </c>
      <c r="C103">
        <v>91.729671139999994</v>
      </c>
    </row>
    <row r="104" spans="1:3">
      <c r="A104">
        <v>113.9838422</v>
      </c>
      <c r="B104">
        <v>102.97018850000001</v>
      </c>
      <c r="C104">
        <v>92.366213790000003</v>
      </c>
    </row>
    <row r="105" spans="1:3">
      <c r="A105">
        <v>113.1413512</v>
      </c>
      <c r="B105">
        <v>101.7397477</v>
      </c>
      <c r="C105">
        <v>91.223880940000001</v>
      </c>
    </row>
    <row r="106" spans="1:3">
      <c r="A106">
        <v>111.90139569999999</v>
      </c>
      <c r="B106">
        <v>104.80466029999999</v>
      </c>
      <c r="C106">
        <v>91.995780089999997</v>
      </c>
    </row>
    <row r="107" spans="1:3">
      <c r="A107">
        <v>111.45684900000001</v>
      </c>
      <c r="B107">
        <v>106.2579614</v>
      </c>
      <c r="C107">
        <v>92.107736709999998</v>
      </c>
    </row>
    <row r="108" spans="1:3">
      <c r="A108">
        <v>112.1176827</v>
      </c>
      <c r="B108">
        <v>106.7527472</v>
      </c>
      <c r="C108">
        <v>92.541261019999993</v>
      </c>
    </row>
    <row r="109" spans="1:3">
      <c r="A109">
        <v>111.48870839999999</v>
      </c>
      <c r="B109">
        <v>107.22758880000001</v>
      </c>
      <c r="C109">
        <v>92.732504750000004</v>
      </c>
    </row>
    <row r="110" spans="1:3">
      <c r="A110">
        <v>110.2432967</v>
      </c>
      <c r="B110">
        <v>106.56823489999999</v>
      </c>
      <c r="C110">
        <v>92.416942809999995</v>
      </c>
    </row>
    <row r="111" spans="1:3">
      <c r="A111">
        <v>109.29598009999999</v>
      </c>
      <c r="B111">
        <v>107.0598111</v>
      </c>
      <c r="C111">
        <v>92.413980330000001</v>
      </c>
    </row>
    <row r="112" spans="1:3">
      <c r="A112">
        <v>109.5736751</v>
      </c>
      <c r="B112">
        <v>107.4874622</v>
      </c>
      <c r="C112">
        <v>92.215830890000007</v>
      </c>
    </row>
    <row r="113" spans="1:3">
      <c r="A113">
        <v>110.3075345</v>
      </c>
      <c r="B113">
        <v>109.68551220000001</v>
      </c>
      <c r="C113">
        <v>92.435984719999993</v>
      </c>
    </row>
    <row r="114" spans="1:3">
      <c r="A114">
        <v>109.66929039999999</v>
      </c>
      <c r="B114">
        <v>110.57704750000001</v>
      </c>
      <c r="C114">
        <v>91.21896083</v>
      </c>
    </row>
    <row r="115" spans="1:3">
      <c r="A115">
        <v>109.8883213</v>
      </c>
      <c r="B115">
        <v>112.38071909999999</v>
      </c>
      <c r="C115">
        <v>91.618481020000004</v>
      </c>
    </row>
    <row r="116" spans="1:3">
      <c r="A116">
        <v>111.8056612</v>
      </c>
      <c r="B116">
        <v>111.14351360000001</v>
      </c>
      <c r="C116">
        <v>91.240728349999998</v>
      </c>
    </row>
    <row r="117" spans="1:3">
      <c r="A117">
        <v>114.7706716</v>
      </c>
      <c r="B117">
        <v>110.2488221</v>
      </c>
      <c r="C117">
        <v>91.185581830000004</v>
      </c>
    </row>
    <row r="118" spans="1:3">
      <c r="A118">
        <v>115.3032395</v>
      </c>
      <c r="B118">
        <v>111.62966110000001</v>
      </c>
      <c r="C118">
        <v>91.271907970000001</v>
      </c>
    </row>
    <row r="119" spans="1:3">
      <c r="A119">
        <v>115.4985566</v>
      </c>
      <c r="B119">
        <v>112.46014390000001</v>
      </c>
      <c r="C119">
        <v>90.852529090000004</v>
      </c>
    </row>
    <row r="120" spans="1:3">
      <c r="A120">
        <v>117.9696103</v>
      </c>
      <c r="B120">
        <v>112.9582971</v>
      </c>
      <c r="C120">
        <v>89.835809620000006</v>
      </c>
    </row>
    <row r="121" spans="1:3">
      <c r="A121">
        <v>115.9087328</v>
      </c>
      <c r="B121">
        <v>113.02570230000001</v>
      </c>
      <c r="C121">
        <v>90.35022472</v>
      </c>
    </row>
    <row r="122" spans="1:3">
      <c r="A122">
        <v>112.2312778</v>
      </c>
      <c r="B122">
        <v>113.3476642</v>
      </c>
      <c r="C122">
        <v>89.678001780000002</v>
      </c>
    </row>
    <row r="123" spans="1:3">
      <c r="A123">
        <v>112.22739</v>
      </c>
      <c r="B123">
        <v>113.4875763</v>
      </c>
      <c r="C123">
        <v>89.172507420000002</v>
      </c>
    </row>
    <row r="124" spans="1:3">
      <c r="A124">
        <v>112.2925046</v>
      </c>
      <c r="B124">
        <v>113.49651009999999</v>
      </c>
      <c r="C124">
        <v>89.525102029999999</v>
      </c>
    </row>
    <row r="125" spans="1:3">
      <c r="A125">
        <v>112.075118</v>
      </c>
      <c r="B125">
        <v>112.05134409999999</v>
      </c>
      <c r="C125">
        <v>89.403802519999999</v>
      </c>
    </row>
    <row r="126" spans="1:3">
      <c r="A126">
        <v>110.977142</v>
      </c>
      <c r="B126">
        <v>110.3005722</v>
      </c>
      <c r="C126">
        <v>88.264704460000004</v>
      </c>
    </row>
    <row r="127" spans="1:3">
      <c r="A127">
        <v>111.04665780000001</v>
      </c>
      <c r="B127">
        <v>109.9203358</v>
      </c>
      <c r="C127">
        <v>88.311498200000003</v>
      </c>
    </row>
    <row r="128" spans="1:3">
      <c r="A128">
        <v>112.41428449999999</v>
      </c>
      <c r="B128">
        <v>110.0441603</v>
      </c>
      <c r="C128">
        <v>87.964802309999996</v>
      </c>
    </row>
    <row r="129" spans="1:3">
      <c r="A129">
        <v>113.1736689</v>
      </c>
      <c r="B129">
        <v>109.6648254</v>
      </c>
      <c r="C129">
        <v>88.216351299999999</v>
      </c>
    </row>
    <row r="130" spans="1:3">
      <c r="A130">
        <v>114.21535590000001</v>
      </c>
      <c r="B130">
        <v>107.6956374</v>
      </c>
      <c r="C130">
        <v>88.107665440000005</v>
      </c>
    </row>
    <row r="131" spans="1:3">
      <c r="A131">
        <v>115.4072736</v>
      </c>
      <c r="B131">
        <v>108.07149459999999</v>
      </c>
      <c r="C131">
        <v>87.880414849999994</v>
      </c>
    </row>
    <row r="132" spans="1:3">
      <c r="A132">
        <v>114.46326569999999</v>
      </c>
      <c r="B132">
        <v>106.1842468</v>
      </c>
      <c r="C132">
        <v>87.599617670000001</v>
      </c>
    </row>
    <row r="133" spans="1:3">
      <c r="A133">
        <v>114.2866667</v>
      </c>
      <c r="B133">
        <v>106.20885579999999</v>
      </c>
      <c r="C133">
        <v>87.875318649999997</v>
      </c>
    </row>
    <row r="134" spans="1:3">
      <c r="A134">
        <v>113.95072620000001</v>
      </c>
      <c r="B134">
        <v>106.87062299999999</v>
      </c>
      <c r="C134">
        <v>88.112343920000001</v>
      </c>
    </row>
    <row r="135" spans="1:3">
      <c r="A135">
        <v>111.94527220000001</v>
      </c>
      <c r="B135">
        <v>109.9584772</v>
      </c>
      <c r="C135">
        <v>88.450609310000004</v>
      </c>
    </row>
    <row r="136" spans="1:3">
      <c r="A136">
        <v>110.2023744</v>
      </c>
      <c r="B136">
        <v>107.60816749999999</v>
      </c>
      <c r="C136">
        <v>88.330396160000006</v>
      </c>
    </row>
    <row r="137" spans="1:3">
      <c r="A137">
        <v>107.7452538</v>
      </c>
      <c r="B137">
        <v>107.6145879</v>
      </c>
      <c r="C137">
        <v>88.798297660000003</v>
      </c>
    </row>
    <row r="138" spans="1:3">
      <c r="A138">
        <v>108.3913663</v>
      </c>
      <c r="B138">
        <v>109.2249544</v>
      </c>
      <c r="C138">
        <v>87.932128629999994</v>
      </c>
    </row>
    <row r="139" spans="1:3">
      <c r="A139">
        <v>110.1912871</v>
      </c>
      <c r="B139">
        <v>109.1830236</v>
      </c>
      <c r="C139">
        <v>88.334886330000003</v>
      </c>
    </row>
    <row r="140" spans="1:3">
      <c r="A140">
        <v>110.198365</v>
      </c>
      <c r="B140">
        <v>111.413703</v>
      </c>
      <c r="C140">
        <v>88.794837220000005</v>
      </c>
    </row>
    <row r="141" spans="1:3">
      <c r="A141">
        <v>109.4897856</v>
      </c>
      <c r="B141">
        <v>111.1816602</v>
      </c>
      <c r="C141">
        <v>87.960693809999995</v>
      </c>
    </row>
    <row r="142" spans="1:3">
      <c r="A142">
        <v>109.9992979</v>
      </c>
      <c r="B142">
        <v>110.1930387</v>
      </c>
      <c r="C142">
        <v>88.241236830000005</v>
      </c>
    </row>
    <row r="143" spans="1:3">
      <c r="A143">
        <v>112.0075662</v>
      </c>
      <c r="B143">
        <v>108.6720256</v>
      </c>
      <c r="C143">
        <v>88.619396499999993</v>
      </c>
    </row>
    <row r="144" spans="1:3">
      <c r="A144">
        <v>113.6807482</v>
      </c>
      <c r="B144">
        <v>109.2464102</v>
      </c>
      <c r="C144">
        <v>88.147912950000006</v>
      </c>
    </row>
    <row r="145" spans="1:3">
      <c r="A145">
        <v>114.69477120000001</v>
      </c>
      <c r="B145">
        <v>107.5150335</v>
      </c>
      <c r="C145">
        <v>88.207497410000002</v>
      </c>
    </row>
    <row r="146" spans="1:3">
      <c r="A146">
        <v>117.1520446</v>
      </c>
      <c r="B146">
        <v>107.11128100000001</v>
      </c>
      <c r="C146">
        <v>88.471655069999997</v>
      </c>
    </row>
    <row r="147" spans="1:3">
      <c r="A147">
        <v>115.8221971</v>
      </c>
      <c r="B147">
        <v>106.3108417</v>
      </c>
      <c r="C147">
        <v>88.614036119999994</v>
      </c>
    </row>
    <row r="148" spans="1:3">
      <c r="A148">
        <v>116.18859980000001</v>
      </c>
      <c r="B148">
        <v>106.598158</v>
      </c>
      <c r="C148">
        <v>88.149214079999993</v>
      </c>
    </row>
    <row r="149" spans="1:3">
      <c r="A149">
        <v>117.4681624</v>
      </c>
      <c r="B149">
        <v>105.15397919999999</v>
      </c>
      <c r="C149">
        <v>87.855263149999999</v>
      </c>
    </row>
    <row r="150" spans="1:3">
      <c r="A150">
        <v>116.20949299999999</v>
      </c>
      <c r="B150">
        <v>104.165131</v>
      </c>
      <c r="C150">
        <v>87.386541210000004</v>
      </c>
    </row>
    <row r="151" spans="1:3">
      <c r="A151">
        <v>115.8026144</v>
      </c>
      <c r="B151">
        <v>102.2211791</v>
      </c>
      <c r="C151">
        <v>87.336670699999999</v>
      </c>
    </row>
    <row r="152" spans="1:3">
      <c r="A152">
        <v>116.5375064</v>
      </c>
      <c r="B152">
        <v>100.8563734</v>
      </c>
      <c r="C152">
        <v>87.774883979999998</v>
      </c>
    </row>
    <row r="153" spans="1:3">
      <c r="A153">
        <v>117.9230187</v>
      </c>
      <c r="B153">
        <v>101.38742120000001</v>
      </c>
      <c r="C153">
        <v>88.281837870000004</v>
      </c>
    </row>
    <row r="154" spans="1:3">
      <c r="A154">
        <v>118.017352</v>
      </c>
      <c r="B154">
        <v>101.9803304</v>
      </c>
      <c r="C154">
        <v>88.626335150000003</v>
      </c>
    </row>
    <row r="155" spans="1:3">
      <c r="A155">
        <v>120.7103953</v>
      </c>
      <c r="B155">
        <v>102.2332376</v>
      </c>
      <c r="C155">
        <v>88.539548740000001</v>
      </c>
    </row>
    <row r="156" spans="1:3">
      <c r="A156">
        <v>122.06339819999999</v>
      </c>
      <c r="B156">
        <v>102.02937799999999</v>
      </c>
      <c r="C156">
        <v>88.805511249999995</v>
      </c>
    </row>
    <row r="157" spans="1:3">
      <c r="A157">
        <v>121.50486739999999</v>
      </c>
      <c r="B157">
        <v>101.7492256</v>
      </c>
      <c r="C157">
        <v>88.306296189999998</v>
      </c>
    </row>
    <row r="158" spans="1:3">
      <c r="A158">
        <v>121.87900639999999</v>
      </c>
      <c r="B158">
        <v>102.28643769999999</v>
      </c>
      <c r="C158">
        <v>88.146935549999995</v>
      </c>
    </row>
    <row r="159" spans="1:3">
      <c r="A159">
        <v>122.09505609999999</v>
      </c>
      <c r="B159">
        <v>102.5831182</v>
      </c>
      <c r="C159">
        <v>87.640921210000002</v>
      </c>
    </row>
    <row r="160" spans="1:3">
      <c r="A160">
        <v>121.51323530000001</v>
      </c>
      <c r="B160">
        <v>103.8274976</v>
      </c>
      <c r="C160">
        <v>88.821025039999995</v>
      </c>
    </row>
    <row r="161" spans="1:3">
      <c r="A161">
        <v>122.65825510000001</v>
      </c>
      <c r="B161">
        <v>103.2708768</v>
      </c>
      <c r="C161">
        <v>88.696572259999996</v>
      </c>
    </row>
    <row r="162" spans="1:3">
      <c r="A162">
        <v>121.5908723</v>
      </c>
      <c r="B162">
        <v>103.6712309</v>
      </c>
      <c r="C162">
        <v>88.627368509999997</v>
      </c>
    </row>
    <row r="163" spans="1:3">
      <c r="A163">
        <v>121.1771261</v>
      </c>
      <c r="B163">
        <v>103.7819459</v>
      </c>
      <c r="C163">
        <v>89.074127720000007</v>
      </c>
    </row>
    <row r="164" spans="1:3">
      <c r="A164">
        <v>122.81544030000001</v>
      </c>
      <c r="B164">
        <v>104.1809829</v>
      </c>
      <c r="C164">
        <v>89.663542489999998</v>
      </c>
    </row>
    <row r="165" spans="1:3">
      <c r="A165">
        <v>122.2134916</v>
      </c>
      <c r="B165">
        <v>106.539861</v>
      </c>
      <c r="C165">
        <v>90.030813550000005</v>
      </c>
    </row>
    <row r="166" spans="1:3">
      <c r="A166">
        <v>119.9377698</v>
      </c>
      <c r="B166">
        <v>104.96609890000001</v>
      </c>
      <c r="C166">
        <v>89.706638400000003</v>
      </c>
    </row>
    <row r="167" spans="1:3">
      <c r="A167">
        <v>118.67232629999999</v>
      </c>
      <c r="B167">
        <v>103.2559294</v>
      </c>
      <c r="C167">
        <v>89.693999329999997</v>
      </c>
    </row>
    <row r="168" spans="1:3">
      <c r="A168">
        <v>118.12651339999999</v>
      </c>
      <c r="B168">
        <v>106.52510890000001</v>
      </c>
      <c r="C168">
        <v>88.178814259999996</v>
      </c>
    </row>
    <row r="169" spans="1:3">
      <c r="A169">
        <v>117.8753256</v>
      </c>
      <c r="B169">
        <v>107.0724957</v>
      </c>
      <c r="C169">
        <v>89.036377349999995</v>
      </c>
    </row>
    <row r="170" spans="1:3">
      <c r="A170">
        <v>116.18324749999999</v>
      </c>
      <c r="B170">
        <v>106.8999523</v>
      </c>
      <c r="C170">
        <v>88.214547409999994</v>
      </c>
    </row>
    <row r="171" spans="1:3">
      <c r="A171">
        <v>118.617648</v>
      </c>
      <c r="B171">
        <v>109.0977924</v>
      </c>
      <c r="C171">
        <v>88.317472929999994</v>
      </c>
    </row>
    <row r="172" spans="1:3">
      <c r="A172">
        <v>117.9075691</v>
      </c>
      <c r="B172">
        <v>105.4062911</v>
      </c>
      <c r="C172">
        <v>88.119499619999999</v>
      </c>
    </row>
    <row r="173" spans="1:3">
      <c r="A173">
        <v>117.5074132</v>
      </c>
      <c r="B173">
        <v>106.4172047</v>
      </c>
      <c r="C173">
        <v>88.167033239999995</v>
      </c>
    </row>
    <row r="174" spans="1:3">
      <c r="A174">
        <v>118.52684000000001</v>
      </c>
      <c r="B174">
        <v>109.07551890000001</v>
      </c>
      <c r="C174">
        <v>88.60756026</v>
      </c>
    </row>
    <row r="175" spans="1:3">
      <c r="A175">
        <v>118.5379602</v>
      </c>
      <c r="B175">
        <v>107.669332</v>
      </c>
      <c r="C175">
        <v>89.300350249999994</v>
      </c>
    </row>
    <row r="176" spans="1:3">
      <c r="A176">
        <v>119.79590330000001</v>
      </c>
      <c r="B176">
        <v>106.88020950000001</v>
      </c>
      <c r="C176">
        <v>89.665068000000005</v>
      </c>
    </row>
    <row r="177" spans="1:3">
      <c r="A177">
        <v>119.0869545</v>
      </c>
      <c r="B177">
        <v>106.8707246</v>
      </c>
      <c r="C177">
        <v>89.991911810000005</v>
      </c>
    </row>
    <row r="178" spans="1:3">
      <c r="A178">
        <v>120.56631830000001</v>
      </c>
      <c r="B178">
        <v>106.0086124</v>
      </c>
      <c r="C178">
        <v>90.751762630000002</v>
      </c>
    </row>
    <row r="179" spans="1:3">
      <c r="A179">
        <v>120.38759</v>
      </c>
      <c r="B179">
        <v>106.29797840000001</v>
      </c>
      <c r="C179">
        <v>90.899865120000001</v>
      </c>
    </row>
    <row r="180" spans="1:3">
      <c r="A180">
        <v>121.27464809999999</v>
      </c>
      <c r="B180">
        <v>107.3920971</v>
      </c>
      <c r="C180">
        <v>91.319844759999995</v>
      </c>
    </row>
    <row r="181" spans="1:3">
      <c r="A181">
        <v>119.71542410000001</v>
      </c>
      <c r="B181">
        <v>105.6612894</v>
      </c>
      <c r="C181">
        <v>91.672817289999998</v>
      </c>
    </row>
    <row r="182" spans="1:3">
      <c r="A182">
        <v>117.10685170000001</v>
      </c>
      <c r="B182">
        <v>105.5085535</v>
      </c>
      <c r="C182">
        <v>90.766746909999995</v>
      </c>
    </row>
    <row r="183" spans="1:3">
      <c r="A183">
        <v>116.6975863</v>
      </c>
      <c r="B183">
        <v>106.62424439999999</v>
      </c>
      <c r="C183">
        <v>90.421780420000005</v>
      </c>
    </row>
    <row r="184" spans="1:3">
      <c r="A184">
        <v>115.3087742</v>
      </c>
      <c r="B184">
        <v>104.8237276</v>
      </c>
      <c r="C184">
        <v>89.616175690000006</v>
      </c>
    </row>
    <row r="185" spans="1:3">
      <c r="A185">
        <v>115.2146221</v>
      </c>
      <c r="B185">
        <v>104.4804366</v>
      </c>
      <c r="C185">
        <v>89.282726969999999</v>
      </c>
    </row>
    <row r="186" spans="1:3">
      <c r="A186">
        <v>113.1296145</v>
      </c>
      <c r="B186">
        <v>105.2457788</v>
      </c>
      <c r="C186">
        <v>89.123713600000002</v>
      </c>
    </row>
    <row r="187" spans="1:3">
      <c r="A187">
        <v>113.6506984</v>
      </c>
      <c r="B187">
        <v>105.88843230000001</v>
      </c>
      <c r="C187">
        <v>88.919462749999994</v>
      </c>
    </row>
    <row r="188" spans="1:3">
      <c r="A188">
        <v>112.4778094</v>
      </c>
      <c r="B188">
        <v>105.24834199999999</v>
      </c>
      <c r="C188">
        <v>89.610689960000002</v>
      </c>
    </row>
    <row r="189" spans="1:3">
      <c r="A189">
        <v>112.5273176</v>
      </c>
      <c r="B189">
        <v>103.9595485</v>
      </c>
      <c r="C189">
        <v>89.394989699999996</v>
      </c>
    </row>
    <row r="190" spans="1:3">
      <c r="A190">
        <v>112.4539091</v>
      </c>
      <c r="B190">
        <v>106.1874035</v>
      </c>
      <c r="C190">
        <v>88.996579710000006</v>
      </c>
    </row>
    <row r="191" spans="1:3">
      <c r="A191">
        <v>111.25950039999999</v>
      </c>
      <c r="B191">
        <v>107.28240289999999</v>
      </c>
      <c r="C191">
        <v>88.762244370000005</v>
      </c>
    </row>
    <row r="192" spans="1:3">
      <c r="A192">
        <v>110.44847249999999</v>
      </c>
      <c r="B192">
        <v>108.7132994</v>
      </c>
      <c r="C192">
        <v>88.500843540000005</v>
      </c>
    </row>
    <row r="193" spans="1:3">
      <c r="A193">
        <v>111.71296289999999</v>
      </c>
      <c r="B193">
        <v>107.0471804</v>
      </c>
      <c r="C193">
        <v>87.700966660000006</v>
      </c>
    </row>
    <row r="194" spans="1:3">
      <c r="A194">
        <v>109.71580590000001</v>
      </c>
      <c r="B194">
        <v>107.8260717</v>
      </c>
      <c r="C194">
        <v>86.527549379999996</v>
      </c>
    </row>
    <row r="195" spans="1:3">
      <c r="A195">
        <v>109.7958119</v>
      </c>
      <c r="B195">
        <v>106.2863368</v>
      </c>
      <c r="C195">
        <v>86.374906109999998</v>
      </c>
    </row>
    <row r="196" spans="1:3">
      <c r="A196">
        <v>109.3322482</v>
      </c>
      <c r="B196">
        <v>103.7144444</v>
      </c>
      <c r="C196">
        <v>86.711210159999993</v>
      </c>
    </row>
    <row r="197" spans="1:3">
      <c r="A197">
        <v>109.3374453</v>
      </c>
      <c r="B197">
        <v>103.58259839999999</v>
      </c>
      <c r="C197">
        <v>86.010550530000003</v>
      </c>
    </row>
    <row r="198" spans="1:3">
      <c r="A198">
        <v>109.9772327</v>
      </c>
      <c r="B198">
        <v>103.9030626</v>
      </c>
      <c r="C198">
        <v>86.139515450000005</v>
      </c>
    </row>
    <row r="199" spans="1:3">
      <c r="A199">
        <v>108.7888277</v>
      </c>
      <c r="B199">
        <v>103.4226506</v>
      </c>
      <c r="C199">
        <v>85.927289009999996</v>
      </c>
    </row>
    <row r="200" spans="1:3">
      <c r="A200">
        <v>106.2011404</v>
      </c>
      <c r="B200">
        <v>102.1231511</v>
      </c>
      <c r="C200">
        <v>86.487326870000004</v>
      </c>
    </row>
    <row r="201" spans="1:3">
      <c r="A201">
        <v>106.25400209999999</v>
      </c>
      <c r="B201">
        <v>101.3520834</v>
      </c>
      <c r="C201">
        <v>87.31033497</v>
      </c>
    </row>
    <row r="202" spans="1:3">
      <c r="A202">
        <v>107.0638458</v>
      </c>
      <c r="B202">
        <v>103.0188575</v>
      </c>
      <c r="C202">
        <v>87.793371370000003</v>
      </c>
    </row>
    <row r="203" spans="1:3">
      <c r="A203">
        <v>107.8023817</v>
      </c>
      <c r="B203">
        <v>101.5166345</v>
      </c>
      <c r="C203">
        <v>89.111647750000003</v>
      </c>
    </row>
    <row r="204" spans="1:3">
      <c r="A204">
        <v>109.1436482</v>
      </c>
      <c r="B204">
        <v>102.7687263</v>
      </c>
      <c r="C204">
        <v>88.968190789999994</v>
      </c>
    </row>
    <row r="205" spans="1:3">
      <c r="A205">
        <v>107.5870051</v>
      </c>
      <c r="B205">
        <v>105.1611123</v>
      </c>
      <c r="C205">
        <v>89.555451140000002</v>
      </c>
    </row>
    <row r="206" spans="1:3">
      <c r="A206">
        <v>107.3887831</v>
      </c>
      <c r="B206">
        <v>103.36626529999999</v>
      </c>
      <c r="C206">
        <v>90.811007790000005</v>
      </c>
    </row>
    <row r="207" spans="1:3">
      <c r="A207">
        <v>104.80712939999999</v>
      </c>
      <c r="B207">
        <v>104.3310718</v>
      </c>
      <c r="C207">
        <v>90.245055210000004</v>
      </c>
    </row>
    <row r="208" spans="1:3">
      <c r="A208">
        <v>103.6262969</v>
      </c>
      <c r="B208">
        <v>105.869286</v>
      </c>
      <c r="C208">
        <v>90.441095160000003</v>
      </c>
    </row>
    <row r="209" spans="1:3">
      <c r="A209">
        <v>100.5673338</v>
      </c>
      <c r="B209">
        <v>103.44437050000001</v>
      </c>
      <c r="C209">
        <v>90.90119473</v>
      </c>
    </row>
    <row r="210" spans="1:3">
      <c r="A210">
        <v>101.4365189</v>
      </c>
      <c r="B210">
        <v>103.8803739</v>
      </c>
      <c r="C210">
        <v>90.427016420000001</v>
      </c>
    </row>
    <row r="211" spans="1:3">
      <c r="A211">
        <v>100.2234066</v>
      </c>
      <c r="B211">
        <v>105.20875700000001</v>
      </c>
      <c r="C211">
        <v>90.000273199999995</v>
      </c>
    </row>
    <row r="212" spans="1:3">
      <c r="A212">
        <v>100.92581</v>
      </c>
      <c r="B212">
        <v>104.96337029999999</v>
      </c>
      <c r="C212">
        <v>90.640015360000007</v>
      </c>
    </row>
    <row r="213" spans="1:3">
      <c r="A213">
        <v>101.12059840000001</v>
      </c>
      <c r="B213">
        <v>106.1766619</v>
      </c>
      <c r="C213">
        <v>91.101469429999995</v>
      </c>
    </row>
    <row r="214" spans="1:3">
      <c r="A214">
        <v>101.711068</v>
      </c>
      <c r="B214">
        <v>105.0795717</v>
      </c>
      <c r="C214">
        <v>91.109980370000002</v>
      </c>
    </row>
    <row r="215" spans="1:3">
      <c r="A215">
        <v>100.3542061</v>
      </c>
      <c r="B215">
        <v>104.3380444</v>
      </c>
      <c r="C215">
        <v>90.792149480000006</v>
      </c>
    </row>
    <row r="216" spans="1:3">
      <c r="A216">
        <v>100.63737949999999</v>
      </c>
      <c r="B216">
        <v>104.639134</v>
      </c>
      <c r="C216">
        <v>90.186672759999993</v>
      </c>
    </row>
    <row r="217" spans="1:3">
      <c r="A217">
        <v>98.827350609999996</v>
      </c>
      <c r="B217">
        <v>104.3187034</v>
      </c>
      <c r="C217">
        <v>89.407531070000005</v>
      </c>
    </row>
    <row r="218" spans="1:3">
      <c r="A218">
        <v>100.1463332</v>
      </c>
      <c r="B218">
        <v>104.6723202</v>
      </c>
      <c r="C218">
        <v>90.320145409999995</v>
      </c>
    </row>
    <row r="219" spans="1:3">
      <c r="A219">
        <v>100.41887010000001</v>
      </c>
      <c r="B219">
        <v>104.140816</v>
      </c>
      <c r="C219">
        <v>90.414029499999998</v>
      </c>
    </row>
    <row r="220" spans="1:3">
      <c r="A220">
        <v>99.051498629999998</v>
      </c>
      <c r="B220">
        <v>102.0648774</v>
      </c>
      <c r="C220">
        <v>91.259035749999995</v>
      </c>
    </row>
    <row r="221" spans="1:3">
      <c r="A221">
        <v>99.981116990000004</v>
      </c>
      <c r="B221">
        <v>103.3395646</v>
      </c>
      <c r="C221">
        <v>90.184137570000004</v>
      </c>
    </row>
    <row r="222" spans="1:3">
      <c r="A222">
        <v>99.216756360000005</v>
      </c>
      <c r="B222">
        <v>104.0721801</v>
      </c>
      <c r="C222">
        <v>89.701966859999999</v>
      </c>
    </row>
    <row r="223" spans="1:3">
      <c r="A223">
        <v>98.905961829999995</v>
      </c>
      <c r="B223">
        <v>104.2441177</v>
      </c>
      <c r="C223">
        <v>89.66080925</v>
      </c>
    </row>
    <row r="224" spans="1:3">
      <c r="A224">
        <v>101.55522550000001</v>
      </c>
      <c r="B224">
        <v>105.2666334</v>
      </c>
      <c r="C224">
        <v>90.183024000000003</v>
      </c>
    </row>
    <row r="225" spans="1:3">
      <c r="A225">
        <v>99.374794469999998</v>
      </c>
      <c r="B225">
        <v>106.1463159</v>
      </c>
      <c r="C225">
        <v>89.676147889999996</v>
      </c>
    </row>
    <row r="226" spans="1:3">
      <c r="A226">
        <v>98.585686159999995</v>
      </c>
      <c r="B226">
        <v>106.00703679999999</v>
      </c>
      <c r="C226">
        <v>88.394153860000003</v>
      </c>
    </row>
    <row r="227" spans="1:3">
      <c r="A227">
        <v>99.535857699999994</v>
      </c>
      <c r="B227">
        <v>105.7496831</v>
      </c>
      <c r="C227">
        <v>88.640756710000005</v>
      </c>
    </row>
    <row r="228" spans="1:3">
      <c r="A228">
        <v>100.1672076</v>
      </c>
      <c r="B228">
        <v>104.3919968</v>
      </c>
      <c r="C228">
        <v>87.946578489999993</v>
      </c>
    </row>
    <row r="229" spans="1:3">
      <c r="A229">
        <v>98.139855269999998</v>
      </c>
      <c r="B229">
        <v>105.0972735</v>
      </c>
      <c r="C229">
        <v>87.661145020000006</v>
      </c>
    </row>
    <row r="230" spans="1:3">
      <c r="A230">
        <v>97.817277079999997</v>
      </c>
      <c r="B230">
        <v>104.4353507</v>
      </c>
      <c r="C230">
        <v>87.887685250000004</v>
      </c>
    </row>
    <row r="231" spans="1:3">
      <c r="A231">
        <v>97.067526560000005</v>
      </c>
      <c r="B231">
        <v>103.78651480000001</v>
      </c>
      <c r="C231">
        <v>87.646519870000006</v>
      </c>
    </row>
    <row r="232" spans="1:3">
      <c r="A232">
        <v>98.020827850000003</v>
      </c>
      <c r="B232">
        <v>102.5032629</v>
      </c>
      <c r="C232">
        <v>86.703739769999999</v>
      </c>
    </row>
    <row r="233" spans="1:3">
      <c r="A233">
        <v>97.8550781</v>
      </c>
      <c r="B233">
        <v>100.3313733</v>
      </c>
      <c r="C233">
        <v>86.743587439999999</v>
      </c>
    </row>
    <row r="234" spans="1:3">
      <c r="A234">
        <v>95.452065000000005</v>
      </c>
      <c r="B234">
        <v>101.5399706</v>
      </c>
      <c r="C234">
        <v>86.559774340000004</v>
      </c>
    </row>
    <row r="235" spans="1:3">
      <c r="A235">
        <v>95.730942999999996</v>
      </c>
      <c r="B235">
        <v>101.04453410000001</v>
      </c>
      <c r="C235">
        <v>86.096661710000006</v>
      </c>
    </row>
    <row r="236" spans="1:3">
      <c r="A236">
        <v>93.961606450000005</v>
      </c>
      <c r="B236">
        <v>101.5726556</v>
      </c>
      <c r="C236">
        <v>86.573492680000001</v>
      </c>
    </row>
    <row r="237" spans="1:3">
      <c r="A237">
        <v>94.417253160000001</v>
      </c>
      <c r="B237">
        <v>101.8578237</v>
      </c>
      <c r="C237">
        <v>86.084083530000001</v>
      </c>
    </row>
    <row r="238" spans="1:3">
      <c r="A238">
        <v>94.811990530000003</v>
      </c>
      <c r="B238">
        <v>102.5167154</v>
      </c>
      <c r="C238">
        <v>86.517223670000007</v>
      </c>
    </row>
    <row r="239" spans="1:3">
      <c r="A239">
        <v>94.476624490000006</v>
      </c>
      <c r="B239">
        <v>103.6390188</v>
      </c>
      <c r="C239">
        <v>86.170832399999995</v>
      </c>
    </row>
    <row r="240" spans="1:3">
      <c r="A240">
        <v>94.237909680000001</v>
      </c>
      <c r="B240">
        <v>105.1362172</v>
      </c>
      <c r="C240">
        <v>87.067473199999995</v>
      </c>
    </row>
    <row r="241" spans="1:3">
      <c r="A241">
        <v>95.043368549999997</v>
      </c>
      <c r="B241">
        <v>106.97265969999999</v>
      </c>
      <c r="C241">
        <v>87.951512579999999</v>
      </c>
    </row>
    <row r="242" spans="1:3">
      <c r="A242">
        <v>95.452508190000003</v>
      </c>
      <c r="B242">
        <v>105.791989</v>
      </c>
      <c r="C242">
        <v>87.860199840000007</v>
      </c>
    </row>
    <row r="243" spans="1:3">
      <c r="A243">
        <v>96.012420809999995</v>
      </c>
      <c r="B243">
        <v>104.5156978</v>
      </c>
      <c r="C243">
        <v>87.371836610000003</v>
      </c>
    </row>
    <row r="244" spans="1:3">
      <c r="A244">
        <v>97.870193310000005</v>
      </c>
      <c r="B244">
        <v>106.0203801</v>
      </c>
      <c r="C244">
        <v>87.401546429999996</v>
      </c>
    </row>
    <row r="245" spans="1:3">
      <c r="A245">
        <v>97.551627190000005</v>
      </c>
      <c r="B245">
        <v>104.8635196</v>
      </c>
      <c r="C245">
        <v>86.723147080000004</v>
      </c>
    </row>
    <row r="246" spans="1:3">
      <c r="A246">
        <v>99.915068099999999</v>
      </c>
      <c r="B246">
        <v>107.71096540000001</v>
      </c>
      <c r="C246">
        <v>86.444691250000005</v>
      </c>
    </row>
    <row r="247" spans="1:3">
      <c r="A247">
        <v>99.087260430000001</v>
      </c>
      <c r="B247">
        <v>107.1218903</v>
      </c>
      <c r="C247">
        <v>86.426754329999994</v>
      </c>
    </row>
    <row r="248" spans="1:3">
      <c r="A248">
        <v>101.0868389</v>
      </c>
      <c r="B248">
        <v>105.2128201</v>
      </c>
      <c r="C248">
        <v>86.306502539999997</v>
      </c>
    </row>
    <row r="249" spans="1:3">
      <c r="A249">
        <v>102.2156363</v>
      </c>
      <c r="B249">
        <v>103.5411233</v>
      </c>
      <c r="C249">
        <v>86.563950800000001</v>
      </c>
    </row>
    <row r="250" spans="1:3">
      <c r="A250">
        <v>101.43489839999999</v>
      </c>
      <c r="B250">
        <v>102.2860982</v>
      </c>
      <c r="C250">
        <v>87.238072759999994</v>
      </c>
    </row>
    <row r="251" spans="1:3">
      <c r="A251">
        <v>99.65723835</v>
      </c>
      <c r="B251">
        <v>102.9164787</v>
      </c>
      <c r="C251">
        <v>87.658231549999996</v>
      </c>
    </row>
    <row r="252" spans="1:3">
      <c r="A252">
        <v>100.0854722</v>
      </c>
      <c r="B252">
        <v>103.2390996</v>
      </c>
      <c r="C252">
        <v>88.584003969999998</v>
      </c>
    </row>
    <row r="253" spans="1:3">
      <c r="A253">
        <v>103.25205819999999</v>
      </c>
      <c r="B253">
        <v>104.6744377</v>
      </c>
      <c r="C253">
        <v>88.498198389999999</v>
      </c>
    </row>
    <row r="254" spans="1:3">
      <c r="A254">
        <v>101.8992413</v>
      </c>
      <c r="B254">
        <v>105.0430791</v>
      </c>
      <c r="C254">
        <v>89.149001179999999</v>
      </c>
    </row>
    <row r="255" spans="1:3">
      <c r="A255">
        <v>102.5829026</v>
      </c>
      <c r="B255">
        <v>106.5619828</v>
      </c>
      <c r="C255">
        <v>88.946269700000002</v>
      </c>
    </row>
    <row r="256" spans="1:3">
      <c r="A256">
        <v>103.8875391</v>
      </c>
      <c r="B256">
        <v>107.1304674</v>
      </c>
      <c r="C256">
        <v>89.078538280000004</v>
      </c>
    </row>
    <row r="257" spans="1:3">
      <c r="A257">
        <v>104.7035131</v>
      </c>
      <c r="B257">
        <v>105.17158569999999</v>
      </c>
      <c r="C257">
        <v>88.406725059999999</v>
      </c>
    </row>
    <row r="258" spans="1:3">
      <c r="A258">
        <v>105.83377299999999</v>
      </c>
      <c r="B258">
        <v>104.02552590000001</v>
      </c>
      <c r="C258">
        <v>88.469535930000006</v>
      </c>
    </row>
    <row r="259" spans="1:3">
      <c r="A259">
        <v>106.7501529</v>
      </c>
      <c r="B259">
        <v>106.27514600000001</v>
      </c>
      <c r="C259">
        <v>89.021606950000006</v>
      </c>
    </row>
    <row r="260" spans="1:3">
      <c r="A260">
        <v>106.7531848</v>
      </c>
      <c r="B260">
        <v>107.6898147</v>
      </c>
      <c r="C260">
        <v>89.340764269999994</v>
      </c>
    </row>
    <row r="261" spans="1:3">
      <c r="A261">
        <v>106.9764555</v>
      </c>
      <c r="B261">
        <v>108.52534319999999</v>
      </c>
      <c r="C261">
        <v>88.827845049999993</v>
      </c>
    </row>
    <row r="262" spans="1:3">
      <c r="A262">
        <v>107.76844579999999</v>
      </c>
      <c r="B262">
        <v>109.4075541</v>
      </c>
      <c r="C262">
        <v>88.541749030000005</v>
      </c>
    </row>
    <row r="263" spans="1:3">
      <c r="A263">
        <v>107.0093141</v>
      </c>
      <c r="B263">
        <v>110.19210150000001</v>
      </c>
      <c r="C263">
        <v>88.332984620000005</v>
      </c>
    </row>
    <row r="264" spans="1:3">
      <c r="A264">
        <v>105.4513257</v>
      </c>
      <c r="B264">
        <v>110.6584168</v>
      </c>
      <c r="C264">
        <v>88.511712020000004</v>
      </c>
    </row>
    <row r="265" spans="1:3">
      <c r="A265">
        <v>105.5672142</v>
      </c>
      <c r="B265">
        <v>111.0422173</v>
      </c>
      <c r="C265">
        <v>88.05465427</v>
      </c>
    </row>
    <row r="266" spans="1:3">
      <c r="A266">
        <v>104.7752332</v>
      </c>
      <c r="B266">
        <v>112.0591948</v>
      </c>
      <c r="C266">
        <v>87.419878789999999</v>
      </c>
    </row>
    <row r="267" spans="1:3">
      <c r="A267">
        <v>103.0399422</v>
      </c>
      <c r="B267">
        <v>113.0802939</v>
      </c>
      <c r="C267">
        <v>86.750874839999994</v>
      </c>
    </row>
    <row r="268" spans="1:3">
      <c r="A268">
        <v>105.5489072</v>
      </c>
      <c r="B268">
        <v>113.93057349999999</v>
      </c>
      <c r="C268">
        <v>87.493883929999996</v>
      </c>
    </row>
    <row r="269" spans="1:3">
      <c r="A269">
        <v>107.4594046</v>
      </c>
      <c r="B269">
        <v>113.57423609999999</v>
      </c>
      <c r="C269">
        <v>86.585736299999994</v>
      </c>
    </row>
    <row r="270" spans="1:3">
      <c r="A270">
        <v>108.7722574</v>
      </c>
      <c r="B270">
        <v>114.45680659999999</v>
      </c>
      <c r="C270">
        <v>86.262300769999996</v>
      </c>
    </row>
    <row r="271" spans="1:3">
      <c r="A271">
        <v>109.44005199999999</v>
      </c>
      <c r="B271">
        <v>114.77648929999999</v>
      </c>
      <c r="C271">
        <v>85.497003609999993</v>
      </c>
    </row>
    <row r="272" spans="1:3">
      <c r="A272">
        <v>110.3981197</v>
      </c>
      <c r="B272">
        <v>114.76354019999999</v>
      </c>
      <c r="C272">
        <v>86.398463219999996</v>
      </c>
    </row>
    <row r="273" spans="1:3">
      <c r="A273">
        <v>110.2014447</v>
      </c>
      <c r="B273">
        <v>115.0246664</v>
      </c>
      <c r="C273">
        <v>86.442710759999997</v>
      </c>
    </row>
    <row r="274" spans="1:3">
      <c r="A274">
        <v>107.63995009999999</v>
      </c>
      <c r="B274">
        <v>114.88485249999999</v>
      </c>
      <c r="C274">
        <v>86.584337529999999</v>
      </c>
    </row>
    <row r="275" spans="1:3">
      <c r="A275">
        <v>104.5229434</v>
      </c>
      <c r="B275">
        <v>115.2815743</v>
      </c>
      <c r="C275">
        <v>87.255964590000005</v>
      </c>
    </row>
    <row r="276" spans="1:3">
      <c r="A276">
        <v>104.4175887</v>
      </c>
      <c r="B276">
        <v>115.331065</v>
      </c>
      <c r="C276">
        <v>87.609906820000006</v>
      </c>
    </row>
    <row r="277" spans="1:3">
      <c r="A277">
        <v>103.2303627</v>
      </c>
      <c r="B277">
        <v>115.5246757</v>
      </c>
      <c r="C277">
        <v>88.024352059999998</v>
      </c>
    </row>
    <row r="278" spans="1:3">
      <c r="A278">
        <v>103.2114122</v>
      </c>
      <c r="B278">
        <v>115.0821571</v>
      </c>
      <c r="C278">
        <v>88.529776519999999</v>
      </c>
    </row>
    <row r="279" spans="1:3">
      <c r="A279">
        <v>103.8888761</v>
      </c>
      <c r="B279">
        <v>115.2378276</v>
      </c>
      <c r="C279">
        <v>88.551541389999997</v>
      </c>
    </row>
    <row r="280" spans="1:3">
      <c r="A280">
        <v>102.2704257</v>
      </c>
      <c r="B280">
        <v>115.1251504</v>
      </c>
      <c r="C280">
        <v>87.874798900000002</v>
      </c>
    </row>
    <row r="281" spans="1:3">
      <c r="A281">
        <v>100.6176014</v>
      </c>
      <c r="B281">
        <v>114.7482445</v>
      </c>
      <c r="C281">
        <v>88.57830525</v>
      </c>
    </row>
    <row r="282" spans="1:3">
      <c r="A282">
        <v>102.09372089999999</v>
      </c>
      <c r="B282">
        <v>114.91099610000001</v>
      </c>
      <c r="C282">
        <v>88.881080159999996</v>
      </c>
    </row>
    <row r="283" spans="1:3">
      <c r="A283">
        <v>102.7477272</v>
      </c>
      <c r="B283">
        <v>112.43646390000001</v>
      </c>
      <c r="C283">
        <v>89.397377770000006</v>
      </c>
    </row>
    <row r="284" spans="1:3">
      <c r="A284">
        <v>100.7605994</v>
      </c>
      <c r="B284">
        <v>113.0008124</v>
      </c>
      <c r="C284">
        <v>90.212287860000004</v>
      </c>
    </row>
    <row r="285" spans="1:3">
      <c r="A285">
        <v>101.587468</v>
      </c>
      <c r="B285">
        <v>112.5697868</v>
      </c>
      <c r="C285">
        <v>90.294360510000004</v>
      </c>
    </row>
    <row r="286" spans="1:3">
      <c r="A286">
        <v>100.2784951</v>
      </c>
      <c r="B286">
        <v>113.8806783</v>
      </c>
      <c r="C286">
        <v>90.404645090000002</v>
      </c>
    </row>
    <row r="287" spans="1:3">
      <c r="A287">
        <v>97.725456629999996</v>
      </c>
      <c r="B287">
        <v>112.07100389999999</v>
      </c>
      <c r="C287">
        <v>90.505729830000007</v>
      </c>
    </row>
    <row r="288" spans="1:3">
      <c r="A288">
        <v>98.480322040000004</v>
      </c>
      <c r="B288">
        <v>113.23803580000001</v>
      </c>
      <c r="C288">
        <v>91.548944779999999</v>
      </c>
    </row>
    <row r="289" spans="1:3">
      <c r="A289">
        <v>95.670026699999994</v>
      </c>
      <c r="B289">
        <v>112.27672990000001</v>
      </c>
      <c r="C289">
        <v>91.940557850000005</v>
      </c>
    </row>
    <row r="290" spans="1:3">
      <c r="A290">
        <v>97.932234469999997</v>
      </c>
      <c r="B290">
        <v>113.37615359999999</v>
      </c>
      <c r="C290">
        <v>91.251259110000007</v>
      </c>
    </row>
    <row r="291" spans="1:3">
      <c r="A291">
        <v>98.753229950000005</v>
      </c>
      <c r="B291">
        <v>114.3916988</v>
      </c>
      <c r="C291">
        <v>91.141354370000002</v>
      </c>
    </row>
    <row r="292" spans="1:3">
      <c r="A292">
        <v>96.967036149999998</v>
      </c>
      <c r="B292">
        <v>112.6344721</v>
      </c>
      <c r="C292">
        <v>90.805475790000003</v>
      </c>
    </row>
    <row r="293" spans="1:3">
      <c r="A293">
        <v>95.915010769999995</v>
      </c>
      <c r="B293">
        <v>110.9345673</v>
      </c>
      <c r="C293">
        <v>90.38263096</v>
      </c>
    </row>
    <row r="294" spans="1:3">
      <c r="A294">
        <v>96.29791677</v>
      </c>
      <c r="B294">
        <v>110.1553717</v>
      </c>
      <c r="C294">
        <v>91.304998510000004</v>
      </c>
    </row>
    <row r="295" spans="1:3">
      <c r="A295">
        <v>95.686182040000006</v>
      </c>
      <c r="B295">
        <v>108.6742651</v>
      </c>
      <c r="C295">
        <v>91.926686619999998</v>
      </c>
    </row>
    <row r="296" spans="1:3">
      <c r="A296">
        <v>94.020363259999996</v>
      </c>
      <c r="B296">
        <v>107.3203242</v>
      </c>
      <c r="C296">
        <v>92.110316999999995</v>
      </c>
    </row>
    <row r="297" spans="1:3">
      <c r="A297">
        <v>95.896371369999997</v>
      </c>
      <c r="B297">
        <v>105.10841189999999</v>
      </c>
      <c r="C297">
        <v>92.047879399999999</v>
      </c>
    </row>
    <row r="298" spans="1:3">
      <c r="A298">
        <v>94.231673900000004</v>
      </c>
      <c r="B298">
        <v>102.9059237</v>
      </c>
      <c r="C298">
        <v>91.318870270000005</v>
      </c>
    </row>
    <row r="299" spans="1:3">
      <c r="A299">
        <v>95.598041859999995</v>
      </c>
      <c r="B299">
        <v>102.92777719999999</v>
      </c>
      <c r="C299">
        <v>90.549029059999995</v>
      </c>
    </row>
    <row r="300" spans="1:3">
      <c r="A300">
        <v>97.751061719999996</v>
      </c>
      <c r="B300">
        <v>105.0204493</v>
      </c>
      <c r="C300">
        <v>91.329670329999999</v>
      </c>
    </row>
    <row r="301" spans="1:3">
      <c r="A301">
        <v>98.222470189999996</v>
      </c>
      <c r="B301">
        <v>104.1351722</v>
      </c>
      <c r="C301">
        <v>90.324400370000006</v>
      </c>
    </row>
    <row r="302" spans="1:3">
      <c r="A302">
        <v>96.932588490000001</v>
      </c>
      <c r="B302">
        <v>101.3495068</v>
      </c>
      <c r="C302">
        <v>90.347644070000001</v>
      </c>
    </row>
    <row r="303" spans="1:3">
      <c r="A303">
        <v>97.356483080000004</v>
      </c>
      <c r="B303">
        <v>100.8521087</v>
      </c>
      <c r="C303">
        <v>90.055070619999995</v>
      </c>
    </row>
    <row r="304" spans="1:3">
      <c r="A304">
        <v>97.437254789999997</v>
      </c>
      <c r="B304">
        <v>102.6326085</v>
      </c>
      <c r="C304">
        <v>89.94956775</v>
      </c>
    </row>
    <row r="305" spans="1:3">
      <c r="A305">
        <v>97.927685859999997</v>
      </c>
      <c r="B305">
        <v>104.2425995</v>
      </c>
      <c r="C305">
        <v>89.390554879999996</v>
      </c>
    </row>
    <row r="306" spans="1:3">
      <c r="A306">
        <v>99.024804140000001</v>
      </c>
      <c r="B306">
        <v>102.0424759</v>
      </c>
      <c r="C306">
        <v>88.860708849999995</v>
      </c>
    </row>
    <row r="307" spans="1:3">
      <c r="A307">
        <v>100.1509563</v>
      </c>
      <c r="B307">
        <v>102.81308919999999</v>
      </c>
      <c r="C307">
        <v>89.186552520000006</v>
      </c>
    </row>
    <row r="308" spans="1:3">
      <c r="A308">
        <v>98.950185279999999</v>
      </c>
      <c r="B308">
        <v>103.45914740000001</v>
      </c>
      <c r="C308">
        <v>89.345468679999996</v>
      </c>
    </row>
    <row r="309" spans="1:3">
      <c r="A309">
        <v>99.242300549999996</v>
      </c>
      <c r="B309">
        <v>103.9792163</v>
      </c>
      <c r="C309">
        <v>89.411841159999994</v>
      </c>
    </row>
    <row r="310" spans="1:3">
      <c r="A310">
        <v>99.703948839999995</v>
      </c>
      <c r="B310">
        <v>104.3204061</v>
      </c>
      <c r="C310">
        <v>89.609221219999995</v>
      </c>
    </row>
    <row r="311" spans="1:3">
      <c r="A311">
        <v>101.4523715</v>
      </c>
      <c r="B311">
        <v>103.43404080000001</v>
      </c>
      <c r="C311">
        <v>89.118479399999998</v>
      </c>
    </row>
    <row r="312" spans="1:3">
      <c r="A312">
        <v>103.1469584</v>
      </c>
      <c r="B312">
        <v>103.4011617</v>
      </c>
      <c r="C312">
        <v>88.009981339999996</v>
      </c>
    </row>
    <row r="313" spans="1:3">
      <c r="A313">
        <v>103.5444676</v>
      </c>
      <c r="B313">
        <v>104.1030224</v>
      </c>
      <c r="C313">
        <v>88.581004699999994</v>
      </c>
    </row>
    <row r="314" spans="1:3">
      <c r="A314">
        <v>102.22157</v>
      </c>
      <c r="B314">
        <v>103.40546999999999</v>
      </c>
      <c r="C314">
        <v>88.972592789999993</v>
      </c>
    </row>
    <row r="315" spans="1:3">
      <c r="A315">
        <v>102.39119599999999</v>
      </c>
      <c r="B315">
        <v>104.0568526</v>
      </c>
      <c r="C315">
        <v>88.830073319999997</v>
      </c>
    </row>
    <row r="316" spans="1:3">
      <c r="A316">
        <v>100.1783782</v>
      </c>
      <c r="B316">
        <v>102.02814189999999</v>
      </c>
      <c r="C316">
        <v>88.984971419999994</v>
      </c>
    </row>
    <row r="317" spans="1:3">
      <c r="A317">
        <v>100.7914676</v>
      </c>
      <c r="B317">
        <v>103.8883333</v>
      </c>
      <c r="C317">
        <v>88.931854689999994</v>
      </c>
    </row>
    <row r="318" spans="1:3">
      <c r="A318">
        <v>100.9780834</v>
      </c>
      <c r="B318">
        <v>102.27613820000001</v>
      </c>
      <c r="C318">
        <v>89.165932999999995</v>
      </c>
    </row>
    <row r="319" spans="1:3">
      <c r="A319">
        <v>101.8395135</v>
      </c>
      <c r="B319">
        <v>105.326868</v>
      </c>
      <c r="C319">
        <v>89.557830609999996</v>
      </c>
    </row>
    <row r="320" spans="1:3">
      <c r="A320">
        <v>101.86259080000001</v>
      </c>
      <c r="B320">
        <v>103.80063610000001</v>
      </c>
      <c r="C320">
        <v>89.873262209999993</v>
      </c>
    </row>
    <row r="321" spans="1:3">
      <c r="A321">
        <v>103.56301259999999</v>
      </c>
      <c r="B321">
        <v>105.17502810000001</v>
      </c>
      <c r="C321">
        <v>90.337256499999995</v>
      </c>
    </row>
    <row r="322" spans="1:3">
      <c r="A322">
        <v>102.11875860000001</v>
      </c>
      <c r="B322">
        <v>103.8463648</v>
      </c>
      <c r="C322">
        <v>89.957831209999995</v>
      </c>
    </row>
    <row r="323" spans="1:3">
      <c r="A323">
        <v>100.59168219999999</v>
      </c>
      <c r="B323">
        <v>103.0795322</v>
      </c>
      <c r="C323">
        <v>89.926082359999995</v>
      </c>
    </row>
    <row r="324" spans="1:3">
      <c r="A324">
        <v>101.8277779</v>
      </c>
      <c r="B324">
        <v>102.39283159999999</v>
      </c>
      <c r="C324">
        <v>90.635989120000005</v>
      </c>
    </row>
    <row r="325" spans="1:3">
      <c r="A325">
        <v>102.0320177</v>
      </c>
      <c r="B325">
        <v>102.27212369999999</v>
      </c>
      <c r="C325">
        <v>91.206206330000001</v>
      </c>
    </row>
    <row r="326" spans="1:3">
      <c r="A326">
        <v>101.8682774</v>
      </c>
      <c r="B326">
        <v>104.655962</v>
      </c>
      <c r="C326">
        <v>91.488471570000002</v>
      </c>
    </row>
    <row r="327" spans="1:3">
      <c r="A327">
        <v>102.5345952</v>
      </c>
      <c r="B327">
        <v>102.2271902</v>
      </c>
      <c r="C327">
        <v>91.367012009999996</v>
      </c>
    </row>
    <row r="328" spans="1:3">
      <c r="A328">
        <v>102.8353425</v>
      </c>
      <c r="B328">
        <v>101.77150210000001</v>
      </c>
      <c r="C328">
        <v>91.539046979999995</v>
      </c>
    </row>
    <row r="329" spans="1:3">
      <c r="A329">
        <v>100.6099107</v>
      </c>
      <c r="B329">
        <v>102.1589614</v>
      </c>
      <c r="C329">
        <v>90.974332840000002</v>
      </c>
    </row>
    <row r="330" spans="1:3">
      <c r="A330">
        <v>101.10228480000001</v>
      </c>
      <c r="B330">
        <v>101.597227</v>
      </c>
      <c r="C330">
        <v>91.543818360000003</v>
      </c>
    </row>
    <row r="331" spans="1:3">
      <c r="A331">
        <v>100.7626234</v>
      </c>
      <c r="B331">
        <v>104.0461624</v>
      </c>
      <c r="C331">
        <v>92.138938479999993</v>
      </c>
    </row>
    <row r="332" spans="1:3">
      <c r="A332">
        <v>100.50954489999999</v>
      </c>
      <c r="B332">
        <v>103.89320840000001</v>
      </c>
      <c r="C332">
        <v>92.154174999999995</v>
      </c>
    </row>
    <row r="333" spans="1:3">
      <c r="A333">
        <v>97.549542680000002</v>
      </c>
      <c r="B333">
        <v>104.1541089</v>
      </c>
      <c r="C333">
        <v>91.475132930000001</v>
      </c>
    </row>
    <row r="334" spans="1:3">
      <c r="A334">
        <v>97.349011329999996</v>
      </c>
      <c r="B334">
        <v>102.7264284</v>
      </c>
      <c r="C334">
        <v>91.735356069999995</v>
      </c>
    </row>
    <row r="335" spans="1:3">
      <c r="A335">
        <v>97.886882110000002</v>
      </c>
      <c r="B335">
        <v>101.3875316</v>
      </c>
      <c r="C335">
        <v>91.889294219999996</v>
      </c>
    </row>
    <row r="336" spans="1:3">
      <c r="A336">
        <v>97.259303110000005</v>
      </c>
      <c r="B336">
        <v>101.9509442</v>
      </c>
      <c r="C336">
        <v>92.031432469999999</v>
      </c>
    </row>
    <row r="337" spans="1:3">
      <c r="A337">
        <v>95.267690520000002</v>
      </c>
      <c r="B337">
        <v>101.7142815</v>
      </c>
      <c r="C337">
        <v>91.964665539999999</v>
      </c>
    </row>
    <row r="338" spans="1:3">
      <c r="A338">
        <v>94.519545530000002</v>
      </c>
      <c r="B338">
        <v>100.13559770000001</v>
      </c>
      <c r="C338">
        <v>90.690649050000005</v>
      </c>
    </row>
    <row r="339" spans="1:3">
      <c r="A339">
        <v>95.689212380000001</v>
      </c>
      <c r="B339">
        <v>99.008853630000004</v>
      </c>
      <c r="C339">
        <v>90.790686489999999</v>
      </c>
    </row>
    <row r="340" spans="1:3">
      <c r="A340">
        <v>93.825880080000005</v>
      </c>
      <c r="B340">
        <v>98.40270056</v>
      </c>
      <c r="C340">
        <v>90.834295429999997</v>
      </c>
    </row>
    <row r="341" spans="1:3">
      <c r="A341">
        <v>95.320852349999996</v>
      </c>
      <c r="B341">
        <v>98.970313959999999</v>
      </c>
      <c r="C341">
        <v>90.647868979999998</v>
      </c>
    </row>
    <row r="342" spans="1:3">
      <c r="A342">
        <v>94.376192329999995</v>
      </c>
      <c r="B342">
        <v>96.75496339</v>
      </c>
      <c r="C342">
        <v>90.426695210000005</v>
      </c>
    </row>
    <row r="343" spans="1:3">
      <c r="A343">
        <v>94.500285180000006</v>
      </c>
      <c r="B343">
        <v>98.434211629999993</v>
      </c>
      <c r="C343">
        <v>89.84214145</v>
      </c>
    </row>
    <row r="344" spans="1:3">
      <c r="A344">
        <v>94.282088209999998</v>
      </c>
      <c r="B344">
        <v>101.2828993</v>
      </c>
      <c r="C344">
        <v>88.669399690000006</v>
      </c>
    </row>
    <row r="345" spans="1:3">
      <c r="A345">
        <v>95.763459870000005</v>
      </c>
      <c r="B345">
        <v>102.6215273</v>
      </c>
      <c r="C345">
        <v>87.765062130000004</v>
      </c>
    </row>
    <row r="346" spans="1:3">
      <c r="A346">
        <v>93.004721599999996</v>
      </c>
      <c r="B346">
        <v>101.1984903</v>
      </c>
      <c r="C346">
        <v>88.584860480000003</v>
      </c>
    </row>
    <row r="347" spans="1:3">
      <c r="A347">
        <v>92.547491629999996</v>
      </c>
      <c r="B347">
        <v>101.21805310000001</v>
      </c>
      <c r="C347">
        <v>88.25860643</v>
      </c>
    </row>
    <row r="348" spans="1:3">
      <c r="A348">
        <v>93.122306050000006</v>
      </c>
      <c r="B348">
        <v>99.615997120000003</v>
      </c>
      <c r="C348">
        <v>88.128759119999998</v>
      </c>
    </row>
    <row r="349" spans="1:3">
      <c r="A349">
        <v>93.497116090000006</v>
      </c>
      <c r="B349">
        <v>99.432360009999996</v>
      </c>
      <c r="C349">
        <v>87.624466499999997</v>
      </c>
    </row>
    <row r="350" spans="1:3">
      <c r="A350">
        <v>94.941529549999998</v>
      </c>
      <c r="B350">
        <v>98.348042509999999</v>
      </c>
      <c r="C350">
        <v>87.472179740000001</v>
      </c>
    </row>
    <row r="351" spans="1:3">
      <c r="A351">
        <v>92.966529449999996</v>
      </c>
      <c r="B351">
        <v>97.671012809999993</v>
      </c>
      <c r="C351">
        <v>87.545590750000002</v>
      </c>
    </row>
    <row r="352" spans="1:3">
      <c r="A352">
        <v>93.571747860000002</v>
      </c>
      <c r="B352">
        <v>98.155535420000007</v>
      </c>
      <c r="C352">
        <v>86.709946070000001</v>
      </c>
    </row>
    <row r="353" spans="1:3">
      <c r="A353">
        <v>95.333699420000002</v>
      </c>
      <c r="B353">
        <v>96.824842899999993</v>
      </c>
      <c r="C353">
        <v>86.219720769999995</v>
      </c>
    </row>
    <row r="354" spans="1:3">
      <c r="A354">
        <v>95.936732019999994</v>
      </c>
      <c r="B354">
        <v>98.774242979999997</v>
      </c>
      <c r="C354">
        <v>85.185303360000006</v>
      </c>
    </row>
    <row r="355" spans="1:3">
      <c r="A355">
        <v>98.075174219999994</v>
      </c>
      <c r="B355">
        <v>99.318391129999995</v>
      </c>
      <c r="C355">
        <v>86.15648032</v>
      </c>
    </row>
    <row r="356" spans="1:3">
      <c r="A356">
        <v>96.185239749999994</v>
      </c>
      <c r="B356">
        <v>98.754333639999999</v>
      </c>
      <c r="C356">
        <v>86.144199270000001</v>
      </c>
    </row>
    <row r="357" spans="1:3">
      <c r="A357">
        <v>96.108395099999996</v>
      </c>
      <c r="B357">
        <v>99.80409933</v>
      </c>
      <c r="C357">
        <v>85.831537549999993</v>
      </c>
    </row>
    <row r="358" spans="1:3">
      <c r="A358">
        <v>96.890000549999996</v>
      </c>
      <c r="B358">
        <v>99.370902860000001</v>
      </c>
      <c r="C358">
        <v>86.648624769999998</v>
      </c>
    </row>
    <row r="359" spans="1:3">
      <c r="A359">
        <v>97.087858409999996</v>
      </c>
      <c r="B359">
        <v>98.677276390000003</v>
      </c>
      <c r="C359">
        <v>86.718096079999995</v>
      </c>
    </row>
    <row r="360" spans="1:3">
      <c r="A360">
        <v>97.535655660000003</v>
      </c>
      <c r="B360">
        <v>100.3152398</v>
      </c>
      <c r="C360">
        <v>86.208570530000003</v>
      </c>
    </row>
    <row r="361" spans="1:3">
      <c r="A361">
        <v>97.163896649999998</v>
      </c>
      <c r="B361">
        <v>100.0343922</v>
      </c>
      <c r="C361">
        <v>85.60921209</v>
      </c>
    </row>
    <row r="362" spans="1:3">
      <c r="A362">
        <v>95.422418789999995</v>
      </c>
      <c r="B362">
        <v>97.135341629999999</v>
      </c>
      <c r="C362">
        <v>85.626090349999998</v>
      </c>
    </row>
    <row r="363" spans="1:3">
      <c r="A363">
        <v>96.972277489999996</v>
      </c>
      <c r="B363">
        <v>98.80271836</v>
      </c>
      <c r="C363">
        <v>85.625147310000003</v>
      </c>
    </row>
    <row r="364" spans="1:3">
      <c r="A364">
        <v>95.292872430000003</v>
      </c>
      <c r="B364">
        <v>96.751453920000003</v>
      </c>
      <c r="C364">
        <v>85.103865929999998</v>
      </c>
    </row>
    <row r="365" spans="1:3">
      <c r="A365">
        <v>97.656994940000004</v>
      </c>
      <c r="B365">
        <v>97.624668459999995</v>
      </c>
      <c r="C365">
        <v>85.023342749999998</v>
      </c>
    </row>
    <row r="366" spans="1:3">
      <c r="A366">
        <v>98.107270830000004</v>
      </c>
      <c r="B366">
        <v>97.558771849999999</v>
      </c>
      <c r="C366">
        <v>85.378594899999996</v>
      </c>
    </row>
    <row r="367" spans="1:3">
      <c r="A367">
        <v>96.896073349999995</v>
      </c>
      <c r="B367">
        <v>96.675643519999994</v>
      </c>
      <c r="C367">
        <v>85.114749880000005</v>
      </c>
    </row>
    <row r="368" spans="1:3">
      <c r="A368">
        <v>96.987426589999998</v>
      </c>
      <c r="B368">
        <v>98.304734330000002</v>
      </c>
      <c r="C368">
        <v>85.427676340000005</v>
      </c>
    </row>
    <row r="369" spans="1:3">
      <c r="A369">
        <v>97.732627320000006</v>
      </c>
      <c r="B369">
        <v>97.194384690000007</v>
      </c>
      <c r="C369">
        <v>85.617798039999997</v>
      </c>
    </row>
    <row r="370" spans="1:3">
      <c r="A370">
        <v>97.470679579999995</v>
      </c>
      <c r="B370">
        <v>98.533102690000007</v>
      </c>
      <c r="C370">
        <v>86.224086240000005</v>
      </c>
    </row>
    <row r="371" spans="1:3">
      <c r="A371">
        <v>95.818875300000002</v>
      </c>
      <c r="B371">
        <v>97.826568300000005</v>
      </c>
      <c r="C371">
        <v>86.28433905</v>
      </c>
    </row>
    <row r="372" spans="1:3">
      <c r="A372">
        <v>94.589623110000005</v>
      </c>
      <c r="B372">
        <v>97.946518299999994</v>
      </c>
      <c r="C372">
        <v>85.978811960000002</v>
      </c>
    </row>
    <row r="373" spans="1:3">
      <c r="A373">
        <v>95.505070919999994</v>
      </c>
      <c r="B373">
        <v>99.661392730000003</v>
      </c>
      <c r="C373">
        <v>85.484899110000001</v>
      </c>
    </row>
    <row r="374" spans="1:3">
      <c r="A374">
        <v>92.495542900000004</v>
      </c>
      <c r="B374">
        <v>100.9111106</v>
      </c>
      <c r="C374">
        <v>85.747140180000002</v>
      </c>
    </row>
    <row r="375" spans="1:3">
      <c r="A375">
        <v>90.444953119999994</v>
      </c>
      <c r="B375">
        <v>99.598756109999997</v>
      </c>
      <c r="C375">
        <v>84.96051568</v>
      </c>
    </row>
    <row r="376" spans="1:3">
      <c r="A376">
        <v>92.959550669999999</v>
      </c>
      <c r="B376">
        <v>98.147631140000001</v>
      </c>
      <c r="C376">
        <v>85.606149459999997</v>
      </c>
    </row>
    <row r="377" spans="1:3">
      <c r="A377">
        <v>93.419119559999999</v>
      </c>
      <c r="B377">
        <v>97.124039870000004</v>
      </c>
      <c r="C377">
        <v>85.734487400000006</v>
      </c>
    </row>
    <row r="378" spans="1:3">
      <c r="A378">
        <v>92.809195700000004</v>
      </c>
      <c r="B378">
        <v>97.043391889999995</v>
      </c>
      <c r="C378">
        <v>85.49882977</v>
      </c>
    </row>
    <row r="379" spans="1:3">
      <c r="A379">
        <v>93.738714239999993</v>
      </c>
      <c r="B379">
        <v>97.969858329999994</v>
      </c>
      <c r="C379">
        <v>85.783902749999996</v>
      </c>
    </row>
    <row r="380" spans="1:3">
      <c r="A380">
        <v>94.010358890000006</v>
      </c>
      <c r="B380">
        <v>97.519758620000005</v>
      </c>
      <c r="C380">
        <v>85.480420339999995</v>
      </c>
    </row>
    <row r="381" spans="1:3">
      <c r="A381">
        <v>94.561378750000003</v>
      </c>
      <c r="B381">
        <v>96.563783419999993</v>
      </c>
      <c r="C381">
        <v>84.872680680000002</v>
      </c>
    </row>
    <row r="382" spans="1:3">
      <c r="A382">
        <v>96.129001549999998</v>
      </c>
      <c r="B382">
        <v>93.641184710000005</v>
      </c>
      <c r="C382">
        <v>84.793477839999994</v>
      </c>
    </row>
    <row r="383" spans="1:3">
      <c r="A383">
        <v>96.577824140000004</v>
      </c>
      <c r="B383">
        <v>91.703124720000005</v>
      </c>
      <c r="C383">
        <v>84.321914199999995</v>
      </c>
    </row>
    <row r="384" spans="1:3">
      <c r="A384">
        <v>96.853191280000004</v>
      </c>
      <c r="B384">
        <v>91.276973100000006</v>
      </c>
      <c r="C384">
        <v>85.208388490000004</v>
      </c>
    </row>
    <row r="385" spans="1:3">
      <c r="A385">
        <v>94.225119059999997</v>
      </c>
      <c r="B385">
        <v>91.493593160000003</v>
      </c>
      <c r="C385">
        <v>85.607172309999996</v>
      </c>
    </row>
    <row r="386" spans="1:3">
      <c r="A386">
        <v>92.743602530000004</v>
      </c>
      <c r="B386">
        <v>92.773736099999994</v>
      </c>
      <c r="C386">
        <v>84.620348089999993</v>
      </c>
    </row>
    <row r="387" spans="1:3">
      <c r="A387">
        <v>92.074456580000003</v>
      </c>
      <c r="B387">
        <v>93.25335398</v>
      </c>
      <c r="C387">
        <v>84.535418489999998</v>
      </c>
    </row>
    <row r="388" spans="1:3">
      <c r="A388">
        <v>93.081415640000003</v>
      </c>
      <c r="B388">
        <v>93.693037009999998</v>
      </c>
      <c r="C388">
        <v>84.912139350000004</v>
      </c>
    </row>
    <row r="389" spans="1:3">
      <c r="A389">
        <v>93.417977809999996</v>
      </c>
      <c r="B389">
        <v>92.587460010000001</v>
      </c>
      <c r="C389">
        <v>84.964052390000006</v>
      </c>
    </row>
    <row r="390" spans="1:3">
      <c r="A390">
        <v>95.649359250000003</v>
      </c>
      <c r="B390">
        <v>91.804988929999993</v>
      </c>
      <c r="C390">
        <v>84.668993439999994</v>
      </c>
    </row>
    <row r="391" spans="1:3">
      <c r="A391">
        <v>95.200101739999994</v>
      </c>
      <c r="B391">
        <v>91.811771930000006</v>
      </c>
      <c r="C391">
        <v>84.76702564</v>
      </c>
    </row>
    <row r="392" spans="1:3">
      <c r="A392">
        <v>93.516459670000003</v>
      </c>
      <c r="B392">
        <v>93.250126050000006</v>
      </c>
      <c r="C392">
        <v>85.087124619999997</v>
      </c>
    </row>
    <row r="393" spans="1:3">
      <c r="A393">
        <v>94.777006319999998</v>
      </c>
      <c r="B393">
        <v>95.372746820000003</v>
      </c>
      <c r="C393">
        <v>86.010724550000006</v>
      </c>
    </row>
    <row r="394" spans="1:3">
      <c r="A394">
        <v>94.064311239999995</v>
      </c>
      <c r="B394">
        <v>92.806205689999999</v>
      </c>
      <c r="C394">
        <v>86.090077800000003</v>
      </c>
    </row>
    <row r="395" spans="1:3">
      <c r="A395">
        <v>94.488379179999995</v>
      </c>
      <c r="B395">
        <v>93.820540750000006</v>
      </c>
      <c r="C395">
        <v>85.747444060000007</v>
      </c>
    </row>
    <row r="396" spans="1:3">
      <c r="A396">
        <v>92.945074419999997</v>
      </c>
      <c r="B396">
        <v>92.949146670000005</v>
      </c>
      <c r="C396">
        <v>84.40850872</v>
      </c>
    </row>
    <row r="397" spans="1:3">
      <c r="A397">
        <v>93.853370630000001</v>
      </c>
      <c r="B397">
        <v>90.75310245</v>
      </c>
      <c r="C397">
        <v>83.272166979999994</v>
      </c>
    </row>
    <row r="398" spans="1:3">
      <c r="A398">
        <v>95.572703869999998</v>
      </c>
      <c r="B398">
        <v>90.180555409999997</v>
      </c>
      <c r="C398">
        <v>83.739545320000005</v>
      </c>
    </row>
    <row r="399" spans="1:3">
      <c r="A399">
        <v>96.47372747</v>
      </c>
      <c r="B399">
        <v>89.981728219999994</v>
      </c>
      <c r="C399">
        <v>83.739494239999999</v>
      </c>
    </row>
    <row r="400" spans="1:3">
      <c r="A400">
        <v>96.226521030000001</v>
      </c>
      <c r="B400">
        <v>90.498394020000006</v>
      </c>
      <c r="C400">
        <v>83.689705590000003</v>
      </c>
    </row>
    <row r="401" spans="1:3">
      <c r="A401">
        <v>95.238096130000002</v>
      </c>
      <c r="B401">
        <v>89.902587339999997</v>
      </c>
      <c r="C401">
        <v>82.897296859999997</v>
      </c>
    </row>
    <row r="402" spans="1:3">
      <c r="A402">
        <v>95.124300140000003</v>
      </c>
      <c r="B402">
        <v>88.547577450000006</v>
      </c>
      <c r="C402">
        <v>82.67709413</v>
      </c>
    </row>
    <row r="403" spans="1:3">
      <c r="A403">
        <v>93.274299679999999</v>
      </c>
      <c r="B403">
        <v>88.887869129999999</v>
      </c>
      <c r="C403">
        <v>81.890407539999998</v>
      </c>
    </row>
    <row r="404" spans="1:3">
      <c r="A404">
        <v>91.224523950000005</v>
      </c>
      <c r="B404">
        <v>86.074004189999997</v>
      </c>
      <c r="C404">
        <v>81.780586009999993</v>
      </c>
    </row>
    <row r="405" spans="1:3">
      <c r="A405">
        <v>90.733118689999998</v>
      </c>
      <c r="B405">
        <v>87.689890500000004</v>
      </c>
      <c r="C405">
        <v>82.104407190000003</v>
      </c>
    </row>
    <row r="406" spans="1:3">
      <c r="A406">
        <v>91.057536589999998</v>
      </c>
      <c r="B406">
        <v>88.073098830000006</v>
      </c>
      <c r="C406">
        <v>82.397842780000005</v>
      </c>
    </row>
    <row r="407" spans="1:3">
      <c r="A407">
        <v>90.689965880000003</v>
      </c>
      <c r="B407">
        <v>87.819558599999993</v>
      </c>
      <c r="C407">
        <v>82.890774390000004</v>
      </c>
    </row>
    <row r="408" spans="1:3">
      <c r="A408">
        <v>87.961917499999998</v>
      </c>
      <c r="B408">
        <v>86.608881850000003</v>
      </c>
      <c r="C408">
        <v>82.805591820000004</v>
      </c>
    </row>
    <row r="409" spans="1:3">
      <c r="A409">
        <v>89.27388071</v>
      </c>
      <c r="B409">
        <v>87.573053999999999</v>
      </c>
      <c r="C409">
        <v>82.888745540000002</v>
      </c>
    </row>
    <row r="410" spans="1:3">
      <c r="A410">
        <v>89.918738079999997</v>
      </c>
      <c r="B410">
        <v>84.165143549999996</v>
      </c>
      <c r="C410">
        <v>83.256942760000001</v>
      </c>
    </row>
    <row r="411" spans="1:3">
      <c r="A411">
        <v>92.075929389999999</v>
      </c>
      <c r="B411">
        <v>84.011574089999996</v>
      </c>
      <c r="C411">
        <v>83.735265220000002</v>
      </c>
    </row>
    <row r="412" spans="1:3">
      <c r="A412">
        <v>90.177583150000004</v>
      </c>
      <c r="B412">
        <v>84.051619709999997</v>
      </c>
      <c r="C412">
        <v>83.593909929999995</v>
      </c>
    </row>
    <row r="413" spans="1:3">
      <c r="A413">
        <v>90.320678540000003</v>
      </c>
      <c r="B413">
        <v>86.502501440000003</v>
      </c>
      <c r="C413">
        <v>83.457358150000005</v>
      </c>
    </row>
    <row r="414" spans="1:3">
      <c r="A414">
        <v>91.110328100000004</v>
      </c>
      <c r="B414">
        <v>84.753809149999995</v>
      </c>
      <c r="C414">
        <v>83.195680330000002</v>
      </c>
    </row>
    <row r="415" spans="1:3">
      <c r="A415">
        <v>91.448310890000002</v>
      </c>
      <c r="B415">
        <v>82.608770730000003</v>
      </c>
      <c r="C415">
        <v>83.714795789999997</v>
      </c>
    </row>
    <row r="416" spans="1:3">
      <c r="A416">
        <v>90.217459270000006</v>
      </c>
      <c r="B416">
        <v>80.775241140000006</v>
      </c>
      <c r="C416">
        <v>84.513238079999994</v>
      </c>
    </row>
    <row r="417" spans="1:3">
      <c r="A417">
        <v>92.627031709999997</v>
      </c>
      <c r="B417">
        <v>82.815151029999996</v>
      </c>
      <c r="C417">
        <v>85.089602499999998</v>
      </c>
    </row>
    <row r="418" spans="1:3">
      <c r="A418">
        <v>91.390313890000002</v>
      </c>
      <c r="B418">
        <v>83.134409239999997</v>
      </c>
      <c r="C418">
        <v>84.778993760000006</v>
      </c>
    </row>
    <row r="419" spans="1:3">
      <c r="A419">
        <v>93.092959179999994</v>
      </c>
      <c r="B419">
        <v>85.906431839999996</v>
      </c>
      <c r="C419">
        <v>85.099243900000005</v>
      </c>
    </row>
    <row r="420" spans="1:3">
      <c r="A420">
        <v>94.013134190000002</v>
      </c>
      <c r="B420">
        <v>85.437190619999996</v>
      </c>
      <c r="C420">
        <v>85.141085239999995</v>
      </c>
    </row>
    <row r="421" spans="1:3">
      <c r="A421">
        <v>94.64072865</v>
      </c>
      <c r="B421">
        <v>84.800984139999997</v>
      </c>
      <c r="C421">
        <v>85.569548850000004</v>
      </c>
    </row>
    <row r="422" spans="1:3">
      <c r="A422">
        <v>95.955416630000002</v>
      </c>
      <c r="B422">
        <v>83.982066680000003</v>
      </c>
      <c r="C422">
        <v>85.422542620000002</v>
      </c>
    </row>
    <row r="423" spans="1:3">
      <c r="A423">
        <v>95.244222620000002</v>
      </c>
      <c r="B423">
        <v>84.810039439999997</v>
      </c>
      <c r="C423">
        <v>85.148449420000006</v>
      </c>
    </row>
    <row r="424" spans="1:3">
      <c r="A424">
        <v>95.074626010000003</v>
      </c>
      <c r="B424">
        <v>86.113024089999996</v>
      </c>
      <c r="C424">
        <v>84.628031879999995</v>
      </c>
    </row>
    <row r="425" spans="1:3">
      <c r="A425">
        <v>96.456804939999998</v>
      </c>
      <c r="B425">
        <v>85.770089769999998</v>
      </c>
      <c r="C425">
        <v>84.135401950000002</v>
      </c>
    </row>
    <row r="426" spans="1:3">
      <c r="A426">
        <v>95.016466059999999</v>
      </c>
      <c r="B426">
        <v>86.413660899999996</v>
      </c>
      <c r="C426">
        <v>84.064660320000002</v>
      </c>
    </row>
    <row r="427" spans="1:3">
      <c r="A427">
        <v>95.327426770000002</v>
      </c>
      <c r="B427">
        <v>87.705813219999996</v>
      </c>
      <c r="C427">
        <v>83.996889379999999</v>
      </c>
    </row>
    <row r="428" spans="1:3">
      <c r="A428">
        <v>95.219162659999995</v>
      </c>
      <c r="B428">
        <v>88.803360490000003</v>
      </c>
      <c r="C428">
        <v>83.500961360000005</v>
      </c>
    </row>
    <row r="429" spans="1:3">
      <c r="A429">
        <v>92.642921020000003</v>
      </c>
      <c r="B429">
        <v>89.718434689999995</v>
      </c>
      <c r="C429">
        <v>83.631306809999998</v>
      </c>
    </row>
    <row r="430" spans="1:3">
      <c r="A430">
        <v>93.731246619999993</v>
      </c>
      <c r="B430">
        <v>89.669131120000003</v>
      </c>
      <c r="C430">
        <v>82.996201749999997</v>
      </c>
    </row>
    <row r="431" spans="1:3">
      <c r="A431">
        <v>94.765403950000007</v>
      </c>
      <c r="B431">
        <v>92.061041209999999</v>
      </c>
      <c r="C431">
        <v>82.913820450000003</v>
      </c>
    </row>
    <row r="432" spans="1:3">
      <c r="A432">
        <v>94.707155409999999</v>
      </c>
      <c r="B432">
        <v>93.812434999999994</v>
      </c>
      <c r="C432">
        <v>83.058217760000005</v>
      </c>
    </row>
    <row r="433" spans="1:3">
      <c r="A433">
        <v>93.409422579999998</v>
      </c>
      <c r="B433">
        <v>94.63487782</v>
      </c>
      <c r="C433">
        <v>82.642251790000003</v>
      </c>
    </row>
    <row r="434" spans="1:3">
      <c r="A434">
        <v>91.701389860000006</v>
      </c>
      <c r="B434">
        <v>95.118578900000003</v>
      </c>
      <c r="C434">
        <v>82.906969590000003</v>
      </c>
    </row>
    <row r="435" spans="1:3">
      <c r="A435">
        <v>92.917925510000003</v>
      </c>
      <c r="B435">
        <v>96.233831820000006</v>
      </c>
      <c r="C435">
        <v>83.984239090000003</v>
      </c>
    </row>
    <row r="436" spans="1:3">
      <c r="A436">
        <v>93.249186499999993</v>
      </c>
      <c r="B436">
        <v>97.671140120000004</v>
      </c>
      <c r="C436">
        <v>83.191164209999997</v>
      </c>
    </row>
    <row r="437" spans="1:3">
      <c r="A437">
        <v>93.063175770000001</v>
      </c>
      <c r="B437">
        <v>96.835330249999998</v>
      </c>
      <c r="C437">
        <v>83.399683429999996</v>
      </c>
    </row>
    <row r="438" spans="1:3">
      <c r="A438">
        <v>91.594858529999996</v>
      </c>
      <c r="B438">
        <v>98.693041649999998</v>
      </c>
      <c r="C438">
        <v>83.236140899999995</v>
      </c>
    </row>
    <row r="439" spans="1:3">
      <c r="A439">
        <v>90.74344524</v>
      </c>
      <c r="B439">
        <v>99.879223330000002</v>
      </c>
      <c r="C439">
        <v>82.754568930000005</v>
      </c>
    </row>
    <row r="440" spans="1:3">
      <c r="A440">
        <v>91.290611690000006</v>
      </c>
      <c r="B440">
        <v>100.77915539999999</v>
      </c>
      <c r="C440">
        <v>83.069301460000005</v>
      </c>
    </row>
    <row r="441" spans="1:3">
      <c r="A441">
        <v>89.746942320000002</v>
      </c>
      <c r="B441">
        <v>100.7778138</v>
      </c>
      <c r="C441">
        <v>83.058756110000004</v>
      </c>
    </row>
    <row r="442" spans="1:3">
      <c r="A442">
        <v>88.699689789999994</v>
      </c>
      <c r="B442">
        <v>102.01927619999999</v>
      </c>
      <c r="C442">
        <v>83.385008999999997</v>
      </c>
    </row>
    <row r="443" spans="1:3">
      <c r="A443">
        <v>90.367321770000004</v>
      </c>
      <c r="B443">
        <v>101.3307353</v>
      </c>
      <c r="C443">
        <v>82.888024979999997</v>
      </c>
    </row>
    <row r="444" spans="1:3">
      <c r="A444">
        <v>90.817167990000002</v>
      </c>
      <c r="B444">
        <v>99.669606459999997</v>
      </c>
      <c r="C444">
        <v>82.712469279999993</v>
      </c>
    </row>
    <row r="445" spans="1:3">
      <c r="A445">
        <v>92.525018369999998</v>
      </c>
      <c r="B445">
        <v>98.245540370000001</v>
      </c>
      <c r="C445">
        <v>83.343046310000005</v>
      </c>
    </row>
    <row r="446" spans="1:3">
      <c r="A446">
        <v>94.10218218</v>
      </c>
      <c r="B446">
        <v>98.318499770000003</v>
      </c>
      <c r="C446">
        <v>83.76058931</v>
      </c>
    </row>
    <row r="447" spans="1:3">
      <c r="A447">
        <v>94.012524619999994</v>
      </c>
      <c r="B447">
        <v>99.157082979999998</v>
      </c>
      <c r="C447">
        <v>84.177083780000004</v>
      </c>
    </row>
    <row r="448" spans="1:3">
      <c r="A448">
        <v>92.639981379999995</v>
      </c>
      <c r="B448">
        <v>99.872374239999999</v>
      </c>
      <c r="C448">
        <v>84.699563519999998</v>
      </c>
    </row>
    <row r="449" spans="1:3">
      <c r="A449">
        <v>92.767651360000002</v>
      </c>
      <c r="B449">
        <v>99.737403459999996</v>
      </c>
      <c r="C449">
        <v>85.043124570000003</v>
      </c>
    </row>
    <row r="450" spans="1:3">
      <c r="A450">
        <v>94.976887450000007</v>
      </c>
      <c r="B450">
        <v>98.846983010000002</v>
      </c>
      <c r="C450">
        <v>84.587983129999998</v>
      </c>
    </row>
    <row r="451" spans="1:3">
      <c r="A451">
        <v>96.337907310000006</v>
      </c>
      <c r="B451">
        <v>101.7282726</v>
      </c>
      <c r="C451">
        <v>84.078077519999994</v>
      </c>
    </row>
    <row r="452" spans="1:3">
      <c r="A452">
        <v>98.753180499999999</v>
      </c>
      <c r="B452">
        <v>103.3688616</v>
      </c>
      <c r="C452">
        <v>84.266804320000006</v>
      </c>
    </row>
    <row r="453" spans="1:3">
      <c r="A453">
        <v>98.827268450000005</v>
      </c>
      <c r="B453">
        <v>105.6579943</v>
      </c>
      <c r="C453">
        <v>84.972629449999999</v>
      </c>
    </row>
    <row r="454" spans="1:3">
      <c r="A454">
        <v>100.634592</v>
      </c>
      <c r="B454">
        <v>104.2491108</v>
      </c>
      <c r="C454">
        <v>84.825219590000003</v>
      </c>
    </row>
    <row r="455" spans="1:3">
      <c r="A455">
        <v>98.630073980000006</v>
      </c>
      <c r="B455">
        <v>102.49535520000001</v>
      </c>
      <c r="C455">
        <v>85.253283740000001</v>
      </c>
    </row>
    <row r="456" spans="1:3">
      <c r="A456">
        <v>98.745093969999999</v>
      </c>
      <c r="B456">
        <v>102.0436081</v>
      </c>
      <c r="C456">
        <v>85.086813739999997</v>
      </c>
    </row>
    <row r="457" spans="1:3">
      <c r="A457">
        <v>100.1220319</v>
      </c>
      <c r="B457">
        <v>100.41426079999999</v>
      </c>
      <c r="C457">
        <v>85.234821019999998</v>
      </c>
    </row>
    <row r="458" spans="1:3">
      <c r="A458">
        <v>98.095630909999997</v>
      </c>
      <c r="B458">
        <v>96.853124519999994</v>
      </c>
      <c r="C458">
        <v>86.018763919999998</v>
      </c>
    </row>
    <row r="459" spans="1:3">
      <c r="A459">
        <v>96.148725029999994</v>
      </c>
      <c r="B459">
        <v>96.290087490000005</v>
      </c>
      <c r="C459">
        <v>86.73417216</v>
      </c>
    </row>
    <row r="460" spans="1:3">
      <c r="A460">
        <v>96.821503109999995</v>
      </c>
      <c r="B460">
        <v>94.612451949999993</v>
      </c>
      <c r="C460">
        <v>86.824493720000007</v>
      </c>
    </row>
    <row r="461" spans="1:3">
      <c r="A461">
        <v>95.271969839999997</v>
      </c>
      <c r="B461">
        <v>93.130520410000003</v>
      </c>
      <c r="C461">
        <v>86.933237199999994</v>
      </c>
    </row>
    <row r="462" spans="1:3">
      <c r="A462">
        <v>94.182044520000005</v>
      </c>
      <c r="B462">
        <v>95.780059010000002</v>
      </c>
      <c r="C462">
        <v>86.058654110000006</v>
      </c>
    </row>
    <row r="463" spans="1:3">
      <c r="A463">
        <v>92.818669170000007</v>
      </c>
      <c r="B463">
        <v>94.010777649999994</v>
      </c>
      <c r="C463">
        <v>85.918996699999994</v>
      </c>
    </row>
    <row r="464" spans="1:3">
      <c r="A464">
        <v>93.138016140000005</v>
      </c>
      <c r="B464">
        <v>98.020274459999996</v>
      </c>
      <c r="C464">
        <v>86.178054369999998</v>
      </c>
    </row>
    <row r="465" spans="1:3">
      <c r="A465">
        <v>92.070131149999995</v>
      </c>
      <c r="B465">
        <v>96.08859305</v>
      </c>
      <c r="C465">
        <v>85.893526010000002</v>
      </c>
    </row>
    <row r="466" spans="1:3">
      <c r="A466">
        <v>91.850153129999995</v>
      </c>
      <c r="B466">
        <v>95.543219289999996</v>
      </c>
      <c r="C466">
        <v>86.560643020000001</v>
      </c>
    </row>
    <row r="467" spans="1:3">
      <c r="A467">
        <v>91.920846560000001</v>
      </c>
      <c r="B467">
        <v>97.225880590000003</v>
      </c>
      <c r="C467">
        <v>86.457195889999994</v>
      </c>
    </row>
    <row r="468" spans="1:3">
      <c r="A468">
        <v>94.049755140000002</v>
      </c>
      <c r="B468">
        <v>98.279797149999993</v>
      </c>
      <c r="C468">
        <v>86.898793209999994</v>
      </c>
    </row>
    <row r="469" spans="1:3">
      <c r="A469">
        <v>94.408681099999995</v>
      </c>
      <c r="B469">
        <v>100.49266369999999</v>
      </c>
      <c r="C469">
        <v>86.593482260000002</v>
      </c>
    </row>
    <row r="470" spans="1:3">
      <c r="A470">
        <v>95.183161130000002</v>
      </c>
      <c r="B470">
        <v>100.93444049999999</v>
      </c>
      <c r="C470">
        <v>87.240730529999993</v>
      </c>
    </row>
    <row r="471" spans="1:3">
      <c r="A471">
        <v>95.531173550000005</v>
      </c>
      <c r="B471">
        <v>100.1110997</v>
      </c>
      <c r="C471">
        <v>87.096281259999998</v>
      </c>
    </row>
    <row r="472" spans="1:3">
      <c r="A472">
        <v>94.246922549999994</v>
      </c>
      <c r="B472">
        <v>98.876118500000004</v>
      </c>
      <c r="C472">
        <v>87.060470969999997</v>
      </c>
    </row>
    <row r="473" spans="1:3">
      <c r="A473">
        <v>94.419568769999998</v>
      </c>
      <c r="B473">
        <v>97.773807509999997</v>
      </c>
      <c r="C473">
        <v>86.568270859999998</v>
      </c>
    </row>
    <row r="474" spans="1:3">
      <c r="A474">
        <v>95.556168720000002</v>
      </c>
      <c r="B474">
        <v>94.112793670000002</v>
      </c>
      <c r="C474">
        <v>86.49623235</v>
      </c>
    </row>
    <row r="475" spans="1:3">
      <c r="A475">
        <v>93.369821770000001</v>
      </c>
      <c r="B475">
        <v>93.651580839999994</v>
      </c>
      <c r="C475">
        <v>86.47368926</v>
      </c>
    </row>
    <row r="476" spans="1:3">
      <c r="A476">
        <v>94.717097659999993</v>
      </c>
      <c r="B476">
        <v>95.03238709</v>
      </c>
      <c r="C476">
        <v>86.071421330000007</v>
      </c>
    </row>
    <row r="477" spans="1:3">
      <c r="A477">
        <v>97.595854700000004</v>
      </c>
      <c r="B477">
        <v>94.736304930000003</v>
      </c>
      <c r="C477">
        <v>85.952386149999995</v>
      </c>
    </row>
    <row r="478" spans="1:3">
      <c r="A478">
        <v>98.797287990000001</v>
      </c>
      <c r="B478">
        <v>93.735432759999995</v>
      </c>
      <c r="C478">
        <v>87.169945220000002</v>
      </c>
    </row>
    <row r="479" spans="1:3">
      <c r="A479">
        <v>96.65000354</v>
      </c>
      <c r="B479">
        <v>95.212211890000006</v>
      </c>
      <c r="C479">
        <v>87.136017570000007</v>
      </c>
    </row>
    <row r="480" spans="1:3">
      <c r="A480">
        <v>95.384522630000006</v>
      </c>
      <c r="B480">
        <v>95.718865199999996</v>
      </c>
      <c r="C480">
        <v>87.194894219999995</v>
      </c>
    </row>
    <row r="481" spans="1:3">
      <c r="A481">
        <v>92.418377460000002</v>
      </c>
      <c r="B481">
        <v>94.394669390000004</v>
      </c>
      <c r="C481">
        <v>87.153082789999999</v>
      </c>
    </row>
    <row r="482" spans="1:3">
      <c r="A482">
        <v>93.790578740000001</v>
      </c>
      <c r="B482">
        <v>94.846215229999999</v>
      </c>
      <c r="C482">
        <v>86.859403540000002</v>
      </c>
    </row>
    <row r="483" spans="1:3">
      <c r="A483">
        <v>92.468551120000001</v>
      </c>
      <c r="B483">
        <v>94.213054720000002</v>
      </c>
      <c r="C483">
        <v>87.231541570000005</v>
      </c>
    </row>
    <row r="484" spans="1:3">
      <c r="A484">
        <v>94.270015810000004</v>
      </c>
      <c r="B484">
        <v>93.63460087</v>
      </c>
      <c r="C484">
        <v>86.91813483</v>
      </c>
    </row>
    <row r="485" spans="1:3">
      <c r="A485">
        <v>96.671465580000003</v>
      </c>
      <c r="B485">
        <v>93.461227489999999</v>
      </c>
      <c r="C485">
        <v>86.819245719999998</v>
      </c>
    </row>
    <row r="486" spans="1:3">
      <c r="A486">
        <v>94.623444750000004</v>
      </c>
      <c r="B486">
        <v>94.150122960000004</v>
      </c>
      <c r="C486">
        <v>86.972456210000004</v>
      </c>
    </row>
    <row r="487" spans="1:3">
      <c r="A487">
        <v>94.543226899999993</v>
      </c>
      <c r="B487">
        <v>95.212031159999995</v>
      </c>
      <c r="C487">
        <v>86.055276699999993</v>
      </c>
    </row>
    <row r="488" spans="1:3">
      <c r="A488">
        <v>94.885135009999999</v>
      </c>
      <c r="B488">
        <v>95.243736459999994</v>
      </c>
      <c r="C488">
        <v>85.871233930000002</v>
      </c>
    </row>
    <row r="489" spans="1:3">
      <c r="A489">
        <v>96.094754550000005</v>
      </c>
      <c r="B489">
        <v>96.048507580000006</v>
      </c>
      <c r="C489">
        <v>86.171625509999998</v>
      </c>
    </row>
    <row r="490" spans="1:3">
      <c r="A490">
        <v>97.765327110000001</v>
      </c>
      <c r="B490">
        <v>93.781079980000001</v>
      </c>
      <c r="C490">
        <v>86.017195880000003</v>
      </c>
    </row>
    <row r="491" spans="1:3">
      <c r="A491">
        <v>97.788119839999993</v>
      </c>
      <c r="B491">
        <v>92.902289850000003</v>
      </c>
      <c r="C491">
        <v>85.296748980000004</v>
      </c>
    </row>
    <row r="492" spans="1:3">
      <c r="A492">
        <v>98.507132249999998</v>
      </c>
      <c r="B492">
        <v>90.763786330000002</v>
      </c>
      <c r="C492">
        <v>85.404367379999997</v>
      </c>
    </row>
    <row r="493" spans="1:3">
      <c r="A493">
        <v>99.680145370000005</v>
      </c>
      <c r="B493">
        <v>91.423587609999998</v>
      </c>
      <c r="C493">
        <v>85.717542589999994</v>
      </c>
    </row>
    <row r="494" spans="1:3">
      <c r="A494">
        <v>100.2844778</v>
      </c>
      <c r="B494">
        <v>91.000752550000001</v>
      </c>
      <c r="C494">
        <v>85.463532369999996</v>
      </c>
    </row>
    <row r="495" spans="1:3">
      <c r="A495">
        <v>99.830384179999996</v>
      </c>
      <c r="B495">
        <v>92.026378230000006</v>
      </c>
      <c r="C495">
        <v>85.073437060000003</v>
      </c>
    </row>
    <row r="496" spans="1:3">
      <c r="A496">
        <v>100.36990590000001</v>
      </c>
      <c r="B496">
        <v>91.133835739999995</v>
      </c>
      <c r="C496">
        <v>85.644102470000007</v>
      </c>
    </row>
    <row r="497" spans="1:3">
      <c r="A497">
        <v>100.68859399999999</v>
      </c>
      <c r="B497">
        <v>91.102689560000002</v>
      </c>
      <c r="C497">
        <v>84.951442229999998</v>
      </c>
    </row>
    <row r="498" spans="1:3">
      <c r="A498">
        <v>100.5552258</v>
      </c>
      <c r="B498">
        <v>92.137087690000001</v>
      </c>
      <c r="C498">
        <v>84.303098570000003</v>
      </c>
    </row>
    <row r="499" spans="1:3">
      <c r="A499">
        <v>101.47260869999999</v>
      </c>
      <c r="B499">
        <v>93.600723410000001</v>
      </c>
      <c r="C499">
        <v>83.862862519999993</v>
      </c>
    </row>
    <row r="500" spans="1:3">
      <c r="A500">
        <v>100.398768</v>
      </c>
      <c r="B500">
        <v>92.577096830000002</v>
      </c>
      <c r="C500">
        <v>83.979427529999995</v>
      </c>
    </row>
    <row r="501" spans="1:3">
      <c r="A501">
        <v>98.551886490000001</v>
      </c>
      <c r="B501">
        <v>92.680164779999998</v>
      </c>
      <c r="C501">
        <v>83.621121479999999</v>
      </c>
    </row>
    <row r="502" spans="1:3">
      <c r="A502">
        <v>98.825660549999995</v>
      </c>
      <c r="B502">
        <v>93.706297219999996</v>
      </c>
      <c r="C502">
        <v>83.895748519999998</v>
      </c>
    </row>
    <row r="503" spans="1:3">
      <c r="A503">
        <v>98.315646279999996</v>
      </c>
      <c r="B503">
        <v>94.088894379999999</v>
      </c>
      <c r="C503">
        <v>84.109160660000001</v>
      </c>
    </row>
    <row r="504" spans="1:3">
      <c r="A504">
        <v>97.232399950000001</v>
      </c>
      <c r="B504">
        <v>90.921146100000001</v>
      </c>
      <c r="C504">
        <v>83.67422431</v>
      </c>
    </row>
    <row r="505" spans="1:3">
      <c r="A505">
        <v>97.611078090000007</v>
      </c>
      <c r="B505">
        <v>90.976516989999993</v>
      </c>
      <c r="C505">
        <v>83.771236770000002</v>
      </c>
    </row>
    <row r="506" spans="1:3">
      <c r="A506">
        <v>98.934721699999997</v>
      </c>
      <c r="B506">
        <v>90.937169960000006</v>
      </c>
      <c r="C506">
        <v>83.863895130000003</v>
      </c>
    </row>
    <row r="507" spans="1:3">
      <c r="A507">
        <v>96.800220449999998</v>
      </c>
      <c r="B507">
        <v>94.847262729999997</v>
      </c>
      <c r="C507">
        <v>84.601185209999997</v>
      </c>
    </row>
    <row r="508" spans="1:3">
      <c r="A508">
        <v>96.249388519999997</v>
      </c>
      <c r="B508">
        <v>94.202605469999995</v>
      </c>
      <c r="C508">
        <v>84.5110502</v>
      </c>
    </row>
    <row r="509" spans="1:3">
      <c r="A509">
        <v>96.942238259999996</v>
      </c>
      <c r="B509">
        <v>93.318036939999999</v>
      </c>
      <c r="C509">
        <v>85.269956070000006</v>
      </c>
    </row>
    <row r="510" spans="1:3">
      <c r="A510">
        <v>98.198979750000007</v>
      </c>
      <c r="B510">
        <v>92.719369020000002</v>
      </c>
      <c r="C510">
        <v>85.722587619999999</v>
      </c>
    </row>
    <row r="511" spans="1:3">
      <c r="A511">
        <v>98.474228749999995</v>
      </c>
      <c r="B511">
        <v>91.452518760000004</v>
      </c>
      <c r="C511">
        <v>85.679998760000004</v>
      </c>
    </row>
    <row r="512" spans="1:3">
      <c r="A512">
        <v>98.996094900000003</v>
      </c>
      <c r="B512">
        <v>90.780628030000003</v>
      </c>
      <c r="C512">
        <v>85.755097520000007</v>
      </c>
    </row>
    <row r="513" spans="1:3">
      <c r="A513">
        <v>99.811571299999997</v>
      </c>
      <c r="B513">
        <v>89.004942279999995</v>
      </c>
      <c r="C513">
        <v>85.949837119999998</v>
      </c>
    </row>
    <row r="514" spans="1:3">
      <c r="A514">
        <v>98.011364420000007</v>
      </c>
      <c r="B514">
        <v>89.368829910000002</v>
      </c>
      <c r="C514">
        <v>85.613709220000004</v>
      </c>
    </row>
    <row r="515" spans="1:3">
      <c r="A515">
        <v>96.757142459999997</v>
      </c>
      <c r="B515">
        <v>87.498405649999995</v>
      </c>
      <c r="C515">
        <v>85.298994339999993</v>
      </c>
    </row>
    <row r="516" spans="1:3">
      <c r="A516">
        <v>95.547017460000006</v>
      </c>
      <c r="B516">
        <v>89.312061020000002</v>
      </c>
      <c r="C516">
        <v>85.723038209999999</v>
      </c>
    </row>
    <row r="517" spans="1:3">
      <c r="A517">
        <v>94.570943189999994</v>
      </c>
      <c r="B517">
        <v>89.940448619999998</v>
      </c>
      <c r="C517">
        <v>85.722259399999999</v>
      </c>
    </row>
    <row r="518" spans="1:3">
      <c r="A518">
        <v>97.281679339999997</v>
      </c>
      <c r="B518">
        <v>89.789813850000002</v>
      </c>
      <c r="C518">
        <v>85.001702280000003</v>
      </c>
    </row>
    <row r="519" spans="1:3">
      <c r="A519">
        <v>99.380658729999993</v>
      </c>
      <c r="B519">
        <v>92.811625079999999</v>
      </c>
      <c r="C519">
        <v>85.668993810000003</v>
      </c>
    </row>
    <row r="520" spans="1:3">
      <c r="A520">
        <v>97.507199900000003</v>
      </c>
      <c r="B520">
        <v>94.418764569999993</v>
      </c>
      <c r="C520">
        <v>85.285950060000005</v>
      </c>
    </row>
    <row r="521" spans="1:3">
      <c r="A521">
        <v>99.050054639999999</v>
      </c>
      <c r="B521">
        <v>95.196626260000002</v>
      </c>
      <c r="C521">
        <v>85.536133480000004</v>
      </c>
    </row>
    <row r="522" spans="1:3">
      <c r="A522">
        <v>96.700202899999994</v>
      </c>
      <c r="B522">
        <v>94.595246250000002</v>
      </c>
      <c r="C522">
        <v>85.331580849999995</v>
      </c>
    </row>
    <row r="523" spans="1:3">
      <c r="A523">
        <v>96.228963789999995</v>
      </c>
      <c r="B523">
        <v>93.28791434</v>
      </c>
      <c r="C523">
        <v>85.302610209999997</v>
      </c>
    </row>
    <row r="524" spans="1:3">
      <c r="A524">
        <v>95.597996409999993</v>
      </c>
      <c r="B524">
        <v>92.059318700000006</v>
      </c>
      <c r="C524">
        <v>84.895959349999998</v>
      </c>
    </row>
    <row r="525" spans="1:3">
      <c r="A525">
        <v>95.572355680000001</v>
      </c>
      <c r="B525">
        <v>92.882780539999999</v>
      </c>
      <c r="C525">
        <v>85.327500389999997</v>
      </c>
    </row>
    <row r="526" spans="1:3">
      <c r="A526">
        <v>95.518300350000004</v>
      </c>
      <c r="B526">
        <v>92.893412220000002</v>
      </c>
      <c r="C526">
        <v>85.443615890000004</v>
      </c>
    </row>
    <row r="527" spans="1:3">
      <c r="A527">
        <v>93.746872809999999</v>
      </c>
      <c r="B527">
        <v>92.533330579999998</v>
      </c>
      <c r="C527">
        <v>85.196182329999999</v>
      </c>
    </row>
    <row r="528" spans="1:3">
      <c r="A528">
        <v>93.224833689999997</v>
      </c>
      <c r="B528">
        <v>93.270987120000001</v>
      </c>
      <c r="C528">
        <v>85.539595349999999</v>
      </c>
    </row>
    <row r="529" spans="1:3">
      <c r="A529">
        <v>90.790914799999996</v>
      </c>
      <c r="B529">
        <v>95.133257659999998</v>
      </c>
      <c r="C529">
        <v>85.730864130000001</v>
      </c>
    </row>
    <row r="530" spans="1:3">
      <c r="A530">
        <v>91.487365299999993</v>
      </c>
      <c r="B530">
        <v>97.628406560000002</v>
      </c>
      <c r="C530">
        <v>86.00867642</v>
      </c>
    </row>
    <row r="531" spans="1:3">
      <c r="A531">
        <v>91.923951059999993</v>
      </c>
      <c r="B531">
        <v>96.759684519999993</v>
      </c>
      <c r="C531">
        <v>85.698565149999993</v>
      </c>
    </row>
    <row r="532" spans="1:3">
      <c r="A532">
        <v>88.193819980000001</v>
      </c>
      <c r="B532">
        <v>97.59499615</v>
      </c>
      <c r="C532">
        <v>85.933608939999999</v>
      </c>
    </row>
    <row r="533" spans="1:3">
      <c r="A533">
        <v>87.509968240000006</v>
      </c>
      <c r="B533">
        <v>98.097650759999993</v>
      </c>
      <c r="C533">
        <v>86.224114979999996</v>
      </c>
    </row>
    <row r="534" spans="1:3">
      <c r="A534">
        <v>86.435691370000001</v>
      </c>
      <c r="B534">
        <v>96.652454899999995</v>
      </c>
      <c r="C534">
        <v>87.336314029999997</v>
      </c>
    </row>
    <row r="535" spans="1:3">
      <c r="A535">
        <v>87.333002960000002</v>
      </c>
      <c r="B535">
        <v>97.802022679999993</v>
      </c>
      <c r="C535">
        <v>87.758619580000001</v>
      </c>
    </row>
    <row r="536" spans="1:3">
      <c r="A536">
        <v>88.583132430000006</v>
      </c>
      <c r="B536">
        <v>99.785251099999996</v>
      </c>
      <c r="C536">
        <v>88.620807330000005</v>
      </c>
    </row>
    <row r="537" spans="1:3">
      <c r="A537">
        <v>89.813112790000005</v>
      </c>
      <c r="B537">
        <v>99.647527269999998</v>
      </c>
      <c r="C537">
        <v>88.90073932</v>
      </c>
    </row>
    <row r="538" spans="1:3">
      <c r="A538">
        <v>87.456269449999994</v>
      </c>
      <c r="B538">
        <v>100.0566628</v>
      </c>
      <c r="C538">
        <v>88.988452890000005</v>
      </c>
    </row>
    <row r="539" spans="1:3">
      <c r="A539">
        <v>87.008506600000004</v>
      </c>
      <c r="B539">
        <v>100.89773889999999</v>
      </c>
      <c r="C539">
        <v>88.831705920000005</v>
      </c>
    </row>
    <row r="540" spans="1:3">
      <c r="A540">
        <v>84.212207149999998</v>
      </c>
      <c r="B540">
        <v>99.310455180000005</v>
      </c>
      <c r="C540">
        <v>89.106666279999999</v>
      </c>
    </row>
    <row r="541" spans="1:3">
      <c r="A541">
        <v>84.076585440000002</v>
      </c>
      <c r="B541">
        <v>97.04471839</v>
      </c>
      <c r="C541">
        <v>90.086835160000007</v>
      </c>
    </row>
    <row r="542" spans="1:3">
      <c r="A542">
        <v>82.919697249999999</v>
      </c>
      <c r="B542">
        <v>93.299474610000004</v>
      </c>
      <c r="C542">
        <v>90.32876109</v>
      </c>
    </row>
    <row r="543" spans="1:3">
      <c r="A543">
        <v>83.753922000000003</v>
      </c>
      <c r="B543">
        <v>94.812652580000005</v>
      </c>
      <c r="C543">
        <v>90.922777800000006</v>
      </c>
    </row>
    <row r="544" spans="1:3">
      <c r="A544">
        <v>83.126323009999993</v>
      </c>
      <c r="B544">
        <v>92.359780380000004</v>
      </c>
      <c r="C544">
        <v>92.044182300000003</v>
      </c>
    </row>
    <row r="545" spans="1:3">
      <c r="A545">
        <v>82.136532299999999</v>
      </c>
      <c r="B545">
        <v>92.344976500000001</v>
      </c>
      <c r="C545">
        <v>91.679025339999995</v>
      </c>
    </row>
    <row r="546" spans="1:3">
      <c r="A546">
        <v>80.005471470000003</v>
      </c>
      <c r="B546">
        <v>90.706870019999997</v>
      </c>
      <c r="C546">
        <v>91.424626570000001</v>
      </c>
    </row>
    <row r="547" spans="1:3">
      <c r="A547">
        <v>76.674020990000002</v>
      </c>
      <c r="B547">
        <v>90.833236979999995</v>
      </c>
      <c r="C547">
        <v>91.47194709</v>
      </c>
    </row>
    <row r="548" spans="1:3">
      <c r="A548">
        <v>78.937273660000002</v>
      </c>
      <c r="B548">
        <v>90.339228410000004</v>
      </c>
      <c r="C548">
        <v>92.399820809999994</v>
      </c>
    </row>
    <row r="549" spans="1:3">
      <c r="A549">
        <v>79.291175159999995</v>
      </c>
      <c r="B549">
        <v>91.846255589999998</v>
      </c>
      <c r="C549">
        <v>91.329385400000007</v>
      </c>
    </row>
    <row r="550" spans="1:3">
      <c r="A550">
        <v>80.506409770000005</v>
      </c>
      <c r="B550">
        <v>93.202669729999997</v>
      </c>
      <c r="C550">
        <v>91.541655710000001</v>
      </c>
    </row>
    <row r="551" spans="1:3">
      <c r="A551">
        <v>80.418310070000004</v>
      </c>
      <c r="B551">
        <v>94.602177310000002</v>
      </c>
      <c r="C551">
        <v>91.141462989999994</v>
      </c>
    </row>
    <row r="552" spans="1:3">
      <c r="A552">
        <v>81.248317630000003</v>
      </c>
      <c r="B552">
        <v>93.982558470000001</v>
      </c>
      <c r="C552">
        <v>91.665110630000001</v>
      </c>
    </row>
    <row r="553" spans="1:3">
      <c r="A553">
        <v>80.932193839999996</v>
      </c>
      <c r="B553">
        <v>91.910380689999997</v>
      </c>
      <c r="C553">
        <v>91.565644070000005</v>
      </c>
    </row>
    <row r="554" spans="1:3">
      <c r="A554">
        <v>80.433493560000002</v>
      </c>
      <c r="B554">
        <v>90.871412050000004</v>
      </c>
      <c r="C554">
        <v>92.217189790000006</v>
      </c>
    </row>
    <row r="555" spans="1:3">
      <c r="A555">
        <v>81.784311950000003</v>
      </c>
      <c r="B555">
        <v>90.080515930000004</v>
      </c>
      <c r="C555">
        <v>93.152922050000001</v>
      </c>
    </row>
    <row r="556" spans="1:3">
      <c r="A556">
        <v>79.810813510000003</v>
      </c>
      <c r="B556">
        <v>89.021682080000005</v>
      </c>
      <c r="C556">
        <v>93.885904440000004</v>
      </c>
    </row>
    <row r="557" spans="1:3">
      <c r="A557">
        <v>78.410910619999996</v>
      </c>
      <c r="B557">
        <v>91.822212329999999</v>
      </c>
      <c r="C557">
        <v>93.768106639999999</v>
      </c>
    </row>
    <row r="558" spans="1:3">
      <c r="A558">
        <v>76.388102889999999</v>
      </c>
      <c r="B558">
        <v>90.732402579999999</v>
      </c>
      <c r="C558">
        <v>93.955129200000002</v>
      </c>
    </row>
    <row r="559" spans="1:3">
      <c r="A559">
        <v>75.897585939999999</v>
      </c>
      <c r="B559">
        <v>91.142245720000005</v>
      </c>
      <c r="C559">
        <v>94.479032970000006</v>
      </c>
    </row>
    <row r="560" spans="1:3">
      <c r="A560">
        <v>73.884784879999998</v>
      </c>
      <c r="B560">
        <v>90.745771390000002</v>
      </c>
      <c r="C560">
        <v>93.295284730000006</v>
      </c>
    </row>
    <row r="561" spans="1:3">
      <c r="A561">
        <v>75.383428699999996</v>
      </c>
      <c r="B561">
        <v>90.723688499999994</v>
      </c>
      <c r="C561">
        <v>92.795736950000006</v>
      </c>
    </row>
    <row r="562" spans="1:3">
      <c r="A562">
        <v>75.491536510000003</v>
      </c>
      <c r="B562">
        <v>89.817327109999994</v>
      </c>
      <c r="C562">
        <v>92.767738899999998</v>
      </c>
    </row>
    <row r="563" spans="1:3">
      <c r="A563">
        <v>76.367842600000003</v>
      </c>
      <c r="B563">
        <v>88.406963300000001</v>
      </c>
      <c r="C563">
        <v>92.438826930000005</v>
      </c>
    </row>
    <row r="564" spans="1:3">
      <c r="A564">
        <v>74.920104019999997</v>
      </c>
      <c r="B564">
        <v>87.451724319999997</v>
      </c>
      <c r="C564">
        <v>92.646088969999994</v>
      </c>
    </row>
    <row r="565" spans="1:3">
      <c r="A565">
        <v>74.476859649999994</v>
      </c>
      <c r="B565">
        <v>88.842357579999998</v>
      </c>
      <c r="C565">
        <v>92.047679189999997</v>
      </c>
    </row>
    <row r="566" spans="1:3">
      <c r="A566">
        <v>74.59389831</v>
      </c>
      <c r="B566">
        <v>90.13777374</v>
      </c>
      <c r="C566">
        <v>91.150227459999996</v>
      </c>
    </row>
    <row r="567" spans="1:3">
      <c r="A567">
        <v>72.659762349999994</v>
      </c>
      <c r="B567">
        <v>87.630344449999996</v>
      </c>
      <c r="C567">
        <v>91.071072880000003</v>
      </c>
    </row>
    <row r="568" spans="1:3">
      <c r="A568">
        <v>72.068577340000004</v>
      </c>
      <c r="B568">
        <v>90.550919289999996</v>
      </c>
      <c r="C568">
        <v>91.248221349999994</v>
      </c>
    </row>
    <row r="569" spans="1:3">
      <c r="A569">
        <v>71.934609309999999</v>
      </c>
      <c r="B569">
        <v>89.563186549999998</v>
      </c>
      <c r="C569">
        <v>90.548446190000007</v>
      </c>
    </row>
    <row r="570" spans="1:3">
      <c r="A570">
        <v>73.525255400000006</v>
      </c>
      <c r="B570">
        <v>86.977138800000006</v>
      </c>
      <c r="C570">
        <v>90.588427229999994</v>
      </c>
    </row>
    <row r="571" spans="1:3">
      <c r="A571">
        <v>74.605660349999994</v>
      </c>
      <c r="B571">
        <v>88.442390029999999</v>
      </c>
      <c r="C571">
        <v>91.104407219999999</v>
      </c>
    </row>
    <row r="572" spans="1:3">
      <c r="A572">
        <v>77.055432479999993</v>
      </c>
      <c r="B572">
        <v>91.353521240000006</v>
      </c>
      <c r="C572">
        <v>92.048031800000004</v>
      </c>
    </row>
    <row r="573" spans="1:3">
      <c r="A573">
        <v>76.867389770000003</v>
      </c>
      <c r="B573">
        <v>90.228454409999998</v>
      </c>
      <c r="C573">
        <v>91.813005430000004</v>
      </c>
    </row>
    <row r="574" spans="1:3">
      <c r="A574">
        <v>77.762890130000002</v>
      </c>
      <c r="B574">
        <v>94.166611020000005</v>
      </c>
      <c r="C574">
        <v>91.529981860000007</v>
      </c>
    </row>
    <row r="575" spans="1:3">
      <c r="A575">
        <v>78.314952050000002</v>
      </c>
      <c r="B575">
        <v>91.458127860000005</v>
      </c>
      <c r="C575">
        <v>90.565009910000001</v>
      </c>
    </row>
    <row r="576" spans="1:3">
      <c r="A576">
        <v>74.085143579999993</v>
      </c>
      <c r="B576">
        <v>89.071292099999994</v>
      </c>
      <c r="C576">
        <v>91.115807099999998</v>
      </c>
    </row>
    <row r="577" spans="1:3">
      <c r="A577">
        <v>73.448980000000006</v>
      </c>
      <c r="B577">
        <v>88.035774680000003</v>
      </c>
      <c r="C577">
        <v>90.690683770000007</v>
      </c>
    </row>
    <row r="578" spans="1:3">
      <c r="A578">
        <v>74.467633699999993</v>
      </c>
      <c r="B578">
        <v>87.924666470000005</v>
      </c>
      <c r="C578">
        <v>90.157071070000001</v>
      </c>
    </row>
    <row r="579" spans="1:3">
      <c r="A579">
        <v>75.421594780000007</v>
      </c>
      <c r="B579">
        <v>90.512316100000007</v>
      </c>
      <c r="C579">
        <v>90.911100509999997</v>
      </c>
    </row>
    <row r="580" spans="1:3">
      <c r="A580">
        <v>72.849689519999998</v>
      </c>
      <c r="B580">
        <v>88.429158180000002</v>
      </c>
      <c r="C580">
        <v>91.840680250000005</v>
      </c>
    </row>
    <row r="581" spans="1:3">
      <c r="A581">
        <v>72.662460229999994</v>
      </c>
      <c r="B581">
        <v>88.495063819999999</v>
      </c>
      <c r="C581">
        <v>92.610287170000007</v>
      </c>
    </row>
    <row r="582" spans="1:3">
      <c r="A582">
        <v>71.996886040000007</v>
      </c>
      <c r="B582">
        <v>87.660762149999996</v>
      </c>
      <c r="C582">
        <v>92.691162750000004</v>
      </c>
    </row>
    <row r="583" spans="1:3">
      <c r="A583">
        <v>71.804092179999998</v>
      </c>
      <c r="B583">
        <v>88.424195240000003</v>
      </c>
      <c r="C583">
        <v>92.995424600000007</v>
      </c>
    </row>
    <row r="584" spans="1:3">
      <c r="A584">
        <v>72.369595829999994</v>
      </c>
      <c r="B584">
        <v>88.732011049999997</v>
      </c>
      <c r="C584">
        <v>93.263875229999996</v>
      </c>
    </row>
    <row r="585" spans="1:3">
      <c r="A585">
        <v>71.764208859999997</v>
      </c>
      <c r="B585">
        <v>89.00818864</v>
      </c>
      <c r="C585">
        <v>92.335946719999995</v>
      </c>
    </row>
    <row r="586" spans="1:3">
      <c r="A586">
        <v>72.318936320000006</v>
      </c>
      <c r="B586">
        <v>87.425075539999995</v>
      </c>
      <c r="C586">
        <v>93.071840519999995</v>
      </c>
    </row>
    <row r="587" spans="1:3">
      <c r="A587">
        <v>71.744799369999996</v>
      </c>
      <c r="B587">
        <v>87.141711380000004</v>
      </c>
      <c r="C587">
        <v>93.237147100000001</v>
      </c>
    </row>
    <row r="588" spans="1:3">
      <c r="A588">
        <v>72.644590620000002</v>
      </c>
      <c r="B588">
        <v>89.022715020000007</v>
      </c>
      <c r="C588">
        <v>94.036546040000005</v>
      </c>
    </row>
    <row r="589" spans="1:3">
      <c r="A589">
        <v>73.572804669999996</v>
      </c>
      <c r="B589">
        <v>88.437015130000006</v>
      </c>
      <c r="C589">
        <v>93.982172980000001</v>
      </c>
    </row>
    <row r="590" spans="1:3">
      <c r="A590">
        <v>72.566039230000001</v>
      </c>
      <c r="B590">
        <v>88.970265490000003</v>
      </c>
      <c r="C590">
        <v>95.202676850000003</v>
      </c>
    </row>
    <row r="591" spans="1:3">
      <c r="A591">
        <v>72.507652539999995</v>
      </c>
      <c r="B591">
        <v>87.850966990000003</v>
      </c>
      <c r="C591">
        <v>95.385447479999996</v>
      </c>
    </row>
    <row r="592" spans="1:3">
      <c r="A592">
        <v>73.043391589999999</v>
      </c>
      <c r="B592">
        <v>87.835192169999999</v>
      </c>
      <c r="C592">
        <v>95.382208849999998</v>
      </c>
    </row>
    <row r="593" spans="1:3">
      <c r="A593">
        <v>71.150462950000005</v>
      </c>
      <c r="B593">
        <v>87.908998249999996</v>
      </c>
      <c r="C593">
        <v>96.032456190000005</v>
      </c>
    </row>
    <row r="594" spans="1:3">
      <c r="A594">
        <v>69.02377181</v>
      </c>
      <c r="B594">
        <v>88.624363979999998</v>
      </c>
      <c r="C594">
        <v>95.970418260000002</v>
      </c>
    </row>
    <row r="595" spans="1:3">
      <c r="A595">
        <v>67.889524199999997</v>
      </c>
      <c r="B595">
        <v>86.677892080000007</v>
      </c>
      <c r="C595">
        <v>96.398234540000004</v>
      </c>
    </row>
    <row r="596" spans="1:3">
      <c r="A596">
        <v>69.067696979999994</v>
      </c>
      <c r="B596">
        <v>89.535125679999993</v>
      </c>
      <c r="C596">
        <v>95.993448060000006</v>
      </c>
    </row>
    <row r="597" spans="1:3">
      <c r="A597">
        <v>69.467497690000002</v>
      </c>
      <c r="B597">
        <v>90.722988150000006</v>
      </c>
      <c r="C597">
        <v>95.277894430000003</v>
      </c>
    </row>
    <row r="598" spans="1:3">
      <c r="A598">
        <v>70.988010680000002</v>
      </c>
      <c r="B598">
        <v>91.357293690000006</v>
      </c>
      <c r="C598">
        <v>96.122407659999993</v>
      </c>
    </row>
    <row r="599" spans="1:3">
      <c r="A599">
        <v>71.435035780000007</v>
      </c>
      <c r="B599">
        <v>90.757589300000006</v>
      </c>
      <c r="C599">
        <v>95.563164909999998</v>
      </c>
    </row>
    <row r="600" spans="1:3">
      <c r="A600">
        <v>73.263142310000006</v>
      </c>
      <c r="B600">
        <v>91.464251829999995</v>
      </c>
      <c r="C600">
        <v>95.017196380000001</v>
      </c>
    </row>
    <row r="601" spans="1:3">
      <c r="A601">
        <v>74.133009090000002</v>
      </c>
      <c r="B601">
        <v>92.400311270000003</v>
      </c>
      <c r="C601">
        <v>94.748903850000005</v>
      </c>
    </row>
    <row r="602" spans="1:3">
      <c r="A602">
        <v>71.819936209999995</v>
      </c>
      <c r="B602">
        <v>91.88297824</v>
      </c>
      <c r="C602">
        <v>94.512073819999998</v>
      </c>
    </row>
    <row r="603" spans="1:3">
      <c r="A603">
        <v>72.070880759999994</v>
      </c>
      <c r="B603">
        <v>91.612087410000001</v>
      </c>
      <c r="C603">
        <v>95.186799160000007</v>
      </c>
    </row>
    <row r="604" spans="1:3">
      <c r="A604">
        <v>71.518225180000002</v>
      </c>
      <c r="B604">
        <v>91.913408020000006</v>
      </c>
      <c r="C604">
        <v>95.42261311</v>
      </c>
    </row>
    <row r="605" spans="1:3">
      <c r="A605">
        <v>71.306649980000003</v>
      </c>
      <c r="B605">
        <v>90.139371460000007</v>
      </c>
      <c r="C605">
        <v>94.970108069999995</v>
      </c>
    </row>
    <row r="606" spans="1:3">
      <c r="A606">
        <v>74.334708559999996</v>
      </c>
      <c r="B606">
        <v>92.502444460000007</v>
      </c>
      <c r="C606">
        <v>95.512248409999998</v>
      </c>
    </row>
    <row r="607" spans="1:3">
      <c r="A607">
        <v>74.395095319999996</v>
      </c>
      <c r="B607">
        <v>89.401969190000003</v>
      </c>
      <c r="C607">
        <v>95.485421169999995</v>
      </c>
    </row>
    <row r="608" spans="1:3">
      <c r="A608">
        <v>75.707756669999995</v>
      </c>
      <c r="B608">
        <v>88.329252449999998</v>
      </c>
      <c r="C608">
        <v>95.387644370000004</v>
      </c>
    </row>
    <row r="609" spans="1:3">
      <c r="A609">
        <v>74.91312053</v>
      </c>
      <c r="B609">
        <v>88.302302209999993</v>
      </c>
      <c r="C609">
        <v>96.284362090000002</v>
      </c>
    </row>
    <row r="610" spans="1:3">
      <c r="A610">
        <v>73.955994360000005</v>
      </c>
      <c r="B610">
        <v>89.856581410000004</v>
      </c>
      <c r="C610">
        <v>96.874094959999994</v>
      </c>
    </row>
    <row r="611" spans="1:3">
      <c r="A611">
        <v>74.295894540000006</v>
      </c>
      <c r="B611">
        <v>88.724138730000007</v>
      </c>
      <c r="C611">
        <v>97.908246149999997</v>
      </c>
    </row>
    <row r="612" spans="1:3">
      <c r="A612">
        <v>73.037461160000007</v>
      </c>
      <c r="B612">
        <v>89.33061601</v>
      </c>
      <c r="C612">
        <v>98.434200689999997</v>
      </c>
    </row>
    <row r="613" spans="1:3">
      <c r="A613">
        <v>72.588911030000006</v>
      </c>
      <c r="B613">
        <v>88.213850059999999</v>
      </c>
      <c r="C613">
        <v>98.58455481</v>
      </c>
    </row>
    <row r="614" spans="1:3">
      <c r="A614">
        <v>72.909246089999996</v>
      </c>
      <c r="B614">
        <v>88.742747609999995</v>
      </c>
      <c r="C614">
        <v>98.486789419999994</v>
      </c>
    </row>
    <row r="615" spans="1:3">
      <c r="A615">
        <v>73.350053009999996</v>
      </c>
      <c r="B615">
        <v>87.574987579999998</v>
      </c>
      <c r="C615">
        <v>99.161344869999994</v>
      </c>
    </row>
    <row r="616" spans="1:3">
      <c r="A616">
        <v>73.268611079999999</v>
      </c>
      <c r="B616">
        <v>88.788377550000007</v>
      </c>
      <c r="C616">
        <v>100.1471451</v>
      </c>
    </row>
    <row r="617" spans="1:3">
      <c r="A617">
        <v>72.492144429999996</v>
      </c>
      <c r="B617">
        <v>87.746748010000005</v>
      </c>
      <c r="C617">
        <v>100.7609161</v>
      </c>
    </row>
    <row r="618" spans="1:3">
      <c r="A618">
        <v>74.968215869999995</v>
      </c>
      <c r="B618">
        <v>86.792551070000002</v>
      </c>
      <c r="C618">
        <v>100.6137761</v>
      </c>
    </row>
    <row r="619" spans="1:3">
      <c r="A619">
        <v>74.744520370000004</v>
      </c>
      <c r="B619">
        <v>87.273862100000002</v>
      </c>
      <c r="C619">
        <v>100.91352089999999</v>
      </c>
    </row>
    <row r="620" spans="1:3">
      <c r="A620">
        <v>75.004686300000003</v>
      </c>
      <c r="B620">
        <v>86.985439420000006</v>
      </c>
      <c r="C620">
        <v>101.51255089999999</v>
      </c>
    </row>
    <row r="621" spans="1:3">
      <c r="A621">
        <v>72.466273720000004</v>
      </c>
      <c r="B621">
        <v>86.259617390000003</v>
      </c>
      <c r="C621">
        <v>101.0630391</v>
      </c>
    </row>
    <row r="622" spans="1:3">
      <c r="A622">
        <v>69.688581529999993</v>
      </c>
      <c r="B622">
        <v>86.099049230000006</v>
      </c>
      <c r="C622">
        <v>100.0466478</v>
      </c>
    </row>
    <row r="623" spans="1:3">
      <c r="A623">
        <v>69.49556106</v>
      </c>
      <c r="B623">
        <v>84.338026959999993</v>
      </c>
      <c r="C623">
        <v>101.1627689</v>
      </c>
    </row>
    <row r="624" spans="1:3">
      <c r="A624">
        <v>69.782466869999993</v>
      </c>
      <c r="B624">
        <v>85.427528449999997</v>
      </c>
      <c r="C624">
        <v>101.49695629999999</v>
      </c>
    </row>
    <row r="625" spans="1:3">
      <c r="A625">
        <v>71.402092740000001</v>
      </c>
      <c r="B625">
        <v>86.952544040000006</v>
      </c>
      <c r="C625">
        <v>101.3646229</v>
      </c>
    </row>
    <row r="626" spans="1:3">
      <c r="A626">
        <v>70.295401639999994</v>
      </c>
      <c r="B626">
        <v>87.073110600000007</v>
      </c>
      <c r="C626">
        <v>100.29985499999999</v>
      </c>
    </row>
    <row r="627" spans="1:3">
      <c r="A627">
        <v>72.862712000000002</v>
      </c>
      <c r="B627">
        <v>88.475338930000007</v>
      </c>
      <c r="C627">
        <v>100.2497609</v>
      </c>
    </row>
    <row r="628" spans="1:3">
      <c r="A628">
        <v>70.52203609</v>
      </c>
      <c r="B628">
        <v>88.620000599999997</v>
      </c>
      <c r="C628">
        <v>100.7268832</v>
      </c>
    </row>
    <row r="629" spans="1:3">
      <c r="A629">
        <v>69.681090339999997</v>
      </c>
      <c r="B629">
        <v>86.233135939999997</v>
      </c>
      <c r="C629">
        <v>100.3193857</v>
      </c>
    </row>
    <row r="630" spans="1:3">
      <c r="A630">
        <v>67.702329860000006</v>
      </c>
      <c r="B630">
        <v>84.971313530000003</v>
      </c>
      <c r="C630">
        <v>100.0731359</v>
      </c>
    </row>
    <row r="631" spans="1:3">
      <c r="A631">
        <v>67.038613119999994</v>
      </c>
      <c r="B631">
        <v>86.302220259999999</v>
      </c>
      <c r="C631">
        <v>100.110315</v>
      </c>
    </row>
    <row r="632" spans="1:3">
      <c r="A632">
        <v>69.950697989999995</v>
      </c>
      <c r="B632">
        <v>86.212445520000003</v>
      </c>
      <c r="C632">
        <v>100.382796</v>
      </c>
    </row>
    <row r="633" spans="1:3">
      <c r="A633">
        <v>66.761007449999994</v>
      </c>
      <c r="B633">
        <v>85.659882519999996</v>
      </c>
      <c r="C633">
        <v>99.744340410000007</v>
      </c>
    </row>
    <row r="634" spans="1:3">
      <c r="A634">
        <v>65.909101440000001</v>
      </c>
      <c r="B634">
        <v>82.599988809999999</v>
      </c>
      <c r="C634">
        <v>99.949711859999994</v>
      </c>
    </row>
    <row r="635" spans="1:3">
      <c r="A635">
        <v>65.054650240000001</v>
      </c>
      <c r="B635">
        <v>82.83581719</v>
      </c>
      <c r="C635">
        <v>99.534858540000002</v>
      </c>
    </row>
    <row r="636" spans="1:3">
      <c r="A636">
        <v>64.571869620000001</v>
      </c>
      <c r="B636">
        <v>81.684739429999993</v>
      </c>
      <c r="C636">
        <v>99.76643498</v>
      </c>
    </row>
    <row r="637" spans="1:3">
      <c r="A637">
        <v>62.793794759999997</v>
      </c>
      <c r="B637">
        <v>80.901154230000003</v>
      </c>
      <c r="C637">
        <v>100.0751779</v>
      </c>
    </row>
    <row r="638" spans="1:3">
      <c r="A638">
        <v>62.535477460000003</v>
      </c>
      <c r="B638">
        <v>79.222316680000006</v>
      </c>
      <c r="C638">
        <v>100.5754275</v>
      </c>
    </row>
    <row r="639" spans="1:3">
      <c r="A639">
        <v>61.842825570000002</v>
      </c>
      <c r="B639">
        <v>80.67794628</v>
      </c>
      <c r="C639">
        <v>99.575460440000001</v>
      </c>
    </row>
    <row r="640" spans="1:3">
      <c r="A640">
        <v>61.302159869999997</v>
      </c>
      <c r="B640">
        <v>79.917556959999999</v>
      </c>
      <c r="C640">
        <v>99.537082040000001</v>
      </c>
    </row>
    <row r="641" spans="1:3">
      <c r="A641">
        <v>63.733508999999998</v>
      </c>
      <c r="B641">
        <v>78.982854200000006</v>
      </c>
      <c r="C641">
        <v>98.351271659999995</v>
      </c>
    </row>
    <row r="642" spans="1:3">
      <c r="A642">
        <v>61.574001959999997</v>
      </c>
      <c r="B642">
        <v>77.08679008</v>
      </c>
      <c r="C642">
        <v>98.317192160000005</v>
      </c>
    </row>
    <row r="643" spans="1:3">
      <c r="A643">
        <v>60.846704449999997</v>
      </c>
      <c r="B643">
        <v>78.254341060000002</v>
      </c>
      <c r="C643">
        <v>97.737180249999994</v>
      </c>
    </row>
    <row r="644" spans="1:3">
      <c r="A644">
        <v>61.791942679999998</v>
      </c>
      <c r="B644">
        <v>79.886662090000002</v>
      </c>
      <c r="C644">
        <v>99.074572149999995</v>
      </c>
    </row>
    <row r="645" spans="1:3">
      <c r="A645">
        <v>62.77847886</v>
      </c>
      <c r="B645">
        <v>82.059646079999993</v>
      </c>
      <c r="C645">
        <v>98.686006840000005</v>
      </c>
    </row>
    <row r="646" spans="1:3">
      <c r="A646">
        <v>63.635713619999997</v>
      </c>
      <c r="B646">
        <v>82.556017859999997</v>
      </c>
      <c r="C646">
        <v>98.726653279999994</v>
      </c>
    </row>
    <row r="647" spans="1:3">
      <c r="A647">
        <v>64.352432519999994</v>
      </c>
      <c r="B647">
        <v>84.191899309999997</v>
      </c>
      <c r="C647">
        <v>98.500348389999999</v>
      </c>
    </row>
    <row r="648" spans="1:3">
      <c r="A648">
        <v>66.850788039999998</v>
      </c>
      <c r="B648">
        <v>85.098688839999994</v>
      </c>
      <c r="C648">
        <v>98.020476740000007</v>
      </c>
    </row>
    <row r="649" spans="1:3">
      <c r="A649">
        <v>67.514911499999997</v>
      </c>
      <c r="B649">
        <v>84.21308664</v>
      </c>
      <c r="C649">
        <v>98.650843120000005</v>
      </c>
    </row>
    <row r="650" spans="1:3">
      <c r="A650">
        <v>67.229548919999999</v>
      </c>
      <c r="B650">
        <v>84.167083439999999</v>
      </c>
      <c r="C650">
        <v>99.062503059999997</v>
      </c>
    </row>
    <row r="651" spans="1:3">
      <c r="A651">
        <v>71.634388740000006</v>
      </c>
      <c r="B651">
        <v>85.861425670000003</v>
      </c>
      <c r="C651">
        <v>98.448273889999996</v>
      </c>
    </row>
    <row r="652" spans="1:3">
      <c r="A652">
        <v>68.056369950000004</v>
      </c>
      <c r="B652">
        <v>85.917763370000003</v>
      </c>
      <c r="C652">
        <v>97.426909550000005</v>
      </c>
    </row>
    <row r="653" spans="1:3">
      <c r="A653">
        <v>67.630434390000005</v>
      </c>
      <c r="B653">
        <v>86.252518760000001</v>
      </c>
      <c r="C653">
        <v>97.179662759999999</v>
      </c>
    </row>
    <row r="654" spans="1:3">
      <c r="A654">
        <v>68.307519389999996</v>
      </c>
      <c r="B654">
        <v>85.545844020000004</v>
      </c>
      <c r="C654">
        <v>97.666392959999996</v>
      </c>
    </row>
    <row r="655" spans="1:3">
      <c r="A655">
        <v>67.754046169999995</v>
      </c>
      <c r="B655">
        <v>84.691188769999997</v>
      </c>
      <c r="C655">
        <v>97.883355420000001</v>
      </c>
    </row>
    <row r="656" spans="1:3">
      <c r="A656">
        <v>68.044984970000002</v>
      </c>
      <c r="B656">
        <v>85.261380939999995</v>
      </c>
      <c r="C656">
        <v>97.809960829999994</v>
      </c>
    </row>
    <row r="657" spans="1:3">
      <c r="A657">
        <v>68.138757999999996</v>
      </c>
      <c r="B657">
        <v>85.296837789999998</v>
      </c>
      <c r="C657">
        <v>97.432561199999995</v>
      </c>
    </row>
    <row r="658" spans="1:3">
      <c r="A658">
        <v>68.064980890000001</v>
      </c>
      <c r="B658">
        <v>85.804421550000001</v>
      </c>
      <c r="C658">
        <v>98.288218270000002</v>
      </c>
    </row>
    <row r="659" spans="1:3">
      <c r="A659">
        <v>69.824258830000005</v>
      </c>
      <c r="B659">
        <v>85.936286980000006</v>
      </c>
      <c r="C659">
        <v>98.415515580000005</v>
      </c>
    </row>
    <row r="660" spans="1:3">
      <c r="A660">
        <v>73.562469969999995</v>
      </c>
      <c r="B660">
        <v>88.912088519999998</v>
      </c>
      <c r="C660">
        <v>97.483551059999996</v>
      </c>
    </row>
    <row r="661" spans="1:3">
      <c r="A661">
        <v>71.414821720000006</v>
      </c>
      <c r="B661">
        <v>88.357610309999998</v>
      </c>
      <c r="C661">
        <v>97.294557060000002</v>
      </c>
    </row>
    <row r="662" spans="1:3">
      <c r="A662">
        <v>71.43790937</v>
      </c>
      <c r="B662">
        <v>88.125488790000006</v>
      </c>
      <c r="C662">
        <v>98.121162330000004</v>
      </c>
    </row>
    <row r="663" spans="1:3">
      <c r="A663">
        <v>71.200775820000004</v>
      </c>
      <c r="B663">
        <v>88.045133680000006</v>
      </c>
      <c r="C663">
        <v>98.426876719999996</v>
      </c>
    </row>
    <row r="664" spans="1:3">
      <c r="A664">
        <v>71.603176849999997</v>
      </c>
      <c r="B664">
        <v>87.011376650000003</v>
      </c>
      <c r="C664">
        <v>98.45869175</v>
      </c>
    </row>
    <row r="665" spans="1:3">
      <c r="A665">
        <v>72.007085829999994</v>
      </c>
      <c r="B665">
        <v>86.559111259999995</v>
      </c>
      <c r="C665">
        <v>98.243245990000005</v>
      </c>
    </row>
    <row r="666" spans="1:3">
      <c r="A666">
        <v>73.81070047</v>
      </c>
      <c r="B666">
        <v>88.975261500000002</v>
      </c>
      <c r="C666">
        <v>98.588208570000006</v>
      </c>
    </row>
    <row r="667" spans="1:3">
      <c r="A667">
        <v>72.587825249999995</v>
      </c>
      <c r="B667">
        <v>88.446732260000005</v>
      </c>
      <c r="C667">
        <v>99.279146499999996</v>
      </c>
    </row>
    <row r="668" spans="1:3">
      <c r="A668">
        <v>73.932432169999998</v>
      </c>
      <c r="B668">
        <v>90.387847339999993</v>
      </c>
      <c r="C668">
        <v>99.424277649999993</v>
      </c>
    </row>
    <row r="669" spans="1:3">
      <c r="A669">
        <v>74.701443069999996</v>
      </c>
      <c r="B669">
        <v>89.08662563</v>
      </c>
      <c r="C669">
        <v>99.349857959999994</v>
      </c>
    </row>
    <row r="670" spans="1:3">
      <c r="A670">
        <v>74.976263610000004</v>
      </c>
      <c r="B670">
        <v>87.001467109999993</v>
      </c>
      <c r="C670">
        <v>98.725162030000007</v>
      </c>
    </row>
    <row r="671" spans="1:3">
      <c r="A671">
        <v>75.874540809999999</v>
      </c>
      <c r="B671">
        <v>87.906109360000002</v>
      </c>
      <c r="C671">
        <v>98.71192696</v>
      </c>
    </row>
    <row r="672" spans="1:3">
      <c r="A672">
        <v>76.198400719999995</v>
      </c>
      <c r="B672">
        <v>86.575609349999993</v>
      </c>
      <c r="C672">
        <v>97.841189670000006</v>
      </c>
    </row>
    <row r="673" spans="1:3">
      <c r="A673">
        <v>77.964451819999994</v>
      </c>
      <c r="B673">
        <v>83.571240669999995</v>
      </c>
      <c r="C673">
        <v>97.607911680000001</v>
      </c>
    </row>
    <row r="674" spans="1:3">
      <c r="A674">
        <v>78.727881069999995</v>
      </c>
      <c r="B674">
        <v>83.452567389999999</v>
      </c>
      <c r="C674">
        <v>97.846381309999998</v>
      </c>
    </row>
    <row r="675" spans="1:3">
      <c r="A675">
        <v>79.493414830000006</v>
      </c>
      <c r="B675">
        <v>83.927221189999997</v>
      </c>
      <c r="C675">
        <v>97.892755269999995</v>
      </c>
    </row>
    <row r="676" spans="1:3">
      <c r="A676">
        <v>80.279570800000002</v>
      </c>
      <c r="B676">
        <v>84.618369959999995</v>
      </c>
      <c r="C676">
        <v>98.251660479999998</v>
      </c>
    </row>
    <row r="677" spans="1:3">
      <c r="A677">
        <v>83.437012820000007</v>
      </c>
      <c r="B677">
        <v>85.587440970000003</v>
      </c>
      <c r="C677">
        <v>98.593923090000004</v>
      </c>
    </row>
    <row r="678" spans="1:3">
      <c r="A678">
        <v>83.809051460000006</v>
      </c>
      <c r="B678">
        <v>84.788289820000003</v>
      </c>
      <c r="C678">
        <v>98.107204820000007</v>
      </c>
    </row>
    <row r="679" spans="1:3">
      <c r="A679">
        <v>84.855740580000003</v>
      </c>
      <c r="B679">
        <v>86.415221200000005</v>
      </c>
      <c r="C679">
        <v>98.146631819999996</v>
      </c>
    </row>
    <row r="680" spans="1:3">
      <c r="A680">
        <v>83.812411819999994</v>
      </c>
      <c r="B680">
        <v>87.431745100000001</v>
      </c>
      <c r="C680">
        <v>97.416993849999997</v>
      </c>
    </row>
    <row r="681" spans="1:3">
      <c r="A681">
        <v>83.047481559999994</v>
      </c>
      <c r="B681">
        <v>87.132231129999994</v>
      </c>
      <c r="C681">
        <v>97.458491050000006</v>
      </c>
    </row>
    <row r="682" spans="1:3">
      <c r="A682">
        <v>82.524266089999998</v>
      </c>
      <c r="B682">
        <v>88.192558599999998</v>
      </c>
      <c r="C682">
        <v>98.728415549999994</v>
      </c>
    </row>
    <row r="683" spans="1:3">
      <c r="A683">
        <v>83.916561029999997</v>
      </c>
      <c r="B683">
        <v>90.021755110000001</v>
      </c>
      <c r="C683">
        <v>99.039398070000004</v>
      </c>
    </row>
    <row r="684" spans="1:3">
      <c r="A684">
        <v>84.7614339</v>
      </c>
      <c r="B684">
        <v>89.026687699999997</v>
      </c>
      <c r="C684">
        <v>99.091635969999999</v>
      </c>
    </row>
    <row r="685" spans="1:3">
      <c r="A685">
        <v>83.253311819999993</v>
      </c>
      <c r="B685">
        <v>88.466998899999993</v>
      </c>
      <c r="C685">
        <v>100.0977788</v>
      </c>
    </row>
    <row r="686" spans="1:3">
      <c r="A686">
        <v>83.817208030000003</v>
      </c>
      <c r="B686">
        <v>89.570449920000001</v>
      </c>
      <c r="C686">
        <v>100.16143959999999</v>
      </c>
    </row>
    <row r="687" spans="1:3">
      <c r="A687">
        <v>84.264102070000007</v>
      </c>
      <c r="B687">
        <v>90.914432640000001</v>
      </c>
      <c r="C687">
        <v>99.478620430000007</v>
      </c>
    </row>
    <row r="688" spans="1:3">
      <c r="A688">
        <v>84.546611080000005</v>
      </c>
      <c r="B688">
        <v>92.999796270000004</v>
      </c>
      <c r="C688">
        <v>98.802477400000001</v>
      </c>
    </row>
    <row r="689" spans="1:3">
      <c r="A689">
        <v>87.183095769999994</v>
      </c>
      <c r="B689">
        <v>94.860475120000004</v>
      </c>
      <c r="C689">
        <v>98.897102430000004</v>
      </c>
    </row>
    <row r="690" spans="1:3">
      <c r="A690">
        <v>86.763313249999996</v>
      </c>
      <c r="B690">
        <v>96.063547630000002</v>
      </c>
      <c r="C690">
        <v>98.727810590000004</v>
      </c>
    </row>
    <row r="691" spans="1:3">
      <c r="A691">
        <v>85.7770644</v>
      </c>
      <c r="B691">
        <v>97.984431430000001</v>
      </c>
      <c r="C691">
        <v>99.122923819999997</v>
      </c>
    </row>
    <row r="692" spans="1:3">
      <c r="A692">
        <v>84.614968860000005</v>
      </c>
      <c r="B692">
        <v>97.869911799999997</v>
      </c>
      <c r="C692">
        <v>98.772514810000004</v>
      </c>
    </row>
    <row r="693" spans="1:3">
      <c r="A693">
        <v>85.308312090000001</v>
      </c>
      <c r="B693">
        <v>96.771719259999998</v>
      </c>
      <c r="C693">
        <v>98.863536550000006</v>
      </c>
    </row>
    <row r="694" spans="1:3">
      <c r="A694">
        <v>83.876125709999997</v>
      </c>
      <c r="B694">
        <v>98.173760020000003</v>
      </c>
      <c r="C694">
        <v>97.467328539999997</v>
      </c>
    </row>
    <row r="695" spans="1:3">
      <c r="A695">
        <v>86.31264693</v>
      </c>
      <c r="B695">
        <v>98.20548857</v>
      </c>
      <c r="C695">
        <v>97.236581310000005</v>
      </c>
    </row>
    <row r="696" spans="1:3">
      <c r="A696">
        <v>85.213451129999996</v>
      </c>
      <c r="B696">
        <v>99.329496939999999</v>
      </c>
      <c r="C696">
        <v>97.844310239999999</v>
      </c>
    </row>
    <row r="697" spans="1:3">
      <c r="A697">
        <v>84.721637200000004</v>
      </c>
      <c r="B697">
        <v>99.570742480000007</v>
      </c>
      <c r="C697">
        <v>97.421952410000003</v>
      </c>
    </row>
    <row r="698" spans="1:3">
      <c r="A698">
        <v>85.654162650000004</v>
      </c>
      <c r="B698">
        <v>99.241414980000002</v>
      </c>
      <c r="C698">
        <v>97.593375550000005</v>
      </c>
    </row>
    <row r="699" spans="1:3">
      <c r="A699">
        <v>84.843838050000002</v>
      </c>
      <c r="B699">
        <v>97.725706450000004</v>
      </c>
      <c r="C699">
        <v>97.508869869999998</v>
      </c>
    </row>
    <row r="700" spans="1:3">
      <c r="A700">
        <v>83.032408459999999</v>
      </c>
      <c r="B700">
        <v>98.757123859999993</v>
      </c>
      <c r="C700">
        <v>97.270149739999994</v>
      </c>
    </row>
    <row r="701" spans="1:3">
      <c r="A701">
        <v>84.245617030000005</v>
      </c>
      <c r="B701">
        <v>98.980552900000006</v>
      </c>
      <c r="C701">
        <v>97.090478669999996</v>
      </c>
    </row>
    <row r="702" spans="1:3">
      <c r="A702">
        <v>87.630609989999996</v>
      </c>
      <c r="B702">
        <v>100.7500986</v>
      </c>
      <c r="C702">
        <v>96.019943720000001</v>
      </c>
    </row>
    <row r="703" spans="1:3">
      <c r="A703">
        <v>88.332661920000007</v>
      </c>
      <c r="B703">
        <v>98.178671210000005</v>
      </c>
      <c r="C703">
        <v>96.054398149999997</v>
      </c>
    </row>
    <row r="704" spans="1:3">
      <c r="A704">
        <v>90.874254890000003</v>
      </c>
      <c r="B704">
        <v>100.2843345</v>
      </c>
      <c r="C704">
        <v>95.064409920000003</v>
      </c>
    </row>
    <row r="705" spans="1:3">
      <c r="A705">
        <v>90.798432090000006</v>
      </c>
      <c r="B705">
        <v>99.809505569999999</v>
      </c>
      <c r="C705">
        <v>95.032024309999997</v>
      </c>
    </row>
    <row r="706" spans="1:3">
      <c r="A706">
        <v>91.439178560000002</v>
      </c>
      <c r="B706">
        <v>99.158594899999997</v>
      </c>
      <c r="C706">
        <v>94.03057158</v>
      </c>
    </row>
    <row r="707" spans="1:3">
      <c r="A707">
        <v>91.098033990000005</v>
      </c>
      <c r="B707">
        <v>97.865737980000006</v>
      </c>
      <c r="C707">
        <v>93.007904310000001</v>
      </c>
    </row>
    <row r="708" spans="1:3">
      <c r="A708">
        <v>92.935161789999995</v>
      </c>
      <c r="B708">
        <v>98.809826729999997</v>
      </c>
      <c r="C708">
        <v>93.494951549999996</v>
      </c>
    </row>
    <row r="709" spans="1:3">
      <c r="A709">
        <v>94.657155110000005</v>
      </c>
      <c r="B709">
        <v>99.605197899999993</v>
      </c>
      <c r="C709">
        <v>93.562686319999997</v>
      </c>
    </row>
    <row r="710" spans="1:3">
      <c r="A710">
        <v>97.019912439999999</v>
      </c>
      <c r="B710">
        <v>99.626424959999994</v>
      </c>
      <c r="C710">
        <v>93.020707090000002</v>
      </c>
    </row>
    <row r="711" spans="1:3">
      <c r="A711">
        <v>98.102612570000005</v>
      </c>
      <c r="B711">
        <v>102.665221</v>
      </c>
      <c r="C711">
        <v>92.946762210000003</v>
      </c>
    </row>
    <row r="712" spans="1:3">
      <c r="A712">
        <v>99.47698278</v>
      </c>
      <c r="B712">
        <v>103.0675715</v>
      </c>
      <c r="C712">
        <v>94.090262120000006</v>
      </c>
    </row>
    <row r="713" spans="1:3">
      <c r="A713">
        <v>98.299153860000004</v>
      </c>
      <c r="B713">
        <v>102.0490282</v>
      </c>
      <c r="C713">
        <v>94.537041770000002</v>
      </c>
    </row>
    <row r="714" spans="1:3">
      <c r="A714">
        <v>97.171446000000003</v>
      </c>
      <c r="B714">
        <v>102.9316889</v>
      </c>
      <c r="C714">
        <v>94.311430860000002</v>
      </c>
    </row>
    <row r="715" spans="1:3">
      <c r="A715">
        <v>98.716882639999994</v>
      </c>
      <c r="B715">
        <v>102.8538808</v>
      </c>
      <c r="C715">
        <v>93.926123149999995</v>
      </c>
    </row>
    <row r="716" spans="1:3">
      <c r="A716">
        <v>95.006831020000007</v>
      </c>
      <c r="B716">
        <v>102.62315769999999</v>
      </c>
      <c r="C716">
        <v>93.693230999999997</v>
      </c>
    </row>
    <row r="717" spans="1:3">
      <c r="A717">
        <v>96.51042391</v>
      </c>
      <c r="B717">
        <v>101.0516619</v>
      </c>
      <c r="C717">
        <v>93.348572000000004</v>
      </c>
    </row>
    <row r="718" spans="1:3">
      <c r="A718">
        <v>98.632595559999999</v>
      </c>
      <c r="B718">
        <v>101.93576969999999</v>
      </c>
      <c r="C718">
        <v>93.467504680000005</v>
      </c>
    </row>
    <row r="719" spans="1:3">
      <c r="A719">
        <v>99.716763169999993</v>
      </c>
      <c r="B719">
        <v>102.3792996</v>
      </c>
      <c r="C719">
        <v>93.764615750000004</v>
      </c>
    </row>
    <row r="720" spans="1:3">
      <c r="A720">
        <v>99.062679250000002</v>
      </c>
      <c r="B720">
        <v>102.3101522</v>
      </c>
      <c r="C720">
        <v>94.380336569999997</v>
      </c>
    </row>
    <row r="721" spans="1:3">
      <c r="A721">
        <v>102.6196925</v>
      </c>
      <c r="B721">
        <v>102.7081072</v>
      </c>
      <c r="C721">
        <v>94.610203830000003</v>
      </c>
    </row>
    <row r="722" spans="1:3">
      <c r="A722">
        <v>100.6103785</v>
      </c>
      <c r="B722">
        <v>101.6941447</v>
      </c>
      <c r="C722">
        <v>94.410391559999994</v>
      </c>
    </row>
    <row r="723" spans="1:3">
      <c r="A723">
        <v>98.405059039999998</v>
      </c>
      <c r="B723">
        <v>100.24494009999999</v>
      </c>
      <c r="C723">
        <v>94.329011379999997</v>
      </c>
    </row>
    <row r="724" spans="1:3">
      <c r="A724">
        <v>99.216702080000005</v>
      </c>
      <c r="B724">
        <v>100.2015229</v>
      </c>
      <c r="C724">
        <v>94.526803619999995</v>
      </c>
    </row>
    <row r="725" spans="1:3">
      <c r="A725">
        <v>98.627646069999997</v>
      </c>
      <c r="B725">
        <v>100.0510297</v>
      </c>
      <c r="C725">
        <v>93.824343870000007</v>
      </c>
    </row>
    <row r="726" spans="1:3">
      <c r="A726">
        <v>98.261553910000003</v>
      </c>
      <c r="B726">
        <v>99.413996949999998</v>
      </c>
      <c r="C726">
        <v>93.778627880000002</v>
      </c>
    </row>
    <row r="727" spans="1:3">
      <c r="A727">
        <v>95.138231009999998</v>
      </c>
      <c r="B727">
        <v>98.094865690000006</v>
      </c>
      <c r="C727">
        <v>93.843974090000003</v>
      </c>
    </row>
    <row r="728" spans="1:3">
      <c r="A728">
        <v>96.340590149999997</v>
      </c>
      <c r="B728">
        <v>96.463273619999995</v>
      </c>
      <c r="C728">
        <v>93.337611190000004</v>
      </c>
    </row>
    <row r="729" spans="1:3">
      <c r="A729">
        <v>95.896773210000006</v>
      </c>
      <c r="B729">
        <v>95.814333680000004</v>
      </c>
      <c r="C729">
        <v>93.399899559999994</v>
      </c>
    </row>
    <row r="730" spans="1:3">
      <c r="A730">
        <v>97.078498629999999</v>
      </c>
      <c r="B730">
        <v>95.454467089999994</v>
      </c>
      <c r="C730">
        <v>93.930139229999995</v>
      </c>
    </row>
    <row r="731" spans="1:3">
      <c r="A731">
        <v>95.562242519999998</v>
      </c>
      <c r="B731">
        <v>97.547762309999996</v>
      </c>
      <c r="C731">
        <v>93.1988877</v>
      </c>
    </row>
    <row r="732" spans="1:3">
      <c r="A732">
        <v>94.843226419999993</v>
      </c>
      <c r="B732">
        <v>99.877647690000003</v>
      </c>
      <c r="C732">
        <v>94.176994879999995</v>
      </c>
    </row>
    <row r="733" spans="1:3">
      <c r="A733">
        <v>93.932121749999993</v>
      </c>
      <c r="B733">
        <v>101.43611730000001</v>
      </c>
      <c r="C733">
        <v>94.080418879999996</v>
      </c>
    </row>
    <row r="734" spans="1:3">
      <c r="A734">
        <v>94.707967310000001</v>
      </c>
      <c r="B734">
        <v>99.46986785</v>
      </c>
      <c r="C734">
        <v>93.831850619999997</v>
      </c>
    </row>
    <row r="735" spans="1:3">
      <c r="A735">
        <v>95.614184359999996</v>
      </c>
      <c r="B735">
        <v>99.66259943</v>
      </c>
      <c r="C735">
        <v>93.443575449999997</v>
      </c>
    </row>
    <row r="736" spans="1:3">
      <c r="A736">
        <v>97.381107749999998</v>
      </c>
      <c r="B736">
        <v>103.2590051</v>
      </c>
      <c r="C736">
        <v>93.418176740000007</v>
      </c>
    </row>
    <row r="737" spans="1:3">
      <c r="A737">
        <v>98.381410770000002</v>
      </c>
      <c r="B737">
        <v>104.4799278</v>
      </c>
      <c r="C737">
        <v>94.505309209999993</v>
      </c>
    </row>
    <row r="738" spans="1:3">
      <c r="A738">
        <v>100.2470203</v>
      </c>
      <c r="B738">
        <v>103.9560628</v>
      </c>
      <c r="C738">
        <v>95.531359440000003</v>
      </c>
    </row>
    <row r="739" spans="1:3">
      <c r="A739">
        <v>99.618867190000003</v>
      </c>
      <c r="B739">
        <v>105.8420529</v>
      </c>
      <c r="C739">
        <v>95.565173259999995</v>
      </c>
    </row>
    <row r="740" spans="1:3">
      <c r="A740">
        <v>97.147488690000003</v>
      </c>
      <c r="B740">
        <v>105.7159484</v>
      </c>
      <c r="C740">
        <v>95.37155473</v>
      </c>
    </row>
    <row r="741" spans="1:3">
      <c r="A741">
        <v>95.225663949999998</v>
      </c>
      <c r="B741">
        <v>107.6974067</v>
      </c>
      <c r="C741">
        <v>95.321694690000001</v>
      </c>
    </row>
    <row r="742" spans="1:3">
      <c r="A742">
        <v>95.319431699999996</v>
      </c>
      <c r="B742">
        <v>107.7758932</v>
      </c>
      <c r="C742">
        <v>95.524512479999999</v>
      </c>
    </row>
    <row r="743" spans="1:3">
      <c r="A743">
        <v>94.659714710000003</v>
      </c>
      <c r="B743">
        <v>107.8657845</v>
      </c>
      <c r="C743">
        <v>96.012048019999995</v>
      </c>
    </row>
    <row r="744" spans="1:3">
      <c r="A744">
        <v>94.847877490000002</v>
      </c>
      <c r="B744">
        <v>108.3479205</v>
      </c>
      <c r="C744">
        <v>95.471832710000001</v>
      </c>
    </row>
    <row r="745" spans="1:3">
      <c r="A745">
        <v>92.983552329999995</v>
      </c>
      <c r="B745">
        <v>106.6449344</v>
      </c>
      <c r="C745">
        <v>95.263243130000006</v>
      </c>
    </row>
    <row r="746" spans="1:3">
      <c r="A746">
        <v>93.906078269999995</v>
      </c>
      <c r="B746">
        <v>104.7159281</v>
      </c>
      <c r="C746">
        <v>96.164045830000006</v>
      </c>
    </row>
    <row r="747" spans="1:3">
      <c r="A747">
        <v>93.120776669999998</v>
      </c>
      <c r="B747">
        <v>105.00570329999999</v>
      </c>
      <c r="C747">
        <v>96.034953090000002</v>
      </c>
    </row>
    <row r="748" spans="1:3">
      <c r="A748">
        <v>92.946511560000005</v>
      </c>
      <c r="B748">
        <v>104.597211</v>
      </c>
      <c r="C748">
        <v>95.585885989999994</v>
      </c>
    </row>
    <row r="749" spans="1:3">
      <c r="A749">
        <v>91.747895450000001</v>
      </c>
      <c r="B749">
        <v>104.8780691</v>
      </c>
      <c r="C749">
        <v>96.113398509999996</v>
      </c>
    </row>
    <row r="750" spans="1:3">
      <c r="A750">
        <v>92.302309679999993</v>
      </c>
      <c r="B750">
        <v>104.6636436</v>
      </c>
      <c r="C750">
        <v>95.609559700000005</v>
      </c>
    </row>
    <row r="751" spans="1:3">
      <c r="A751">
        <v>90.789678820000006</v>
      </c>
      <c r="B751">
        <v>104.4070971</v>
      </c>
      <c r="C751">
        <v>96.471015919999999</v>
      </c>
    </row>
    <row r="752" spans="1:3">
      <c r="A752">
        <v>92.115954939999995</v>
      </c>
      <c r="B752">
        <v>104.1491517</v>
      </c>
      <c r="C752">
        <v>96.474069529999994</v>
      </c>
    </row>
    <row r="753" spans="1:3">
      <c r="A753">
        <v>89.931535049999994</v>
      </c>
      <c r="B753">
        <v>101.1809422</v>
      </c>
      <c r="C753">
        <v>97.052413689999995</v>
      </c>
    </row>
    <row r="754" spans="1:3">
      <c r="A754">
        <v>91.019039370000002</v>
      </c>
      <c r="B754">
        <v>100.9464919</v>
      </c>
      <c r="C754">
        <v>96.672968990000001</v>
      </c>
    </row>
    <row r="755" spans="1:3">
      <c r="A755">
        <v>92.215888100000001</v>
      </c>
      <c r="B755">
        <v>99.569355310000006</v>
      </c>
      <c r="C755">
        <v>96.773999630000006</v>
      </c>
    </row>
    <row r="756" spans="1:3">
      <c r="A756">
        <v>90.751783360000005</v>
      </c>
      <c r="B756">
        <v>96.42672168</v>
      </c>
      <c r="C756">
        <v>95.939290099999994</v>
      </c>
    </row>
    <row r="757" spans="1:3">
      <c r="A757">
        <v>91.831218210000003</v>
      </c>
      <c r="B757">
        <v>95.225026929999999</v>
      </c>
      <c r="C757">
        <v>95.112486680000004</v>
      </c>
    </row>
    <row r="758" spans="1:3">
      <c r="A758">
        <v>90.884269399999994</v>
      </c>
      <c r="B758">
        <v>96.028378779999997</v>
      </c>
      <c r="C758">
        <v>95.812522860000001</v>
      </c>
    </row>
    <row r="759" spans="1:3">
      <c r="A759">
        <v>91.127265149999999</v>
      </c>
      <c r="B759">
        <v>95.476650190000001</v>
      </c>
      <c r="C759">
        <v>95.723993250000007</v>
      </c>
    </row>
    <row r="760" spans="1:3">
      <c r="A760">
        <v>89.082041520000004</v>
      </c>
      <c r="B760">
        <v>95.445320150000001</v>
      </c>
      <c r="C760">
        <v>96.357788999999997</v>
      </c>
    </row>
    <row r="761" spans="1:3">
      <c r="A761">
        <v>88.652492870000003</v>
      </c>
      <c r="B761">
        <v>95.340434160000001</v>
      </c>
      <c r="C761">
        <v>95.9964564</v>
      </c>
    </row>
    <row r="762" spans="1:3">
      <c r="A762">
        <v>88.705465090000004</v>
      </c>
      <c r="B762">
        <v>93.993913059999997</v>
      </c>
      <c r="C762">
        <v>96.886529730000007</v>
      </c>
    </row>
    <row r="763" spans="1:3">
      <c r="A763">
        <v>89.800638059999997</v>
      </c>
      <c r="B763">
        <v>93.315570059999999</v>
      </c>
      <c r="C763">
        <v>97.241413690000002</v>
      </c>
    </row>
    <row r="764" spans="1:3">
      <c r="A764">
        <v>89.031603430000004</v>
      </c>
      <c r="B764">
        <v>92.593336690000001</v>
      </c>
      <c r="C764">
        <v>97.776892680000003</v>
      </c>
    </row>
    <row r="765" spans="1:3">
      <c r="A765">
        <v>89.574891949999994</v>
      </c>
      <c r="B765">
        <v>92.512626100000006</v>
      </c>
      <c r="C765">
        <v>96.520722160000005</v>
      </c>
    </row>
    <row r="766" spans="1:3">
      <c r="A766">
        <v>89.222304190000003</v>
      </c>
      <c r="B766">
        <v>90.266850160000004</v>
      </c>
      <c r="C766">
        <v>96.364507209999999</v>
      </c>
    </row>
    <row r="767" spans="1:3">
      <c r="A767">
        <v>87.143662320000004</v>
      </c>
      <c r="B767">
        <v>89.931883200000001</v>
      </c>
      <c r="C767">
        <v>96.859696900000003</v>
      </c>
    </row>
    <row r="768" spans="1:3">
      <c r="A768">
        <v>84.123021159999993</v>
      </c>
      <c r="B768">
        <v>90.181652229999997</v>
      </c>
      <c r="C768">
        <v>96.389446079999999</v>
      </c>
    </row>
    <row r="769" spans="1:3">
      <c r="A769">
        <v>81.868971759999994</v>
      </c>
      <c r="B769">
        <v>91.9099772</v>
      </c>
      <c r="C769">
        <v>96.44904726</v>
      </c>
    </row>
    <row r="770" spans="1:3">
      <c r="A770">
        <v>83.598964800000005</v>
      </c>
      <c r="B770">
        <v>93.678447180000006</v>
      </c>
      <c r="C770">
        <v>96.519071690000004</v>
      </c>
    </row>
    <row r="771" spans="1:3">
      <c r="A771">
        <v>86.112494670000004</v>
      </c>
      <c r="B771">
        <v>95.110175580000003</v>
      </c>
      <c r="C771">
        <v>96.89918754</v>
      </c>
    </row>
    <row r="772" spans="1:3">
      <c r="A772">
        <v>85.645784329999998</v>
      </c>
      <c r="B772">
        <v>94.559709369999993</v>
      </c>
      <c r="C772">
        <v>96.905839659999998</v>
      </c>
    </row>
    <row r="773" spans="1:3">
      <c r="A773">
        <v>85.303237710000005</v>
      </c>
      <c r="B773">
        <v>95.498226209999999</v>
      </c>
      <c r="C773">
        <v>97.006441580000001</v>
      </c>
    </row>
    <row r="774" spans="1:3">
      <c r="A774">
        <v>84.616730459999999</v>
      </c>
      <c r="B774">
        <v>96.568245279999999</v>
      </c>
      <c r="C774">
        <v>98.046303320000007</v>
      </c>
    </row>
    <row r="775" spans="1:3">
      <c r="A775">
        <v>83.488024890000005</v>
      </c>
      <c r="B775">
        <v>93.002995440000007</v>
      </c>
      <c r="C775">
        <v>98.176311069999997</v>
      </c>
    </row>
    <row r="776" spans="1:3">
      <c r="A776">
        <v>82.941018459999995</v>
      </c>
      <c r="B776">
        <v>93.003130459999994</v>
      </c>
      <c r="C776">
        <v>97.359857790000007</v>
      </c>
    </row>
    <row r="777" spans="1:3">
      <c r="A777">
        <v>85.18171375</v>
      </c>
      <c r="B777">
        <v>94.148581899999996</v>
      </c>
      <c r="C777">
        <v>96.731400620000002</v>
      </c>
    </row>
    <row r="778" spans="1:3">
      <c r="A778">
        <v>84.474453710000006</v>
      </c>
      <c r="B778">
        <v>94.437498950000005</v>
      </c>
      <c r="C778">
        <v>96.599212399999999</v>
      </c>
    </row>
    <row r="779" spans="1:3">
      <c r="A779">
        <v>85.712229460000003</v>
      </c>
      <c r="B779">
        <v>94.892785540000006</v>
      </c>
      <c r="C779">
        <v>95.891838120000003</v>
      </c>
    </row>
    <row r="780" spans="1:3">
      <c r="A780">
        <v>85.161210060000002</v>
      </c>
      <c r="B780">
        <v>93.296846970000004</v>
      </c>
      <c r="C780">
        <v>95.852468049999999</v>
      </c>
    </row>
    <row r="781" spans="1:3">
      <c r="A781">
        <v>85.422517450000001</v>
      </c>
      <c r="B781">
        <v>91.793714469999998</v>
      </c>
      <c r="C781">
        <v>95.144292719999996</v>
      </c>
    </row>
    <row r="782" spans="1:3">
      <c r="A782">
        <v>86.12503959</v>
      </c>
      <c r="B782">
        <v>92.494160550000004</v>
      </c>
      <c r="C782">
        <v>95.104574389999996</v>
      </c>
    </row>
    <row r="783" spans="1:3">
      <c r="A783">
        <v>85.422026290000005</v>
      </c>
      <c r="B783">
        <v>91.495960640000007</v>
      </c>
      <c r="C783">
        <v>94.992051689999997</v>
      </c>
    </row>
    <row r="784" spans="1:3">
      <c r="A784">
        <v>85.163560459999999</v>
      </c>
      <c r="B784">
        <v>90.720308410000001</v>
      </c>
      <c r="C784">
        <v>94.912805559999995</v>
      </c>
    </row>
    <row r="785" spans="1:3">
      <c r="A785">
        <v>83.284825920000003</v>
      </c>
      <c r="B785">
        <v>89.700492299999993</v>
      </c>
      <c r="C785">
        <v>95.423264860000003</v>
      </c>
    </row>
    <row r="786" spans="1:3">
      <c r="A786">
        <v>84.376422579999996</v>
      </c>
      <c r="B786">
        <v>91.414239109999997</v>
      </c>
      <c r="C786">
        <v>95.342531930000007</v>
      </c>
    </row>
    <row r="787" spans="1:3">
      <c r="A787">
        <v>83.41271356</v>
      </c>
      <c r="B787">
        <v>91.426562989999994</v>
      </c>
      <c r="C787">
        <v>95.922274160000001</v>
      </c>
    </row>
    <row r="788" spans="1:3">
      <c r="A788">
        <v>83.601303290000004</v>
      </c>
      <c r="B788">
        <v>94.14432352</v>
      </c>
      <c r="C788">
        <v>95.614354129999995</v>
      </c>
    </row>
    <row r="789" spans="1:3">
      <c r="A789">
        <v>85.467804819999998</v>
      </c>
      <c r="B789">
        <v>93.200903490000002</v>
      </c>
      <c r="C789">
        <v>95.413641929999997</v>
      </c>
    </row>
    <row r="790" spans="1:3">
      <c r="A790">
        <v>87.403871710000004</v>
      </c>
      <c r="B790">
        <v>93.446882020000004</v>
      </c>
      <c r="C790">
        <v>96.283057720000002</v>
      </c>
    </row>
    <row r="791" spans="1:3">
      <c r="A791">
        <v>85.040046820000001</v>
      </c>
      <c r="B791">
        <v>93.334914929999997</v>
      </c>
      <c r="C791">
        <v>96.049952899999994</v>
      </c>
    </row>
    <row r="792" spans="1:3">
      <c r="A792">
        <v>86.204902439999998</v>
      </c>
      <c r="B792">
        <v>95.560759300000001</v>
      </c>
      <c r="C792">
        <v>96.414604789999999</v>
      </c>
    </row>
    <row r="793" spans="1:3">
      <c r="A793">
        <v>85.664642499999999</v>
      </c>
      <c r="B793">
        <v>92.961146240000005</v>
      </c>
      <c r="C793">
        <v>96.812749960000005</v>
      </c>
    </row>
    <row r="794" spans="1:3">
      <c r="A794">
        <v>87.467492250000006</v>
      </c>
      <c r="B794">
        <v>92.559024890000003</v>
      </c>
      <c r="C794">
        <v>97.042307829999999</v>
      </c>
    </row>
    <row r="795" spans="1:3">
      <c r="A795">
        <v>86.088999209999997</v>
      </c>
      <c r="B795">
        <v>93.079148970000006</v>
      </c>
      <c r="C795">
        <v>96.40149486</v>
      </c>
    </row>
    <row r="796" spans="1:3">
      <c r="A796">
        <v>86.427283099999997</v>
      </c>
      <c r="B796">
        <v>93.261634860000001</v>
      </c>
      <c r="C796">
        <v>95.974899449999995</v>
      </c>
    </row>
    <row r="797" spans="1:3">
      <c r="A797">
        <v>85.812438110000002</v>
      </c>
      <c r="B797">
        <v>92.542763149999999</v>
      </c>
      <c r="C797">
        <v>95.582142469999994</v>
      </c>
    </row>
    <row r="798" spans="1:3">
      <c r="A798">
        <v>85.084584629999995</v>
      </c>
      <c r="B798">
        <v>94.421603489999995</v>
      </c>
      <c r="C798">
        <v>95.722377039999998</v>
      </c>
    </row>
    <row r="799" spans="1:3">
      <c r="A799">
        <v>83.907244169999998</v>
      </c>
      <c r="B799">
        <v>93.842237789999999</v>
      </c>
      <c r="C799">
        <v>96.334245460000005</v>
      </c>
    </row>
    <row r="800" spans="1:3">
      <c r="A800">
        <v>83.751950480000005</v>
      </c>
      <c r="B800">
        <v>92.960164169999999</v>
      </c>
      <c r="C800">
        <v>96.509260560000001</v>
      </c>
    </row>
    <row r="801" spans="1:3">
      <c r="A801">
        <v>81.357268540000007</v>
      </c>
      <c r="B801">
        <v>92.691571260000003</v>
      </c>
      <c r="C801">
        <v>96.276615989999996</v>
      </c>
    </row>
    <row r="802" spans="1:3">
      <c r="A802">
        <v>79.070985930000006</v>
      </c>
      <c r="B802">
        <v>92.2500182</v>
      </c>
      <c r="C802">
        <v>96.153097079999995</v>
      </c>
    </row>
    <row r="803" spans="1:3">
      <c r="A803">
        <v>78.013924829999993</v>
      </c>
      <c r="B803">
        <v>93.091258420000003</v>
      </c>
      <c r="C803">
        <v>95.410010670000005</v>
      </c>
    </row>
    <row r="804" spans="1:3">
      <c r="A804">
        <v>79.304688409999997</v>
      </c>
      <c r="B804">
        <v>93.578485610000001</v>
      </c>
      <c r="C804">
        <v>95.64403652</v>
      </c>
    </row>
    <row r="805" spans="1:3">
      <c r="A805">
        <v>78.988071950000005</v>
      </c>
      <c r="B805">
        <v>95.548178449999995</v>
      </c>
      <c r="C805">
        <v>95.577352610000005</v>
      </c>
    </row>
    <row r="806" spans="1:3">
      <c r="A806">
        <v>80.401706880000006</v>
      </c>
      <c r="B806">
        <v>94.679669759999996</v>
      </c>
      <c r="C806">
        <v>95.507586070000002</v>
      </c>
    </row>
    <row r="807" spans="1:3">
      <c r="A807">
        <v>81.179161050000005</v>
      </c>
      <c r="B807">
        <v>94.187860470000004</v>
      </c>
      <c r="C807">
        <v>96.111892359999999</v>
      </c>
    </row>
    <row r="808" spans="1:3">
      <c r="A808">
        <v>82.996771199999998</v>
      </c>
      <c r="B808">
        <v>95.535664629999999</v>
      </c>
      <c r="C808">
        <v>95.274771970000003</v>
      </c>
    </row>
    <row r="809" spans="1:3">
      <c r="A809">
        <v>84.152098609999996</v>
      </c>
      <c r="B809">
        <v>97.998063360000003</v>
      </c>
      <c r="C809">
        <v>94.872258079999995</v>
      </c>
    </row>
    <row r="810" spans="1:3">
      <c r="A810">
        <v>84.073150179999999</v>
      </c>
      <c r="B810">
        <v>98.284192509999997</v>
      </c>
      <c r="C810">
        <v>93.977735420000002</v>
      </c>
    </row>
    <row r="811" spans="1:3">
      <c r="A811">
        <v>87.38243817</v>
      </c>
      <c r="B811">
        <v>99.877027720000001</v>
      </c>
      <c r="C811">
        <v>94.208517619999995</v>
      </c>
    </row>
    <row r="812" spans="1:3">
      <c r="A812">
        <v>85.706779749999995</v>
      </c>
      <c r="B812">
        <v>98.64332263</v>
      </c>
      <c r="C812">
        <v>93.668108599999996</v>
      </c>
    </row>
    <row r="813" spans="1:3">
      <c r="A813">
        <v>85.188549829999999</v>
      </c>
      <c r="B813">
        <v>100.0936743</v>
      </c>
      <c r="C813">
        <v>93.408256789999996</v>
      </c>
    </row>
    <row r="814" spans="1:3">
      <c r="A814">
        <v>84.106422949999995</v>
      </c>
      <c r="B814">
        <v>101.38270230000001</v>
      </c>
      <c r="C814">
        <v>93.294178419999994</v>
      </c>
    </row>
    <row r="815" spans="1:3">
      <c r="A815">
        <v>85.558990519999995</v>
      </c>
      <c r="B815">
        <v>98.938652230000002</v>
      </c>
      <c r="C815">
        <v>92.915899330000002</v>
      </c>
    </row>
    <row r="816" spans="1:3">
      <c r="A816">
        <v>87.267138189999997</v>
      </c>
      <c r="B816">
        <v>99.63360351</v>
      </c>
      <c r="C816">
        <v>92.611580709999998</v>
      </c>
    </row>
    <row r="817" spans="1:3">
      <c r="A817">
        <v>89.281395340000003</v>
      </c>
      <c r="B817">
        <v>97.846707170000002</v>
      </c>
      <c r="C817">
        <v>94.315536699999996</v>
      </c>
    </row>
    <row r="818" spans="1:3">
      <c r="A818">
        <v>89.227371329999997</v>
      </c>
      <c r="B818">
        <v>97.398180019999998</v>
      </c>
      <c r="C818">
        <v>94.000285790000007</v>
      </c>
    </row>
    <row r="819" spans="1:3">
      <c r="A819">
        <v>89.744947859999996</v>
      </c>
      <c r="B819">
        <v>97.408516149999997</v>
      </c>
      <c r="C819">
        <v>93.294976849999998</v>
      </c>
    </row>
    <row r="820" spans="1:3">
      <c r="A820">
        <v>90.512284460000004</v>
      </c>
      <c r="B820">
        <v>98.821622390000002</v>
      </c>
      <c r="C820">
        <v>92.599737270000006</v>
      </c>
    </row>
    <row r="821" spans="1:3">
      <c r="A821">
        <v>90.934486120000003</v>
      </c>
      <c r="B821">
        <v>96.876686820000003</v>
      </c>
      <c r="C821">
        <v>92.727214610000004</v>
      </c>
    </row>
    <row r="822" spans="1:3">
      <c r="A822">
        <v>90.238775140000001</v>
      </c>
      <c r="B822">
        <v>96.155837450000007</v>
      </c>
      <c r="C822">
        <v>93.674742210000005</v>
      </c>
    </row>
    <row r="823" spans="1:3">
      <c r="A823">
        <v>89.354738280000007</v>
      </c>
      <c r="B823">
        <v>94.530409610000007</v>
      </c>
      <c r="C823">
        <v>93.571521390000001</v>
      </c>
    </row>
    <row r="824" spans="1:3">
      <c r="A824">
        <v>90.471614369999998</v>
      </c>
      <c r="B824">
        <v>93.967719180000003</v>
      </c>
      <c r="C824">
        <v>93.99651557</v>
      </c>
    </row>
    <row r="825" spans="1:3">
      <c r="A825">
        <v>90.143891800000006</v>
      </c>
      <c r="B825">
        <v>97.006996920000006</v>
      </c>
      <c r="C825">
        <v>94.070828379999995</v>
      </c>
    </row>
    <row r="826" spans="1:3">
      <c r="A826">
        <v>89.920017380000004</v>
      </c>
      <c r="B826">
        <v>96.905931589999994</v>
      </c>
      <c r="C826">
        <v>93.828823229999998</v>
      </c>
    </row>
    <row r="827" spans="1:3">
      <c r="A827">
        <v>89.68053295</v>
      </c>
      <c r="B827">
        <v>97.336586440000005</v>
      </c>
      <c r="C827">
        <v>94.264436520000004</v>
      </c>
    </row>
    <row r="828" spans="1:3">
      <c r="A828">
        <v>88.103031299999998</v>
      </c>
      <c r="B828">
        <v>99.954645139999997</v>
      </c>
      <c r="C828">
        <v>93.998549690000004</v>
      </c>
    </row>
    <row r="829" spans="1:3">
      <c r="A829">
        <v>85.851712620000001</v>
      </c>
      <c r="B829">
        <v>100.9985708</v>
      </c>
      <c r="C829">
        <v>93.943640560000006</v>
      </c>
    </row>
    <row r="830" spans="1:3">
      <c r="A830">
        <v>84.78267194</v>
      </c>
      <c r="B830">
        <v>102.5859978</v>
      </c>
      <c r="C830">
        <v>92.991978090000003</v>
      </c>
    </row>
    <row r="831" spans="1:3">
      <c r="A831">
        <v>87.909662370000007</v>
      </c>
      <c r="B831">
        <v>104.42384869999999</v>
      </c>
      <c r="C831">
        <v>92.882959159999999</v>
      </c>
    </row>
    <row r="832" spans="1:3">
      <c r="A832">
        <v>89.566688540000001</v>
      </c>
      <c r="B832">
        <v>102.28173390000001</v>
      </c>
      <c r="C832">
        <v>93.980912180000004</v>
      </c>
    </row>
    <row r="833" spans="1:3">
      <c r="A833">
        <v>89.864223030000005</v>
      </c>
      <c r="B833">
        <v>104.288404</v>
      </c>
      <c r="C833">
        <v>93.97811136</v>
      </c>
    </row>
    <row r="834" spans="1:3">
      <c r="A834">
        <v>87.046047540000004</v>
      </c>
      <c r="B834">
        <v>104.0068826</v>
      </c>
      <c r="C834">
        <v>93.668254259999998</v>
      </c>
    </row>
    <row r="835" spans="1:3">
      <c r="A835">
        <v>87.468180689999997</v>
      </c>
      <c r="B835">
        <v>102.5789316</v>
      </c>
      <c r="C835">
        <v>94.035885390000004</v>
      </c>
    </row>
    <row r="836" spans="1:3">
      <c r="A836">
        <v>88.920083509999998</v>
      </c>
      <c r="B836">
        <v>104.72883590000001</v>
      </c>
      <c r="C836">
        <v>93.051236619999997</v>
      </c>
    </row>
    <row r="837" spans="1:3">
      <c r="A837">
        <v>88.31753501</v>
      </c>
      <c r="B837">
        <v>106.0428574</v>
      </c>
      <c r="C837">
        <v>92.662824240000006</v>
      </c>
    </row>
    <row r="838" spans="1:3">
      <c r="A838">
        <v>86.830845409999995</v>
      </c>
      <c r="B838">
        <v>106.6141787</v>
      </c>
      <c r="C838">
        <v>92.661530650000003</v>
      </c>
    </row>
    <row r="839" spans="1:3">
      <c r="A839">
        <v>86.848332020000001</v>
      </c>
      <c r="B839">
        <v>107.59409789999999</v>
      </c>
      <c r="C839">
        <v>92.884329089999994</v>
      </c>
    </row>
    <row r="840" spans="1:3">
      <c r="A840">
        <v>84.249626329999998</v>
      </c>
      <c r="B840">
        <v>103.8646974</v>
      </c>
      <c r="C840">
        <v>93.904800859999995</v>
      </c>
    </row>
    <row r="841" spans="1:3">
      <c r="A841">
        <v>83.716615110000006</v>
      </c>
      <c r="B841">
        <v>101.9507886</v>
      </c>
      <c r="C841">
        <v>93.763678600000006</v>
      </c>
    </row>
    <row r="842" spans="1:3">
      <c r="A842">
        <v>81.309396949999993</v>
      </c>
      <c r="B842">
        <v>102.54092249999999</v>
      </c>
      <c r="C842">
        <v>93.504281300000002</v>
      </c>
    </row>
    <row r="843" spans="1:3">
      <c r="A843">
        <v>80.333325439999996</v>
      </c>
      <c r="B843">
        <v>100.20701750000001</v>
      </c>
      <c r="C843">
        <v>93.681724779999996</v>
      </c>
    </row>
    <row r="844" spans="1:3">
      <c r="A844">
        <v>79.559001210000005</v>
      </c>
      <c r="B844">
        <v>99.90679437</v>
      </c>
      <c r="C844">
        <v>93.974495750000003</v>
      </c>
    </row>
    <row r="845" spans="1:3">
      <c r="A845">
        <v>81.543908130000005</v>
      </c>
      <c r="B845">
        <v>100.4574508</v>
      </c>
      <c r="C845">
        <v>93.415961350000003</v>
      </c>
    </row>
    <row r="846" spans="1:3">
      <c r="A846">
        <v>81.980108099999995</v>
      </c>
      <c r="B846">
        <v>99.535372699999996</v>
      </c>
      <c r="C846">
        <v>94.914647149999993</v>
      </c>
    </row>
    <row r="847" spans="1:3">
      <c r="A847">
        <v>79.01806938</v>
      </c>
      <c r="B847">
        <v>100.34745289999999</v>
      </c>
      <c r="C847">
        <v>94.203395920000006</v>
      </c>
    </row>
    <row r="848" spans="1:3">
      <c r="A848">
        <v>77.862558079999999</v>
      </c>
      <c r="B848">
        <v>99.519014560000002</v>
      </c>
      <c r="C848">
        <v>94.200848440000001</v>
      </c>
    </row>
    <row r="849" spans="1:3">
      <c r="A849">
        <v>77.672302819999999</v>
      </c>
      <c r="B849">
        <v>100.9844023</v>
      </c>
      <c r="C849">
        <v>94.356022920000001</v>
      </c>
    </row>
    <row r="850" spans="1:3">
      <c r="A850">
        <v>80.335656760000006</v>
      </c>
      <c r="B850">
        <v>101.78591659999999</v>
      </c>
      <c r="C850">
        <v>95.037651330000003</v>
      </c>
    </row>
    <row r="851" spans="1:3">
      <c r="A851">
        <v>80.860498629999995</v>
      </c>
      <c r="B851">
        <v>103.92771550000001</v>
      </c>
      <c r="C851">
        <v>94.713634510000006</v>
      </c>
    </row>
    <row r="852" spans="1:3">
      <c r="A852">
        <v>81.447789159999999</v>
      </c>
      <c r="B852">
        <v>103.72194140000001</v>
      </c>
      <c r="C852">
        <v>94.160412710000003</v>
      </c>
    </row>
    <row r="853" spans="1:3">
      <c r="A853">
        <v>82.380839690000002</v>
      </c>
      <c r="B853">
        <v>103.91642659999999</v>
      </c>
      <c r="C853">
        <v>94.482687049999996</v>
      </c>
    </row>
    <row r="854" spans="1:3">
      <c r="A854">
        <v>81.396793049999999</v>
      </c>
      <c r="B854">
        <v>102.8912206</v>
      </c>
      <c r="C854">
        <v>95.269875519999999</v>
      </c>
    </row>
    <row r="855" spans="1:3">
      <c r="A855">
        <v>83.552428699999993</v>
      </c>
      <c r="B855">
        <v>101.2328376</v>
      </c>
      <c r="C855">
        <v>95.240412379999995</v>
      </c>
    </row>
    <row r="856" spans="1:3">
      <c r="A856">
        <v>82.234319859999999</v>
      </c>
      <c r="B856">
        <v>102.0507009</v>
      </c>
      <c r="C856">
        <v>95.34447351</v>
      </c>
    </row>
    <row r="857" spans="1:3">
      <c r="A857">
        <v>82.524834409999997</v>
      </c>
      <c r="B857">
        <v>101.7345682</v>
      </c>
      <c r="C857">
        <v>95.311700709999997</v>
      </c>
    </row>
    <row r="858" spans="1:3">
      <c r="A858">
        <v>81.427904170000005</v>
      </c>
      <c r="B858">
        <v>102.5438508</v>
      </c>
      <c r="C858">
        <v>95.539721439999994</v>
      </c>
    </row>
    <row r="859" spans="1:3">
      <c r="A859">
        <v>79.449726420000005</v>
      </c>
      <c r="B859">
        <v>100.0569144</v>
      </c>
      <c r="C859">
        <v>95.422531669999998</v>
      </c>
    </row>
    <row r="860" spans="1:3">
      <c r="A860">
        <v>80.196174499999998</v>
      </c>
      <c r="B860">
        <v>96.606466069999996</v>
      </c>
      <c r="C860">
        <v>95.768512369999996</v>
      </c>
    </row>
    <row r="861" spans="1:3">
      <c r="A861">
        <v>81.334673140000007</v>
      </c>
      <c r="B861">
        <v>97.599670560000007</v>
      </c>
      <c r="C861">
        <v>97.199790890000003</v>
      </c>
    </row>
    <row r="862" spans="1:3">
      <c r="A862">
        <v>82.809859070000002</v>
      </c>
      <c r="B862">
        <v>96.667813199999998</v>
      </c>
      <c r="C862">
        <v>97.345046260000004</v>
      </c>
    </row>
    <row r="863" spans="1:3">
      <c r="A863">
        <v>81.688157849999996</v>
      </c>
      <c r="B863">
        <v>99.597028570000006</v>
      </c>
      <c r="C863">
        <v>97.232736399999993</v>
      </c>
    </row>
    <row r="864" spans="1:3">
      <c r="A864">
        <v>80.249460200000001</v>
      </c>
      <c r="B864">
        <v>97.656646269999996</v>
      </c>
      <c r="C864">
        <v>97.492328049999998</v>
      </c>
    </row>
    <row r="865" spans="1:3">
      <c r="A865">
        <v>79.727527080000002</v>
      </c>
      <c r="B865">
        <v>95.466247429999996</v>
      </c>
      <c r="C865">
        <v>96.792443399999996</v>
      </c>
    </row>
    <row r="866" spans="1:3">
      <c r="A866">
        <v>79.178003410000002</v>
      </c>
      <c r="B866">
        <v>93.762130499999998</v>
      </c>
      <c r="C866">
        <v>97.084218989999997</v>
      </c>
    </row>
    <row r="867" spans="1:3">
      <c r="A867">
        <v>79.683173190000005</v>
      </c>
      <c r="B867">
        <v>92.880694719999994</v>
      </c>
      <c r="C867">
        <v>96.858388529999999</v>
      </c>
    </row>
    <row r="868" spans="1:3">
      <c r="A868">
        <v>78.440646650000005</v>
      </c>
      <c r="B868">
        <v>92.622678480000005</v>
      </c>
      <c r="C868">
        <v>97.18678663</v>
      </c>
    </row>
    <row r="869" spans="1:3">
      <c r="A869">
        <v>77.42101443</v>
      </c>
      <c r="B869">
        <v>92.271517009999997</v>
      </c>
      <c r="C869">
        <v>97.480120189999994</v>
      </c>
    </row>
    <row r="870" spans="1:3">
      <c r="A870">
        <v>75.71160012</v>
      </c>
      <c r="B870">
        <v>91.894902360000003</v>
      </c>
      <c r="C870">
        <v>97.295431809999997</v>
      </c>
    </row>
    <row r="871" spans="1:3">
      <c r="A871">
        <v>74.897933719999997</v>
      </c>
      <c r="B871">
        <v>90.405586339999999</v>
      </c>
      <c r="C871">
        <v>97.175531590000006</v>
      </c>
    </row>
    <row r="872" spans="1:3">
      <c r="A872">
        <v>74.497180650000004</v>
      </c>
      <c r="B872">
        <v>90.522964479999999</v>
      </c>
      <c r="C872">
        <v>96.298582870000004</v>
      </c>
    </row>
    <row r="873" spans="1:3">
      <c r="A873">
        <v>73.822541779999995</v>
      </c>
      <c r="B873">
        <v>88.757310450000006</v>
      </c>
      <c r="C873">
        <v>96.252193419999998</v>
      </c>
    </row>
    <row r="874" spans="1:3">
      <c r="A874">
        <v>74.681628430000004</v>
      </c>
      <c r="B874">
        <v>85.530102869999993</v>
      </c>
      <c r="C874">
        <v>96.445743379999996</v>
      </c>
    </row>
    <row r="875" spans="1:3">
      <c r="A875">
        <v>77.12522414</v>
      </c>
      <c r="B875">
        <v>85.769972089999996</v>
      </c>
      <c r="C875">
        <v>96.506750510000003</v>
      </c>
    </row>
    <row r="876" spans="1:3">
      <c r="A876">
        <v>79.212710869999995</v>
      </c>
      <c r="B876">
        <v>84.107686279999996</v>
      </c>
      <c r="C876">
        <v>97.021186369999995</v>
      </c>
    </row>
    <row r="877" spans="1:3">
      <c r="A877">
        <v>80.329380049999997</v>
      </c>
      <c r="B877">
        <v>84.714667660000003</v>
      </c>
      <c r="C877">
        <v>97.268473869999994</v>
      </c>
    </row>
    <row r="878" spans="1:3">
      <c r="A878">
        <v>80.870339020000003</v>
      </c>
      <c r="B878">
        <v>86.43749029</v>
      </c>
      <c r="C878">
        <v>98.077191110000001</v>
      </c>
    </row>
    <row r="879" spans="1:3">
      <c r="A879">
        <v>80.874775970000002</v>
      </c>
      <c r="B879">
        <v>83.958552539999999</v>
      </c>
      <c r="C879">
        <v>97.457841139999999</v>
      </c>
    </row>
    <row r="880" spans="1:3">
      <c r="A880">
        <v>79.841255450000006</v>
      </c>
      <c r="B880">
        <v>83.859630129999999</v>
      </c>
      <c r="C880">
        <v>97.760603009999997</v>
      </c>
    </row>
    <row r="881" spans="1:3">
      <c r="A881">
        <v>80.778980200000007</v>
      </c>
      <c r="B881">
        <v>82.10760732</v>
      </c>
      <c r="C881">
        <v>97.220534290000003</v>
      </c>
    </row>
    <row r="882" spans="1:3">
      <c r="A882">
        <v>81.730359379999996</v>
      </c>
      <c r="B882">
        <v>84.795138260000002</v>
      </c>
      <c r="C882">
        <v>97.652031109999996</v>
      </c>
    </row>
    <row r="883" spans="1:3">
      <c r="A883">
        <v>81.493665960000001</v>
      </c>
      <c r="B883">
        <v>84.029180789999998</v>
      </c>
      <c r="C883">
        <v>97.320560909999998</v>
      </c>
    </row>
    <row r="884" spans="1:3">
      <c r="A884">
        <v>80.591171450000004</v>
      </c>
      <c r="B884">
        <v>84.235986400000002</v>
      </c>
      <c r="C884">
        <v>97.502655309999994</v>
      </c>
    </row>
    <row r="885" spans="1:3">
      <c r="A885">
        <v>80.790971089999999</v>
      </c>
      <c r="B885">
        <v>83.439735600000006</v>
      </c>
      <c r="C885">
        <v>97.266644400000004</v>
      </c>
    </row>
    <row r="886" spans="1:3">
      <c r="A886">
        <v>80.605245049999994</v>
      </c>
      <c r="B886">
        <v>83.781434300000001</v>
      </c>
      <c r="C886">
        <v>97.08852109</v>
      </c>
    </row>
    <row r="887" spans="1:3">
      <c r="A887">
        <v>81.510431190000006</v>
      </c>
      <c r="B887">
        <v>83.365704879999996</v>
      </c>
      <c r="C887">
        <v>96.965269120000002</v>
      </c>
    </row>
    <row r="888" spans="1:3">
      <c r="A888">
        <v>79.848494209999998</v>
      </c>
      <c r="B888">
        <v>83.806061639999996</v>
      </c>
      <c r="C888">
        <v>96.279218110000002</v>
      </c>
    </row>
    <row r="889" spans="1:3">
      <c r="A889">
        <v>80.479188489999999</v>
      </c>
      <c r="B889">
        <v>83.798210699999998</v>
      </c>
      <c r="C889">
        <v>96.431562139999997</v>
      </c>
    </row>
    <row r="890" spans="1:3">
      <c r="A890">
        <v>81.634354490000007</v>
      </c>
      <c r="B890">
        <v>83.315483790000002</v>
      </c>
      <c r="C890">
        <v>95.751018999999999</v>
      </c>
    </row>
    <row r="891" spans="1:3">
      <c r="A891">
        <v>83.142402169999997</v>
      </c>
      <c r="B891">
        <v>83.990142239999997</v>
      </c>
      <c r="C891">
        <v>96.41558422</v>
      </c>
    </row>
    <row r="892" spans="1:3">
      <c r="A892">
        <v>82.96048682</v>
      </c>
      <c r="B892">
        <v>84.598037439999999</v>
      </c>
      <c r="C892">
        <v>95.905621960000005</v>
      </c>
    </row>
    <row r="893" spans="1:3">
      <c r="A893">
        <v>81.828223370000003</v>
      </c>
      <c r="B893">
        <v>86.046714230000006</v>
      </c>
      <c r="C893">
        <v>95.386223720000004</v>
      </c>
    </row>
    <row r="894" spans="1:3">
      <c r="A894">
        <v>85.235045310000004</v>
      </c>
      <c r="B894">
        <v>85.822419729999993</v>
      </c>
      <c r="C894">
        <v>94.867481209999994</v>
      </c>
    </row>
    <row r="895" spans="1:3">
      <c r="A895">
        <v>85.718530560000005</v>
      </c>
      <c r="B895">
        <v>87.480005700000007</v>
      </c>
      <c r="C895">
        <v>95.299640199999999</v>
      </c>
    </row>
    <row r="896" spans="1:3">
      <c r="A896">
        <v>84.474419139999995</v>
      </c>
      <c r="B896">
        <v>88.651036820000002</v>
      </c>
      <c r="C896">
        <v>95.587181540000003</v>
      </c>
    </row>
    <row r="897" spans="1:3">
      <c r="A897">
        <v>85.194464150000002</v>
      </c>
      <c r="B897">
        <v>89.554509080000003</v>
      </c>
      <c r="C897">
        <v>95.585545490000001</v>
      </c>
    </row>
    <row r="898" spans="1:3">
      <c r="A898">
        <v>83.657264690000005</v>
      </c>
      <c r="B898">
        <v>86.437095659999997</v>
      </c>
      <c r="C898">
        <v>95.385978100000003</v>
      </c>
    </row>
    <row r="899" spans="1:3">
      <c r="A899">
        <v>82.645933409999998</v>
      </c>
      <c r="B899">
        <v>85.721211280000006</v>
      </c>
      <c r="C899">
        <v>95.362729689999995</v>
      </c>
    </row>
    <row r="900" spans="1:3">
      <c r="A900">
        <v>80.570801209999999</v>
      </c>
      <c r="B900">
        <v>87.111661560000002</v>
      </c>
      <c r="C900">
        <v>95.527658680000002</v>
      </c>
    </row>
    <row r="901" spans="1:3">
      <c r="A901">
        <v>80.264495539999999</v>
      </c>
      <c r="B901">
        <v>85.972216849999995</v>
      </c>
      <c r="C901">
        <v>95.541064019999993</v>
      </c>
    </row>
    <row r="902" spans="1:3">
      <c r="A902">
        <v>84.206163970000006</v>
      </c>
      <c r="B902">
        <v>85.881830429999994</v>
      </c>
      <c r="C902">
        <v>95.105820309999999</v>
      </c>
    </row>
    <row r="903" spans="1:3">
      <c r="A903">
        <v>84.313200499999994</v>
      </c>
      <c r="B903">
        <v>85.918296839999996</v>
      </c>
      <c r="C903">
        <v>95.513948909999996</v>
      </c>
    </row>
    <row r="904" spans="1:3">
      <c r="A904">
        <v>83.970003449999993</v>
      </c>
      <c r="B904">
        <v>84.309947960000002</v>
      </c>
      <c r="C904">
        <v>95.643222100000003</v>
      </c>
    </row>
    <row r="905" spans="1:3">
      <c r="A905">
        <v>84.980846720000002</v>
      </c>
      <c r="B905">
        <v>85.62786534</v>
      </c>
      <c r="C905">
        <v>95.374099860000001</v>
      </c>
    </row>
    <row r="906" spans="1:3">
      <c r="A906">
        <v>88.344224199999999</v>
      </c>
      <c r="B906">
        <v>87.152884119999996</v>
      </c>
      <c r="C906">
        <v>94.813490130000005</v>
      </c>
    </row>
    <row r="907" spans="1:3">
      <c r="A907">
        <v>86.815656529999998</v>
      </c>
      <c r="B907">
        <v>84.187536899999998</v>
      </c>
      <c r="C907">
        <v>94.582424079999996</v>
      </c>
    </row>
    <row r="908" spans="1:3">
      <c r="A908">
        <v>85.24430323</v>
      </c>
      <c r="B908">
        <v>84.791290739999994</v>
      </c>
      <c r="C908">
        <v>94.551175569999998</v>
      </c>
    </row>
    <row r="909" spans="1:3">
      <c r="A909">
        <v>83.827524460000006</v>
      </c>
      <c r="B909">
        <v>85.360593320000007</v>
      </c>
      <c r="C909">
        <v>94.488205730000004</v>
      </c>
    </row>
    <row r="910" spans="1:3">
      <c r="A910">
        <v>84.881775410000003</v>
      </c>
      <c r="B910">
        <v>86.387522959999998</v>
      </c>
      <c r="C910">
        <v>94.264196960000007</v>
      </c>
    </row>
    <row r="911" spans="1:3">
      <c r="A911">
        <v>83.759458379999998</v>
      </c>
      <c r="B911">
        <v>86.027280000000005</v>
      </c>
      <c r="C911">
        <v>95.351388999999998</v>
      </c>
    </row>
    <row r="912" spans="1:3">
      <c r="A912">
        <v>83.804705850000005</v>
      </c>
      <c r="B912">
        <v>86.105116629999998</v>
      </c>
      <c r="C912">
        <v>96.500709369999996</v>
      </c>
    </row>
    <row r="913" spans="1:3">
      <c r="A913">
        <v>86.684503399999997</v>
      </c>
      <c r="B913">
        <v>84.714752950000005</v>
      </c>
      <c r="C913">
        <v>95.791291819999998</v>
      </c>
    </row>
    <row r="914" spans="1:3">
      <c r="A914">
        <v>86.997300929999994</v>
      </c>
      <c r="B914">
        <v>84.523013840000004</v>
      </c>
      <c r="C914">
        <v>96.056040719999999</v>
      </c>
    </row>
    <row r="915" spans="1:3">
      <c r="A915">
        <v>86.814391900000004</v>
      </c>
      <c r="B915">
        <v>85.93366829</v>
      </c>
      <c r="C915">
        <v>94.846649150000005</v>
      </c>
    </row>
    <row r="916" spans="1:3">
      <c r="A916">
        <v>85.746973789999998</v>
      </c>
      <c r="B916">
        <v>84.908626699999999</v>
      </c>
      <c r="C916">
        <v>94.579025880000003</v>
      </c>
    </row>
    <row r="917" spans="1:3">
      <c r="A917">
        <v>84.665708820000006</v>
      </c>
      <c r="B917">
        <v>87.064614919999997</v>
      </c>
      <c r="C917">
        <v>94.234770600000004</v>
      </c>
    </row>
    <row r="918" spans="1:3">
      <c r="A918">
        <v>84.414729140000006</v>
      </c>
      <c r="B918">
        <v>88.481747510000005</v>
      </c>
      <c r="C918">
        <v>94.402428150000006</v>
      </c>
    </row>
    <row r="919" spans="1:3">
      <c r="A919">
        <v>85.7007057</v>
      </c>
      <c r="B919">
        <v>89.133278520000005</v>
      </c>
      <c r="C919">
        <v>94.336180690000006</v>
      </c>
    </row>
    <row r="920" spans="1:3">
      <c r="A920">
        <v>85.068727249999995</v>
      </c>
      <c r="B920">
        <v>90.760743779999999</v>
      </c>
      <c r="C920">
        <v>95.10790034</v>
      </c>
    </row>
    <row r="921" spans="1:3">
      <c r="A921">
        <v>84.820129080000001</v>
      </c>
      <c r="B921">
        <v>91.62105364</v>
      </c>
      <c r="C921">
        <v>95.99236655</v>
      </c>
    </row>
    <row r="922" spans="1:3">
      <c r="A922">
        <v>86.802192219999995</v>
      </c>
      <c r="B922">
        <v>91.528763729999994</v>
      </c>
      <c r="C922">
        <v>96.191962320000002</v>
      </c>
    </row>
    <row r="923" spans="1:3">
      <c r="A923">
        <v>86.994595250000003</v>
      </c>
      <c r="B923">
        <v>91.60145292</v>
      </c>
      <c r="C923">
        <v>95.690708659999999</v>
      </c>
    </row>
    <row r="924" spans="1:3">
      <c r="A924">
        <v>87.124672180000005</v>
      </c>
      <c r="B924">
        <v>89.737912960000003</v>
      </c>
      <c r="C924">
        <v>95.907263760000006</v>
      </c>
    </row>
    <row r="925" spans="1:3">
      <c r="A925">
        <v>86.156899170000003</v>
      </c>
      <c r="B925">
        <v>90.943759220000004</v>
      </c>
      <c r="C925">
        <v>95.784921940000004</v>
      </c>
    </row>
    <row r="926" spans="1:3">
      <c r="A926">
        <v>85.646254510000006</v>
      </c>
      <c r="B926">
        <v>89.566452889999994</v>
      </c>
      <c r="C926">
        <v>95.839646180000003</v>
      </c>
    </row>
    <row r="927" spans="1:3">
      <c r="A927">
        <v>84.779546319999994</v>
      </c>
      <c r="B927">
        <v>88.642924980000004</v>
      </c>
      <c r="C927">
        <v>95.252846849999997</v>
      </c>
    </row>
    <row r="928" spans="1:3">
      <c r="A928">
        <v>85.153508889999998</v>
      </c>
      <c r="B928">
        <v>90.551405270000004</v>
      </c>
      <c r="C928">
        <v>95.866761260000004</v>
      </c>
    </row>
    <row r="929" spans="1:3">
      <c r="A929">
        <v>83.321431779999998</v>
      </c>
      <c r="B929">
        <v>90.261613819999994</v>
      </c>
      <c r="C929">
        <v>96.293557789999994</v>
      </c>
    </row>
    <row r="930" spans="1:3">
      <c r="A930">
        <v>82.421367200000006</v>
      </c>
      <c r="B930">
        <v>90.205527579999995</v>
      </c>
      <c r="C930">
        <v>96.311779630000004</v>
      </c>
    </row>
    <row r="931" spans="1:3">
      <c r="A931">
        <v>83.333985510000005</v>
      </c>
      <c r="B931">
        <v>90.218429979999996</v>
      </c>
      <c r="C931">
        <v>95.742701589999996</v>
      </c>
    </row>
    <row r="932" spans="1:3">
      <c r="A932">
        <v>82.433785259999993</v>
      </c>
      <c r="B932">
        <v>89.388454609999997</v>
      </c>
      <c r="C932">
        <v>95.957347310000003</v>
      </c>
    </row>
    <row r="933" spans="1:3">
      <c r="A933">
        <v>82.070312659999999</v>
      </c>
      <c r="B933">
        <v>91.379220029999999</v>
      </c>
      <c r="C933">
        <v>95.243000280000004</v>
      </c>
    </row>
    <row r="934" spans="1:3">
      <c r="A934">
        <v>82.656130610000005</v>
      </c>
      <c r="B934">
        <v>90.356771089999995</v>
      </c>
      <c r="C934">
        <v>93.944599710000006</v>
      </c>
    </row>
    <row r="935" spans="1:3">
      <c r="A935">
        <v>84.315942849999999</v>
      </c>
      <c r="B935">
        <v>91.438073279999998</v>
      </c>
      <c r="C935">
        <v>94.228665950000007</v>
      </c>
    </row>
    <row r="936" spans="1:3">
      <c r="A936">
        <v>85.781343089999993</v>
      </c>
      <c r="B936">
        <v>91.185762100000005</v>
      </c>
      <c r="C936">
        <v>94.869584450000005</v>
      </c>
    </row>
    <row r="937" spans="1:3">
      <c r="A937">
        <v>86.719379180000004</v>
      </c>
      <c r="B937">
        <v>90.414017119999997</v>
      </c>
      <c r="C937">
        <v>94.047097629999996</v>
      </c>
    </row>
    <row r="938" spans="1:3">
      <c r="A938">
        <v>87.632730789999997</v>
      </c>
      <c r="B938">
        <v>90.066080510000006</v>
      </c>
      <c r="C938">
        <v>94.009557099999995</v>
      </c>
    </row>
    <row r="939" spans="1:3">
      <c r="A939">
        <v>87.311463239999995</v>
      </c>
      <c r="B939">
        <v>92.84688285</v>
      </c>
      <c r="C939">
        <v>94.239102779999996</v>
      </c>
    </row>
    <row r="940" spans="1:3">
      <c r="A940">
        <v>86.244270990000004</v>
      </c>
      <c r="B940">
        <v>91.008698769999995</v>
      </c>
      <c r="C940">
        <v>93.350246960000007</v>
      </c>
    </row>
    <row r="941" spans="1:3">
      <c r="A941">
        <v>86.810088759999999</v>
      </c>
      <c r="B941">
        <v>88.562669909999997</v>
      </c>
      <c r="C941">
        <v>94.051601020000007</v>
      </c>
    </row>
    <row r="942" spans="1:3">
      <c r="A942">
        <v>86.530032199999994</v>
      </c>
      <c r="B942">
        <v>88.259465809999995</v>
      </c>
      <c r="C942">
        <v>93.003807309999999</v>
      </c>
    </row>
    <row r="943" spans="1:3">
      <c r="A943">
        <v>85.074677530000002</v>
      </c>
      <c r="B943">
        <v>88.205675749999997</v>
      </c>
      <c r="C943">
        <v>93.408724289999995</v>
      </c>
    </row>
    <row r="944" spans="1:3">
      <c r="A944">
        <v>86.624022780000004</v>
      </c>
      <c r="B944">
        <v>88.896740260000001</v>
      </c>
      <c r="C944">
        <v>93.210311320000002</v>
      </c>
    </row>
    <row r="945" spans="1:3">
      <c r="A945">
        <v>86.861572030000005</v>
      </c>
      <c r="B945">
        <v>88.736483089999993</v>
      </c>
      <c r="C945">
        <v>92.717771220000003</v>
      </c>
    </row>
    <row r="946" spans="1:3">
      <c r="A946">
        <v>87.574418910000006</v>
      </c>
      <c r="B946">
        <v>88.573385470000005</v>
      </c>
      <c r="C946">
        <v>92.950903960000005</v>
      </c>
    </row>
    <row r="947" spans="1:3">
      <c r="A947">
        <v>86.837717209999994</v>
      </c>
      <c r="B947">
        <v>91.423625560000005</v>
      </c>
      <c r="C947">
        <v>92.591282809999996</v>
      </c>
    </row>
    <row r="948" spans="1:3">
      <c r="A948">
        <v>87.400804230000006</v>
      </c>
      <c r="B948">
        <v>91.504817189999997</v>
      </c>
      <c r="C948">
        <v>92.823410609999996</v>
      </c>
    </row>
    <row r="949" spans="1:3">
      <c r="A949">
        <v>87.825088300000004</v>
      </c>
      <c r="B949">
        <v>92.155840510000004</v>
      </c>
      <c r="C949">
        <v>92.862908509999997</v>
      </c>
    </row>
    <row r="950" spans="1:3">
      <c r="A950">
        <v>87.648336029999996</v>
      </c>
      <c r="B950">
        <v>92.348920750000005</v>
      </c>
      <c r="C950">
        <v>94.121095949999997</v>
      </c>
    </row>
    <row r="951" spans="1:3">
      <c r="A951">
        <v>85.66838482</v>
      </c>
      <c r="B951">
        <v>91.801017279999996</v>
      </c>
      <c r="C951">
        <v>94.448522749999995</v>
      </c>
    </row>
    <row r="952" spans="1:3">
      <c r="A952">
        <v>86.091105900000002</v>
      </c>
      <c r="B952">
        <v>90.973546429999999</v>
      </c>
      <c r="C952">
        <v>95.509174810000005</v>
      </c>
    </row>
    <row r="953" spans="1:3">
      <c r="A953">
        <v>86.877097829999997</v>
      </c>
      <c r="B953">
        <v>88.358365890000002</v>
      </c>
      <c r="C953">
        <v>95.930240810000001</v>
      </c>
    </row>
    <row r="954" spans="1:3">
      <c r="A954">
        <v>87.754232459999997</v>
      </c>
      <c r="B954">
        <v>87.928793479999996</v>
      </c>
      <c r="C954">
        <v>96.151047590000005</v>
      </c>
    </row>
    <row r="955" spans="1:3">
      <c r="A955">
        <v>88.146858679999994</v>
      </c>
      <c r="B955">
        <v>89.576383340000007</v>
      </c>
      <c r="C955">
        <v>97.231175230000005</v>
      </c>
    </row>
    <row r="956" spans="1:3">
      <c r="A956">
        <v>90.724490419999995</v>
      </c>
      <c r="B956">
        <v>91.130540980000006</v>
      </c>
      <c r="C956">
        <v>97.052765750000006</v>
      </c>
    </row>
    <row r="957" spans="1:3">
      <c r="A957">
        <v>93.350619480000006</v>
      </c>
      <c r="B957">
        <v>90.933340860000001</v>
      </c>
      <c r="C957">
        <v>97.296591849999999</v>
      </c>
    </row>
    <row r="958" spans="1:3">
      <c r="A958">
        <v>94.976639309999996</v>
      </c>
      <c r="B958">
        <v>90.788833640000007</v>
      </c>
      <c r="C958">
        <v>97.697979439999997</v>
      </c>
    </row>
    <row r="959" spans="1:3">
      <c r="A959">
        <v>98.595042960000001</v>
      </c>
      <c r="B959">
        <v>90.401391140000001</v>
      </c>
      <c r="C959">
        <v>97.762708989999993</v>
      </c>
    </row>
    <row r="960" spans="1:3">
      <c r="A960">
        <v>98.067565400000007</v>
      </c>
      <c r="B960">
        <v>89.960816789999996</v>
      </c>
      <c r="C960">
        <v>97.316518880000004</v>
      </c>
    </row>
    <row r="961" spans="1:3">
      <c r="A961">
        <v>99.591857709999999</v>
      </c>
      <c r="B961">
        <v>92.635776539999995</v>
      </c>
      <c r="C961">
        <v>97.434970509999999</v>
      </c>
    </row>
    <row r="962" spans="1:3">
      <c r="A962">
        <v>99.721774999999994</v>
      </c>
      <c r="B962">
        <v>91.810665319999998</v>
      </c>
      <c r="C962">
        <v>98.236099449999998</v>
      </c>
    </row>
    <row r="963" spans="1:3">
      <c r="A963">
        <v>97.428555369999998</v>
      </c>
      <c r="B963">
        <v>92.002662540000003</v>
      </c>
      <c r="C963">
        <v>98.777703439999996</v>
      </c>
    </row>
    <row r="964" spans="1:3">
      <c r="A964">
        <v>97.688189080000001</v>
      </c>
      <c r="B964">
        <v>92.013248809999993</v>
      </c>
      <c r="C964">
        <v>99.248938420000002</v>
      </c>
    </row>
    <row r="965" spans="1:3">
      <c r="A965">
        <v>94.514068820000006</v>
      </c>
      <c r="B965">
        <v>90.935183120000005</v>
      </c>
      <c r="C965">
        <v>99.564332350000001</v>
      </c>
    </row>
    <row r="966" spans="1:3">
      <c r="A966">
        <v>95.721620459999997</v>
      </c>
      <c r="B966">
        <v>91.820685639999994</v>
      </c>
      <c r="C966">
        <v>100.39405309999999</v>
      </c>
    </row>
    <row r="967" spans="1:3">
      <c r="A967">
        <v>93.574751719999995</v>
      </c>
      <c r="B967">
        <v>91.963241359999998</v>
      </c>
      <c r="C967">
        <v>99.726601860000002</v>
      </c>
    </row>
    <row r="968" spans="1:3">
      <c r="A968">
        <v>96.031114700000003</v>
      </c>
      <c r="B968">
        <v>91.040783910000002</v>
      </c>
      <c r="C968">
        <v>99.537928640000004</v>
      </c>
    </row>
    <row r="969" spans="1:3">
      <c r="A969">
        <v>95.956151090000006</v>
      </c>
      <c r="B969">
        <v>91.501000070000003</v>
      </c>
      <c r="C969">
        <v>99.82296753</v>
      </c>
    </row>
    <row r="970" spans="1:3">
      <c r="A970">
        <v>95.728807270000004</v>
      </c>
      <c r="B970">
        <v>90.943690779999997</v>
      </c>
      <c r="C970">
        <v>99.385973239999998</v>
      </c>
    </row>
    <row r="971" spans="1:3">
      <c r="A971">
        <v>95.58654224</v>
      </c>
      <c r="B971">
        <v>90.939279920000004</v>
      </c>
      <c r="C971">
        <v>98.955890400000001</v>
      </c>
    </row>
    <row r="972" spans="1:3">
      <c r="A972">
        <v>95.358698649999994</v>
      </c>
      <c r="B972">
        <v>89.807711150000003</v>
      </c>
      <c r="C972">
        <v>98.932376770000005</v>
      </c>
    </row>
    <row r="973" spans="1:3">
      <c r="A973">
        <v>95.09277419</v>
      </c>
      <c r="B973">
        <v>89.669435899999996</v>
      </c>
      <c r="C973">
        <v>98.993494170000005</v>
      </c>
    </row>
    <row r="974" spans="1:3">
      <c r="A974">
        <v>94.537745990000005</v>
      </c>
      <c r="B974">
        <v>89.087858400000002</v>
      </c>
      <c r="C974">
        <v>99.180566630000001</v>
      </c>
    </row>
    <row r="975" spans="1:3">
      <c r="A975">
        <v>94.24467697</v>
      </c>
      <c r="B975">
        <v>91.276579799999993</v>
      </c>
      <c r="C975">
        <v>99.195412750000003</v>
      </c>
    </row>
    <row r="976" spans="1:3">
      <c r="A976">
        <v>94.047951679999997</v>
      </c>
      <c r="B976">
        <v>90.730153340000001</v>
      </c>
      <c r="C976">
        <v>99.003589500000004</v>
      </c>
    </row>
    <row r="977" spans="1:3">
      <c r="A977">
        <v>93.773821650000002</v>
      </c>
      <c r="B977">
        <v>91.928492109999993</v>
      </c>
      <c r="C977">
        <v>99.908293619999995</v>
      </c>
    </row>
    <row r="978" spans="1:3">
      <c r="A978">
        <v>95.3547619</v>
      </c>
      <c r="B978">
        <v>89.990348609999998</v>
      </c>
      <c r="C978">
        <v>100.54638370000001</v>
      </c>
    </row>
    <row r="979" spans="1:3">
      <c r="A979">
        <v>94.485082980000001</v>
      </c>
      <c r="B979">
        <v>91.265051569999997</v>
      </c>
      <c r="C979">
        <v>100.27556199999999</v>
      </c>
    </row>
    <row r="980" spans="1:3">
      <c r="A980">
        <v>95.237051890000004</v>
      </c>
      <c r="B980">
        <v>90.698351939999995</v>
      </c>
      <c r="C980">
        <v>100.1289821</v>
      </c>
    </row>
    <row r="981" spans="1:3">
      <c r="A981">
        <v>95.746205209999999</v>
      </c>
      <c r="B981">
        <v>91.327248890000007</v>
      </c>
      <c r="C981">
        <v>99.906535450000007</v>
      </c>
    </row>
    <row r="982" spans="1:3">
      <c r="A982">
        <v>97.617573800000002</v>
      </c>
      <c r="B982">
        <v>92.095646579999993</v>
      </c>
      <c r="C982">
        <v>99.069673120000004</v>
      </c>
    </row>
    <row r="983" spans="1:3">
      <c r="A983">
        <v>97.694545079999997</v>
      </c>
      <c r="B983">
        <v>91.080974179999998</v>
      </c>
      <c r="C983">
        <v>98.669230089999999</v>
      </c>
    </row>
    <row r="984" spans="1:3">
      <c r="A984">
        <v>99.196342630000004</v>
      </c>
      <c r="B984">
        <v>92.203028059999994</v>
      </c>
      <c r="C984">
        <v>98.050071630000005</v>
      </c>
    </row>
    <row r="985" spans="1:3">
      <c r="A985">
        <v>96.695644180000002</v>
      </c>
      <c r="B985">
        <v>91.899454860000006</v>
      </c>
      <c r="C985">
        <v>97.334218719999996</v>
      </c>
    </row>
    <row r="986" spans="1:3">
      <c r="A986">
        <v>97.553568049999996</v>
      </c>
      <c r="B986">
        <v>90.161946090000001</v>
      </c>
      <c r="C986">
        <v>97.289256629999997</v>
      </c>
    </row>
    <row r="987" spans="1:3">
      <c r="A987">
        <v>97.152541369999994</v>
      </c>
      <c r="B987">
        <v>89.670109080000003</v>
      </c>
      <c r="C987">
        <v>96.768187449999999</v>
      </c>
    </row>
    <row r="988" spans="1:3">
      <c r="A988">
        <v>98.255291630000002</v>
      </c>
      <c r="B988">
        <v>90.901885190000002</v>
      </c>
      <c r="C988">
        <v>97.048815489999996</v>
      </c>
    </row>
    <row r="989" spans="1:3">
      <c r="A989">
        <v>100.32706779999999</v>
      </c>
      <c r="B989">
        <v>89.599365800000001</v>
      </c>
      <c r="C989">
        <v>96.723502819999993</v>
      </c>
    </row>
    <row r="990" spans="1:3">
      <c r="A990">
        <v>101.93266970000001</v>
      </c>
      <c r="B990">
        <v>87.765112549999998</v>
      </c>
      <c r="C990">
        <v>97.646206800000002</v>
      </c>
    </row>
    <row r="991" spans="1:3">
      <c r="A991">
        <v>102.23537570000001</v>
      </c>
      <c r="B991">
        <v>90.283673780000001</v>
      </c>
      <c r="C991">
        <v>96.609142320000004</v>
      </c>
    </row>
    <row r="992" spans="1:3">
      <c r="A992">
        <v>102.0475708</v>
      </c>
      <c r="B992">
        <v>89.925547649999999</v>
      </c>
      <c r="C992">
        <v>97.012285829999996</v>
      </c>
    </row>
    <row r="993" spans="1:3">
      <c r="A993">
        <v>102.90078320000001</v>
      </c>
      <c r="B993">
        <v>88.445024900000007</v>
      </c>
      <c r="C993">
        <v>96.794057620000004</v>
      </c>
    </row>
    <row r="994" spans="1:3">
      <c r="A994">
        <v>102.2870437</v>
      </c>
      <c r="B994">
        <v>87.821504950000005</v>
      </c>
      <c r="C994">
        <v>95.83524328</v>
      </c>
    </row>
    <row r="995" spans="1:3">
      <c r="A995">
        <v>101.3707144</v>
      </c>
      <c r="B995">
        <v>88.462662769999994</v>
      </c>
      <c r="C995">
        <v>95.626683920000005</v>
      </c>
    </row>
    <row r="996" spans="1:3">
      <c r="A996">
        <v>100.6686314</v>
      </c>
      <c r="B996">
        <v>85.740706900000006</v>
      </c>
      <c r="C996">
        <v>94.891349880000007</v>
      </c>
    </row>
    <row r="997" spans="1:3">
      <c r="A997">
        <v>102.85985549999999</v>
      </c>
      <c r="B997">
        <v>86.461853520000005</v>
      </c>
      <c r="C997">
        <v>95.20447034</v>
      </c>
    </row>
    <row r="998" spans="1:3">
      <c r="A998">
        <v>105.13255820000001</v>
      </c>
      <c r="B998">
        <v>87.299631169999998</v>
      </c>
      <c r="C998">
        <v>95.911660119999993</v>
      </c>
    </row>
    <row r="999" spans="1:3">
      <c r="A999">
        <v>105.78239019999999</v>
      </c>
      <c r="B999">
        <v>89.234454319999998</v>
      </c>
      <c r="C999">
        <v>95.315951600000005</v>
      </c>
    </row>
    <row r="1000" spans="1:3">
      <c r="A1000">
        <v>105.3785335</v>
      </c>
      <c r="B1000">
        <v>90.915916539999998</v>
      </c>
      <c r="C1000">
        <v>95.903451860000004</v>
      </c>
    </row>
    <row r="1001" spans="1:3">
      <c r="A1001">
        <v>107.2340537</v>
      </c>
      <c r="B1001">
        <v>89.515488849999997</v>
      </c>
      <c r="C1001">
        <v>95.782067339999998</v>
      </c>
    </row>
  </sheetData>
  <sortState ref="D4:D54">
    <sortCondition ref="D4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Round1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Embert Lin</dc:creator>
  <cp:lastModifiedBy>Embert Lin</cp:lastModifiedBy>
  <dcterms:created xsi:type="dcterms:W3CDTF">2015-04-03T02:36:09Z</dcterms:created>
  <dcterms:modified xsi:type="dcterms:W3CDTF">2015-04-03T18:47:54Z</dcterms:modified>
</cp:coreProperties>
</file>